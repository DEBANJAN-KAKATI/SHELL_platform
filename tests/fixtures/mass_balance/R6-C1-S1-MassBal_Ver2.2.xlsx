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.shell.com/personal/sankar_sasmal_shell_com/Documents/00-00 My Files/40-49 Archive/41.02 ILS Related/12 ILS_Run-6/Run6_MB/"/>
    </mc:Choice>
  </mc:AlternateContent>
  <xr:revisionPtr revIDLastSave="274" documentId="11_4E15C87ECDD60F3E7BE20D2BB31C1476B1DA9980" xr6:coauthVersionLast="47" xr6:coauthVersionMax="47" xr10:uidLastSave="{496DED1F-9CC1-482D-B82A-9D6885B3836E}"/>
  <bookViews>
    <workbookView xWindow="-38520" yWindow="-120" windowWidth="38640" windowHeight="21120" tabRatio="702" activeTab="12" xr2:uid="{00000000-000D-0000-FFFF-FFFF00000000}"/>
  </bookViews>
  <sheets>
    <sheet name="Run_Plan" sheetId="1" r:id="rId1"/>
    <sheet name="Liq" sheetId="2" r:id="rId2"/>
    <sheet name="HC_SIMDIS" sheetId="3" r:id="rId3"/>
    <sheet name="HC_DHA" sheetId="4" r:id="rId4"/>
    <sheet name="Gas" sheetId="5" r:id="rId5"/>
    <sheet name="R1_MB" sheetId="6" r:id="rId6"/>
    <sheet name="R2_MB" sheetId="7" r:id="rId7"/>
    <sheet name="R3_MB" sheetId="8" r:id="rId8"/>
    <sheet name="R4_MB" sheetId="9" r:id="rId9"/>
    <sheet name="R5_MB" sheetId="10" r:id="rId10"/>
    <sheet name="R6_MB" sheetId="11" r:id="rId11"/>
    <sheet name="R7_MB" sheetId="12" r:id="rId12"/>
    <sheet name="R8_MB" sheetId="13" r:id="rId13"/>
    <sheet name="C-Balance" sheetId="14" r:id="rId14"/>
    <sheet name="ZMB" sheetId="15" r:id="rId15"/>
    <sheet name="Summary" sheetId="16" r:id="rId16"/>
  </sheets>
  <definedNames>
    <definedName name="_xlnm.Print_Area" localSheetId="3">HC_DHA!$J$2:$S$26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7" i="15" l="1"/>
  <c r="C161" i="15" s="1"/>
  <c r="B166" i="15"/>
  <c r="AC166" i="15" s="1"/>
  <c r="C166" i="15" s="1"/>
  <c r="AC165" i="15"/>
  <c r="C165" i="15" s="1"/>
  <c r="B165" i="15"/>
  <c r="B164" i="15"/>
  <c r="AC164" i="15" s="1"/>
  <c r="C164" i="15" s="1"/>
  <c r="B163" i="15"/>
  <c r="AC163" i="15" s="1"/>
  <c r="B162" i="15"/>
  <c r="AC162" i="15" s="1"/>
  <c r="B161" i="15"/>
  <c r="AC161" i="15" s="1"/>
  <c r="B160" i="15"/>
  <c r="AC160" i="15" s="1"/>
  <c r="B159" i="15"/>
  <c r="AC159" i="15" s="1"/>
  <c r="B158" i="15"/>
  <c r="AC158" i="15" s="1"/>
  <c r="C158" i="15" s="1"/>
  <c r="AC157" i="15"/>
  <c r="B157" i="15"/>
  <c r="AA155" i="15"/>
  <c r="Y155" i="15"/>
  <c r="X155" i="15"/>
  <c r="W155" i="15"/>
  <c r="V155" i="15"/>
  <c r="U155" i="15"/>
  <c r="T155" i="15"/>
  <c r="S155" i="15"/>
  <c r="K155" i="15"/>
  <c r="J155" i="15"/>
  <c r="I155" i="15"/>
  <c r="G155" i="15"/>
  <c r="F155" i="15"/>
  <c r="AB154" i="15"/>
  <c r="AB155" i="15" s="1"/>
  <c r="AA154" i="15"/>
  <c r="Z154" i="15"/>
  <c r="Z155" i="15" s="1"/>
  <c r="Y154" i="15"/>
  <c r="X154" i="15"/>
  <c r="W154" i="15"/>
  <c r="V154" i="15"/>
  <c r="U154" i="15"/>
  <c r="T154" i="15"/>
  <c r="S154" i="15"/>
  <c r="R154" i="15"/>
  <c r="R155" i="15" s="1"/>
  <c r="Q154" i="15"/>
  <c r="Q155" i="15" s="1"/>
  <c r="P154" i="15"/>
  <c r="P155" i="15" s="1"/>
  <c r="O154" i="15"/>
  <c r="O155" i="15" s="1"/>
  <c r="N154" i="15"/>
  <c r="N155" i="15" s="1"/>
  <c r="M154" i="15"/>
  <c r="M155" i="15" s="1"/>
  <c r="L154" i="15"/>
  <c r="L155" i="15" s="1"/>
  <c r="K154" i="15"/>
  <c r="J154" i="15"/>
  <c r="I154" i="15"/>
  <c r="H154" i="15"/>
  <c r="G154" i="15"/>
  <c r="F154" i="15"/>
  <c r="E154" i="15"/>
  <c r="E155" i="15" s="1"/>
  <c r="D154" i="15"/>
  <c r="B150" i="15"/>
  <c r="AC150" i="15" s="1"/>
  <c r="B149" i="15"/>
  <c r="AC149" i="15" s="1"/>
  <c r="B148" i="15"/>
  <c r="AC148" i="15" s="1"/>
  <c r="B147" i="15"/>
  <c r="AC147" i="15" s="1"/>
  <c r="AC146" i="15"/>
  <c r="B146" i="15"/>
  <c r="B145" i="15"/>
  <c r="AC145" i="15" s="1"/>
  <c r="AC144" i="15"/>
  <c r="B144" i="15"/>
  <c r="AC143" i="15"/>
  <c r="B143" i="15"/>
  <c r="B142" i="15"/>
  <c r="AC142" i="15" s="1"/>
  <c r="B141" i="15"/>
  <c r="AC141" i="15" s="1"/>
  <c r="R139" i="15"/>
  <c r="J139" i="15"/>
  <c r="G139" i="15"/>
  <c r="F139" i="15"/>
  <c r="E139" i="15"/>
  <c r="AB138" i="15"/>
  <c r="AB139" i="15" s="1"/>
  <c r="AA138" i="15"/>
  <c r="AA139" i="15" s="1"/>
  <c r="Z138" i="15"/>
  <c r="Z139" i="15" s="1"/>
  <c r="Y138" i="15"/>
  <c r="Y139" i="15" s="1"/>
  <c r="X138" i="15"/>
  <c r="X139" i="15" s="1"/>
  <c r="W138" i="15"/>
  <c r="W139" i="15" s="1"/>
  <c r="V138" i="15"/>
  <c r="V139" i="15" s="1"/>
  <c r="U138" i="15"/>
  <c r="U139" i="15" s="1"/>
  <c r="T138" i="15"/>
  <c r="T139" i="15" s="1"/>
  <c r="S138" i="15"/>
  <c r="S139" i="15" s="1"/>
  <c r="R138" i="15"/>
  <c r="Q138" i="15"/>
  <c r="Q139" i="15" s="1"/>
  <c r="P138" i="15"/>
  <c r="P139" i="15" s="1"/>
  <c r="O138" i="15"/>
  <c r="O139" i="15" s="1"/>
  <c r="N138" i="15"/>
  <c r="N139" i="15" s="1"/>
  <c r="M138" i="15"/>
  <c r="M139" i="15" s="1"/>
  <c r="L138" i="15"/>
  <c r="L139" i="15" s="1"/>
  <c r="K138" i="15"/>
  <c r="K139" i="15" s="1"/>
  <c r="J138" i="15"/>
  <c r="I138" i="15"/>
  <c r="I139" i="15" s="1"/>
  <c r="H138" i="15"/>
  <c r="G138" i="15"/>
  <c r="F138" i="15"/>
  <c r="E138" i="15"/>
  <c r="D138" i="15"/>
  <c r="B133" i="15"/>
  <c r="AC133" i="15" s="1"/>
  <c r="B132" i="15"/>
  <c r="AC132" i="15" s="1"/>
  <c r="B131" i="15"/>
  <c r="AC131" i="15" s="1"/>
  <c r="AC130" i="15"/>
  <c r="B130" i="15"/>
  <c r="B129" i="15"/>
  <c r="AC129" i="15" s="1"/>
  <c r="B128" i="15"/>
  <c r="AC128" i="15" s="1"/>
  <c r="B127" i="15"/>
  <c r="AC127" i="15" s="1"/>
  <c r="B126" i="15"/>
  <c r="AC126" i="15" s="1"/>
  <c r="B125" i="15"/>
  <c r="AC125" i="15" s="1"/>
  <c r="B124" i="15"/>
  <c r="AC124" i="15" s="1"/>
  <c r="Y122" i="15"/>
  <c r="V122" i="15"/>
  <c r="G122" i="15"/>
  <c r="AB121" i="15"/>
  <c r="AB122" i="15" s="1"/>
  <c r="AA121" i="15"/>
  <c r="AA122" i="15" s="1"/>
  <c r="Z121" i="15"/>
  <c r="Z122" i="15" s="1"/>
  <c r="Y121" i="15"/>
  <c r="X121" i="15"/>
  <c r="X122" i="15" s="1"/>
  <c r="W121" i="15"/>
  <c r="W122" i="15" s="1"/>
  <c r="V121" i="15"/>
  <c r="U121" i="15"/>
  <c r="U122" i="15" s="1"/>
  <c r="T121" i="15"/>
  <c r="T122" i="15" s="1"/>
  <c r="S121" i="15"/>
  <c r="S122" i="15" s="1"/>
  <c r="R121" i="15"/>
  <c r="R122" i="15" s="1"/>
  <c r="Q121" i="15"/>
  <c r="Q122" i="15" s="1"/>
  <c r="P121" i="15"/>
  <c r="P122" i="15" s="1"/>
  <c r="O121" i="15"/>
  <c r="O122" i="15" s="1"/>
  <c r="N121" i="15"/>
  <c r="N122" i="15" s="1"/>
  <c r="M121" i="15"/>
  <c r="M122" i="15" s="1"/>
  <c r="L121" i="15"/>
  <c r="L122" i="15" s="1"/>
  <c r="K121" i="15"/>
  <c r="K122" i="15" s="1"/>
  <c r="J121" i="15"/>
  <c r="J122" i="15" s="1"/>
  <c r="I121" i="15"/>
  <c r="I122" i="15" s="1"/>
  <c r="H121" i="15"/>
  <c r="G121" i="15"/>
  <c r="F121" i="15"/>
  <c r="F122" i="15" s="1"/>
  <c r="E121" i="15"/>
  <c r="E122" i="15" s="1"/>
  <c r="D121" i="15"/>
  <c r="B116" i="15"/>
  <c r="AC116" i="15" s="1"/>
  <c r="B115" i="15"/>
  <c r="AC115" i="15" s="1"/>
  <c r="B114" i="15"/>
  <c r="AC114" i="15" s="1"/>
  <c r="B113" i="15"/>
  <c r="AC113" i="15" s="1"/>
  <c r="B112" i="15"/>
  <c r="AC112" i="15" s="1"/>
  <c r="B111" i="15"/>
  <c r="AC111" i="15" s="1"/>
  <c r="AC110" i="15"/>
  <c r="B110" i="15"/>
  <c r="AC109" i="15"/>
  <c r="B109" i="15"/>
  <c r="B108" i="15"/>
  <c r="AC108" i="15" s="1"/>
  <c r="B107" i="15"/>
  <c r="AC107" i="15" s="1"/>
  <c r="X105" i="15"/>
  <c r="V105" i="15"/>
  <c r="U105" i="15"/>
  <c r="T105" i="15"/>
  <c r="S105" i="15"/>
  <c r="R105" i="15"/>
  <c r="Q105" i="15"/>
  <c r="P105" i="15"/>
  <c r="G105" i="15"/>
  <c r="F105" i="15"/>
  <c r="E105" i="15"/>
  <c r="AB104" i="15"/>
  <c r="AB105" i="15" s="1"/>
  <c r="AA104" i="15"/>
  <c r="AA105" i="15" s="1"/>
  <c r="Z104" i="15"/>
  <c r="Z105" i="15" s="1"/>
  <c r="Y104" i="15"/>
  <c r="Y105" i="15" s="1"/>
  <c r="X104" i="15"/>
  <c r="W104" i="15"/>
  <c r="W105" i="15" s="1"/>
  <c r="V104" i="15"/>
  <c r="U104" i="15"/>
  <c r="T104" i="15"/>
  <c r="S104" i="15"/>
  <c r="R104" i="15"/>
  <c r="Q104" i="15"/>
  <c r="P104" i="15"/>
  <c r="O104" i="15"/>
  <c r="O105" i="15" s="1"/>
  <c r="N104" i="15"/>
  <c r="N105" i="15" s="1"/>
  <c r="M104" i="15"/>
  <c r="M105" i="15" s="1"/>
  <c r="L104" i="15"/>
  <c r="L105" i="15" s="1"/>
  <c r="K104" i="15"/>
  <c r="K105" i="15" s="1"/>
  <c r="J104" i="15"/>
  <c r="J105" i="15" s="1"/>
  <c r="I104" i="15"/>
  <c r="I105" i="15" s="1"/>
  <c r="H104" i="15"/>
  <c r="G104" i="15"/>
  <c r="F104" i="15"/>
  <c r="E104" i="15"/>
  <c r="D104" i="15"/>
  <c r="B99" i="15"/>
  <c r="AC99" i="15" s="1"/>
  <c r="B98" i="15"/>
  <c r="AC98" i="15" s="1"/>
  <c r="B97" i="15"/>
  <c r="AC97" i="15" s="1"/>
  <c r="B96" i="15"/>
  <c r="AC96" i="15" s="1"/>
  <c r="B95" i="15"/>
  <c r="AC95" i="15" s="1"/>
  <c r="AC94" i="15"/>
  <c r="B94" i="15"/>
  <c r="B93" i="15"/>
  <c r="AC93" i="15" s="1"/>
  <c r="AC92" i="15"/>
  <c r="B92" i="15"/>
  <c r="AC91" i="15"/>
  <c r="B91" i="15"/>
  <c r="B90" i="15"/>
  <c r="AC90" i="15" s="1"/>
  <c r="AB87" i="15"/>
  <c r="AB88" i="15" s="1"/>
  <c r="AA87" i="15"/>
  <c r="AA88" i="15" s="1"/>
  <c r="Z87" i="15"/>
  <c r="Z88" i="15" s="1"/>
  <c r="Y87" i="15"/>
  <c r="Y88" i="15" s="1"/>
  <c r="X87" i="15"/>
  <c r="X88" i="15" s="1"/>
  <c r="W87" i="15"/>
  <c r="W88" i="15" s="1"/>
  <c r="V87" i="15"/>
  <c r="V88" i="15" s="1"/>
  <c r="U87" i="15"/>
  <c r="U88" i="15" s="1"/>
  <c r="T87" i="15"/>
  <c r="T88" i="15" s="1"/>
  <c r="S87" i="15"/>
  <c r="S88" i="15" s="1"/>
  <c r="R87" i="15"/>
  <c r="R88" i="15" s="1"/>
  <c r="Q87" i="15"/>
  <c r="Q88" i="15" s="1"/>
  <c r="P87" i="15"/>
  <c r="P88" i="15" s="1"/>
  <c r="O87" i="15"/>
  <c r="O88" i="15" s="1"/>
  <c r="N87" i="15"/>
  <c r="N88" i="15" s="1"/>
  <c r="M87" i="15"/>
  <c r="M88" i="15" s="1"/>
  <c r="L87" i="15"/>
  <c r="L88" i="15" s="1"/>
  <c r="K87" i="15"/>
  <c r="K88" i="15" s="1"/>
  <c r="J87" i="15"/>
  <c r="J88" i="15" s="1"/>
  <c r="I87" i="15"/>
  <c r="I88" i="15" s="1"/>
  <c r="H87" i="15"/>
  <c r="G87" i="15"/>
  <c r="G88" i="15" s="1"/>
  <c r="F87" i="15"/>
  <c r="F88" i="15" s="1"/>
  <c r="E87" i="15"/>
  <c r="E88" i="15" s="1"/>
  <c r="D87" i="15"/>
  <c r="AC82" i="15"/>
  <c r="B82" i="15"/>
  <c r="B81" i="15"/>
  <c r="AC81" i="15" s="1"/>
  <c r="B80" i="15"/>
  <c r="AC80" i="15" s="1"/>
  <c r="AC79" i="15"/>
  <c r="B79" i="15"/>
  <c r="AC78" i="15"/>
  <c r="B78" i="15"/>
  <c r="B77" i="15"/>
  <c r="AC77" i="15" s="1"/>
  <c r="B76" i="15"/>
  <c r="AC76" i="15" s="1"/>
  <c r="B75" i="15"/>
  <c r="AC75" i="15" s="1"/>
  <c r="B74" i="15"/>
  <c r="AC74" i="15" s="1"/>
  <c r="B73" i="15"/>
  <c r="AC73" i="15" s="1"/>
  <c r="V71" i="15"/>
  <c r="T71" i="15"/>
  <c r="S71" i="15"/>
  <c r="R71" i="15"/>
  <c r="P71" i="15"/>
  <c r="O71" i="15"/>
  <c r="AB70" i="15"/>
  <c r="AB71" i="15" s="1"/>
  <c r="AA70" i="15"/>
  <c r="AA71" i="15" s="1"/>
  <c r="Z70" i="15"/>
  <c r="Z71" i="15" s="1"/>
  <c r="Y70" i="15"/>
  <c r="Y71" i="15" s="1"/>
  <c r="X70" i="15"/>
  <c r="X71" i="15" s="1"/>
  <c r="W70" i="15"/>
  <c r="W71" i="15" s="1"/>
  <c r="V70" i="15"/>
  <c r="U70" i="15"/>
  <c r="U71" i="15" s="1"/>
  <c r="T70" i="15"/>
  <c r="S70" i="15"/>
  <c r="R70" i="15"/>
  <c r="Q70" i="15"/>
  <c r="Q71" i="15" s="1"/>
  <c r="P70" i="15"/>
  <c r="O70" i="15"/>
  <c r="N70" i="15"/>
  <c r="N71" i="15" s="1"/>
  <c r="M70" i="15"/>
  <c r="M71" i="15" s="1"/>
  <c r="L70" i="15"/>
  <c r="L71" i="15" s="1"/>
  <c r="K70" i="15"/>
  <c r="K71" i="15" s="1"/>
  <c r="J70" i="15"/>
  <c r="J71" i="15" s="1"/>
  <c r="I70" i="15"/>
  <c r="I71" i="15" s="1"/>
  <c r="H70" i="15"/>
  <c r="G70" i="15"/>
  <c r="G71" i="15" s="1"/>
  <c r="F70" i="15"/>
  <c r="F71" i="15" s="1"/>
  <c r="E70" i="15"/>
  <c r="E71" i="15" s="1"/>
  <c r="D70" i="15"/>
  <c r="B65" i="15"/>
  <c r="AC65" i="15" s="1"/>
  <c r="B64" i="15"/>
  <c r="AC64" i="15" s="1"/>
  <c r="B63" i="15"/>
  <c r="AC63" i="15" s="1"/>
  <c r="B62" i="15"/>
  <c r="AC62" i="15" s="1"/>
  <c r="AC61" i="15"/>
  <c r="B61" i="15"/>
  <c r="B60" i="15"/>
  <c r="AC60" i="15" s="1"/>
  <c r="B59" i="15"/>
  <c r="AC59" i="15" s="1"/>
  <c r="B58" i="15"/>
  <c r="AC58" i="15" s="1"/>
  <c r="B57" i="15"/>
  <c r="AC57" i="15" s="1"/>
  <c r="B56" i="15"/>
  <c r="AC56" i="15" s="1"/>
  <c r="N54" i="15"/>
  <c r="M54" i="15"/>
  <c r="AB53" i="15"/>
  <c r="AB54" i="15" s="1"/>
  <c r="AA53" i="15"/>
  <c r="AA54" i="15" s="1"/>
  <c r="Z53" i="15"/>
  <c r="Z54" i="15" s="1"/>
  <c r="Y53" i="15"/>
  <c r="Y54" i="15" s="1"/>
  <c r="X53" i="15"/>
  <c r="X54" i="15" s="1"/>
  <c r="W53" i="15"/>
  <c r="W54" i="15" s="1"/>
  <c r="V53" i="15"/>
  <c r="V54" i="15" s="1"/>
  <c r="U53" i="15"/>
  <c r="U54" i="15" s="1"/>
  <c r="T53" i="15"/>
  <c r="T54" i="15" s="1"/>
  <c r="S53" i="15"/>
  <c r="S54" i="15" s="1"/>
  <c r="R53" i="15"/>
  <c r="R54" i="15" s="1"/>
  <c r="Q53" i="15"/>
  <c r="Q54" i="15" s="1"/>
  <c r="P53" i="15"/>
  <c r="P54" i="15" s="1"/>
  <c r="O53" i="15"/>
  <c r="O54" i="15" s="1"/>
  <c r="N53" i="15"/>
  <c r="M53" i="15"/>
  <c r="L53" i="15"/>
  <c r="L54" i="15" s="1"/>
  <c r="K53" i="15"/>
  <c r="K54" i="15" s="1"/>
  <c r="J53" i="15"/>
  <c r="J54" i="15" s="1"/>
  <c r="I53" i="15"/>
  <c r="I54" i="15" s="1"/>
  <c r="H53" i="15"/>
  <c r="G53" i="15"/>
  <c r="G54" i="15" s="1"/>
  <c r="F53" i="15"/>
  <c r="F54" i="15" s="1"/>
  <c r="E53" i="15"/>
  <c r="E54" i="15" s="1"/>
  <c r="D53" i="15"/>
  <c r="B48" i="15"/>
  <c r="AC48" i="15" s="1"/>
  <c r="AC47" i="15"/>
  <c r="B47" i="15"/>
  <c r="B46" i="15"/>
  <c r="AC46" i="15" s="1"/>
  <c r="B45" i="15"/>
  <c r="AC45" i="15" s="1"/>
  <c r="AC44" i="15"/>
  <c r="B44" i="15"/>
  <c r="B43" i="15"/>
  <c r="AC43" i="15" s="1"/>
  <c r="B42" i="15"/>
  <c r="AC42" i="15" s="1"/>
  <c r="B41" i="15"/>
  <c r="AC41" i="15" s="1"/>
  <c r="B40" i="15"/>
  <c r="AC40" i="15" s="1"/>
  <c r="B39" i="15"/>
  <c r="AC39" i="15" s="1"/>
  <c r="AB37" i="15"/>
  <c r="T37" i="15"/>
  <c r="R37" i="15"/>
  <c r="Q37" i="15"/>
  <c r="P37" i="15"/>
  <c r="O37" i="15"/>
  <c r="N37" i="15"/>
  <c r="M37" i="15"/>
  <c r="L37" i="15"/>
  <c r="AB36" i="15"/>
  <c r="AA36" i="15"/>
  <c r="AA37" i="15" s="1"/>
  <c r="Z36" i="15"/>
  <c r="Z37" i="15" s="1"/>
  <c r="Y36" i="15"/>
  <c r="Y37" i="15" s="1"/>
  <c r="X36" i="15"/>
  <c r="X37" i="15" s="1"/>
  <c r="W36" i="15"/>
  <c r="W37" i="15" s="1"/>
  <c r="V36" i="15"/>
  <c r="V37" i="15" s="1"/>
  <c r="U36" i="15"/>
  <c r="U37" i="15" s="1"/>
  <c r="T36" i="15"/>
  <c r="S36" i="15"/>
  <c r="S37" i="15" s="1"/>
  <c r="R36" i="15"/>
  <c r="Q36" i="15"/>
  <c r="P36" i="15"/>
  <c r="O36" i="15"/>
  <c r="N36" i="15"/>
  <c r="M36" i="15"/>
  <c r="L36" i="15"/>
  <c r="K36" i="15"/>
  <c r="K37" i="15" s="1"/>
  <c r="J36" i="15"/>
  <c r="J37" i="15" s="1"/>
  <c r="I36" i="15"/>
  <c r="I37" i="15" s="1"/>
  <c r="H36" i="15"/>
  <c r="G36" i="15"/>
  <c r="G37" i="15" s="1"/>
  <c r="F36" i="15"/>
  <c r="F37" i="15" s="1"/>
  <c r="E36" i="15"/>
  <c r="E37" i="15" s="1"/>
  <c r="D36" i="15"/>
  <c r="B31" i="15"/>
  <c r="K35" i="1" s="1"/>
  <c r="K38" i="1" s="1"/>
  <c r="B30" i="15"/>
  <c r="J35" i="1" s="1"/>
  <c r="J38" i="1" s="1"/>
  <c r="B29" i="15"/>
  <c r="AC29" i="15" s="1"/>
  <c r="B28" i="15"/>
  <c r="AC28" i="15" s="1"/>
  <c r="B27" i="15"/>
  <c r="AC27" i="15" s="1"/>
  <c r="B26" i="15"/>
  <c r="AC26" i="15" s="1"/>
  <c r="B25" i="15"/>
  <c r="AC25" i="15" s="1"/>
  <c r="B24" i="15"/>
  <c r="AC24" i="15" s="1"/>
  <c r="B23" i="15"/>
  <c r="AC23" i="15" s="1"/>
  <c r="B22" i="15"/>
  <c r="AC22" i="15" s="1"/>
  <c r="N20" i="15"/>
  <c r="M20" i="15"/>
  <c r="AB19" i="15"/>
  <c r="AB20" i="15" s="1"/>
  <c r="AA19" i="15"/>
  <c r="AA20" i="15" s="1"/>
  <c r="Z19" i="15"/>
  <c r="Z20" i="15" s="1"/>
  <c r="Y19" i="15"/>
  <c r="Y20" i="15" s="1"/>
  <c r="X19" i="15"/>
  <c r="X20" i="15" s="1"/>
  <c r="W19" i="15"/>
  <c r="W20" i="15" s="1"/>
  <c r="V19" i="15"/>
  <c r="V20" i="15" s="1"/>
  <c r="U19" i="15"/>
  <c r="U20" i="15" s="1"/>
  <c r="T19" i="15"/>
  <c r="T20" i="15" s="1"/>
  <c r="S19" i="15"/>
  <c r="S20" i="15" s="1"/>
  <c r="R19" i="15"/>
  <c r="R20" i="15" s="1"/>
  <c r="Q19" i="15"/>
  <c r="Q20" i="15" s="1"/>
  <c r="P19" i="15"/>
  <c r="P20" i="15" s="1"/>
  <c r="O19" i="15"/>
  <c r="O20" i="15" s="1"/>
  <c r="N19" i="15"/>
  <c r="M19" i="15"/>
  <c r="L19" i="15"/>
  <c r="L20" i="15" s="1"/>
  <c r="K19" i="15"/>
  <c r="K20" i="15" s="1"/>
  <c r="J19" i="15"/>
  <c r="J20" i="15" s="1"/>
  <c r="I19" i="15"/>
  <c r="I20" i="15" s="1"/>
  <c r="H19" i="15"/>
  <c r="G19" i="15"/>
  <c r="G20" i="15" s="1"/>
  <c r="F19" i="15"/>
  <c r="F20" i="15" s="1"/>
  <c r="E19" i="15"/>
  <c r="E20" i="15" s="1"/>
  <c r="D19" i="15"/>
  <c r="AC11" i="15"/>
  <c r="AB11" i="15"/>
  <c r="AA11" i="15"/>
  <c r="Z11" i="15"/>
  <c r="Y11" i="15"/>
  <c r="X11" i="15"/>
  <c r="W11" i="15"/>
  <c r="V11" i="15"/>
  <c r="S11" i="15"/>
  <c r="R11" i="15"/>
  <c r="Q11" i="15"/>
  <c r="P11" i="15"/>
  <c r="O11" i="15"/>
  <c r="N11" i="15"/>
  <c r="M11" i="15"/>
  <c r="L11" i="15"/>
  <c r="G11" i="15"/>
  <c r="G13" i="15" s="1"/>
  <c r="G13" i="2" s="1"/>
  <c r="F11" i="15"/>
  <c r="F13" i="15" s="1"/>
  <c r="F13" i="2" s="1"/>
  <c r="D11" i="15"/>
  <c r="D13" i="15" s="1"/>
  <c r="D13" i="2" s="1"/>
  <c r="AC6" i="15"/>
  <c r="AB6" i="15"/>
  <c r="AA6" i="15"/>
  <c r="Z6" i="15"/>
  <c r="Y6" i="15"/>
  <c r="X6" i="15"/>
  <c r="W6" i="15"/>
  <c r="V6" i="15"/>
  <c r="S6" i="15"/>
  <c r="R6" i="15"/>
  <c r="Q6" i="15"/>
  <c r="P6" i="15"/>
  <c r="O6" i="15"/>
  <c r="N6" i="15"/>
  <c r="M6" i="15"/>
  <c r="L6" i="15"/>
  <c r="I6" i="15"/>
  <c r="I7" i="15" s="1"/>
  <c r="I11" i="15" s="1"/>
  <c r="H6" i="15"/>
  <c r="H7" i="15" s="1"/>
  <c r="H11" i="15" s="1"/>
  <c r="G6" i="15"/>
  <c r="G7" i="15" s="1"/>
  <c r="F6" i="15"/>
  <c r="F7" i="15" s="1"/>
  <c r="E6" i="15"/>
  <c r="E7" i="15" s="1"/>
  <c r="E11" i="15" s="1"/>
  <c r="D6" i="15"/>
  <c r="D7" i="15" s="1"/>
  <c r="C6" i="15"/>
  <c r="C7" i="15" s="1"/>
  <c r="C11" i="15" s="1"/>
  <c r="B6" i="15"/>
  <c r="B7" i="15" s="1"/>
  <c r="B11" i="15" s="1"/>
  <c r="V3" i="15"/>
  <c r="L3" i="15"/>
  <c r="B3" i="15"/>
  <c r="U35" i="14"/>
  <c r="T35" i="14"/>
  <c r="S35" i="14"/>
  <c r="R35" i="14"/>
  <c r="Q35" i="14"/>
  <c r="P35" i="14"/>
  <c r="O35" i="14"/>
  <c r="N35" i="14"/>
  <c r="U29" i="14"/>
  <c r="T29" i="14"/>
  <c r="S29" i="14"/>
  <c r="R29" i="14"/>
  <c r="Q29" i="14"/>
  <c r="P29" i="14"/>
  <c r="O29" i="14"/>
  <c r="N29" i="14"/>
  <c r="U22" i="14"/>
  <c r="T22" i="14"/>
  <c r="S22" i="14"/>
  <c r="R22" i="14"/>
  <c r="Q22" i="14"/>
  <c r="P22" i="14"/>
  <c r="O22" i="14"/>
  <c r="N22" i="14"/>
  <c r="U15" i="14"/>
  <c r="T15" i="14"/>
  <c r="S15" i="14"/>
  <c r="R15" i="14"/>
  <c r="Q15" i="14"/>
  <c r="P15" i="14"/>
  <c r="O15" i="14"/>
  <c r="N15" i="14"/>
  <c r="J12" i="14"/>
  <c r="J15" i="14" s="1"/>
  <c r="L11" i="16" s="1"/>
  <c r="I12" i="14"/>
  <c r="I15" i="14" s="1"/>
  <c r="L10" i="16" s="1"/>
  <c r="H12" i="14"/>
  <c r="H15" i="14" s="1"/>
  <c r="L9" i="16" s="1"/>
  <c r="G12" i="14"/>
  <c r="G15" i="14" s="1"/>
  <c r="L8" i="16" s="1"/>
  <c r="F12" i="14"/>
  <c r="F15" i="14" s="1"/>
  <c r="L7" i="16" s="1"/>
  <c r="E12" i="14"/>
  <c r="E15" i="14" s="1"/>
  <c r="L6" i="16" s="1"/>
  <c r="D12" i="14"/>
  <c r="D15" i="14" s="1"/>
  <c r="L5" i="16" s="1"/>
  <c r="C12" i="14"/>
  <c r="C15" i="14" s="1"/>
  <c r="L4" i="16" s="1"/>
  <c r="U5" i="14"/>
  <c r="T5" i="14"/>
  <c r="S5" i="14"/>
  <c r="R5" i="14"/>
  <c r="Q5" i="14"/>
  <c r="P5" i="14"/>
  <c r="O5" i="14"/>
  <c r="N5" i="14"/>
  <c r="AE3" i="14"/>
  <c r="AE5" i="14" s="1"/>
  <c r="AD3" i="14"/>
  <c r="AD5" i="14" s="1"/>
  <c r="AD2" i="14"/>
  <c r="AB2" i="14"/>
  <c r="AA2" i="14"/>
  <c r="Z2" i="14"/>
  <c r="Y2" i="14"/>
  <c r="X2" i="14"/>
  <c r="C118" i="13"/>
  <c r="A118" i="13"/>
  <c r="C117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B55" i="13"/>
  <c r="AB124" i="13" s="1"/>
  <c r="AA55" i="13"/>
  <c r="AA124" i="13" s="1"/>
  <c r="Z55" i="13"/>
  <c r="Z124" i="13" s="1"/>
  <c r="Y55" i="13"/>
  <c r="Y124" i="13" s="1"/>
  <c r="X55" i="13"/>
  <c r="X124" i="13" s="1"/>
  <c r="W55" i="13"/>
  <c r="V55" i="13"/>
  <c r="V124" i="13" s="1"/>
  <c r="U55" i="13"/>
  <c r="U124" i="13" s="1"/>
  <c r="T55" i="13"/>
  <c r="T124" i="13" s="1"/>
  <c r="S55" i="13"/>
  <c r="S124" i="13" s="1"/>
  <c r="R55" i="13"/>
  <c r="R124" i="13" s="1"/>
  <c r="Q55" i="13"/>
  <c r="Q124" i="13" s="1"/>
  <c r="P55" i="13"/>
  <c r="P124" i="13" s="1"/>
  <c r="O55" i="13"/>
  <c r="O124" i="13" s="1"/>
  <c r="N55" i="13"/>
  <c r="N124" i="13" s="1"/>
  <c r="M55" i="13"/>
  <c r="M124" i="13" s="1"/>
  <c r="L55" i="13"/>
  <c r="L124" i="13" s="1"/>
  <c r="K55" i="13"/>
  <c r="K124" i="13" s="1"/>
  <c r="J55" i="13"/>
  <c r="J124" i="13" s="1"/>
  <c r="I55" i="13"/>
  <c r="I124" i="13" s="1"/>
  <c r="H55" i="13"/>
  <c r="H124" i="13" s="1"/>
  <c r="A55" i="13"/>
  <c r="AB54" i="13"/>
  <c r="AB123" i="13" s="1"/>
  <c r="AA54" i="13"/>
  <c r="AA123" i="13" s="1"/>
  <c r="Z54" i="13"/>
  <c r="Z123" i="13" s="1"/>
  <c r="Y54" i="13"/>
  <c r="Y123" i="13" s="1"/>
  <c r="X54" i="13"/>
  <c r="X123" i="13" s="1"/>
  <c r="W54" i="13"/>
  <c r="W123" i="13" s="1"/>
  <c r="V54" i="13"/>
  <c r="U54" i="13"/>
  <c r="U123" i="13" s="1"/>
  <c r="T54" i="13"/>
  <c r="T123" i="13" s="1"/>
  <c r="S54" i="13"/>
  <c r="R54" i="13"/>
  <c r="R123" i="13" s="1"/>
  <c r="Q54" i="13"/>
  <c r="Q123" i="13" s="1"/>
  <c r="P54" i="13"/>
  <c r="P123" i="13" s="1"/>
  <c r="O54" i="13"/>
  <c r="O123" i="13" s="1"/>
  <c r="N54" i="13"/>
  <c r="N123" i="13" s="1"/>
  <c r="M54" i="13"/>
  <c r="M123" i="13" s="1"/>
  <c r="L54" i="13"/>
  <c r="L123" i="13" s="1"/>
  <c r="K54" i="13"/>
  <c r="K123" i="13" s="1"/>
  <c r="J54" i="13"/>
  <c r="J123" i="13" s="1"/>
  <c r="I54" i="13"/>
  <c r="I123" i="13" s="1"/>
  <c r="H54" i="13"/>
  <c r="H123" i="13" s="1"/>
  <c r="A54" i="13"/>
  <c r="AB53" i="13"/>
  <c r="AB122" i="13" s="1"/>
  <c r="AA53" i="13"/>
  <c r="AA122" i="13" s="1"/>
  <c r="Z53" i="13"/>
  <c r="Z122" i="13" s="1"/>
  <c r="Y53" i="13"/>
  <c r="Y122" i="13" s="1"/>
  <c r="X53" i="13"/>
  <c r="W53" i="13"/>
  <c r="W122" i="13" s="1"/>
  <c r="V53" i="13"/>
  <c r="V122" i="13" s="1"/>
  <c r="U53" i="13"/>
  <c r="T53" i="13"/>
  <c r="T122" i="13" s="1"/>
  <c r="S53" i="13"/>
  <c r="S122" i="13" s="1"/>
  <c r="R53" i="13"/>
  <c r="Q53" i="13"/>
  <c r="Q122" i="13" s="1"/>
  <c r="P53" i="13"/>
  <c r="P122" i="13" s="1"/>
  <c r="O53" i="13"/>
  <c r="N53" i="13"/>
  <c r="N122" i="13" s="1"/>
  <c r="M53" i="13"/>
  <c r="L53" i="13"/>
  <c r="L122" i="13" s="1"/>
  <c r="K53" i="13"/>
  <c r="K122" i="13" s="1"/>
  <c r="J53" i="13"/>
  <c r="J122" i="13" s="1"/>
  <c r="I53" i="13"/>
  <c r="I122" i="13" s="1"/>
  <c r="H53" i="13"/>
  <c r="A53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K56" i="13" s="1"/>
  <c r="K125" i="13" s="1"/>
  <c r="J52" i="13"/>
  <c r="I52" i="13"/>
  <c r="H52" i="13"/>
  <c r="A52" i="13"/>
  <c r="AD48" i="13"/>
  <c r="AC48" i="13"/>
  <c r="AD47" i="13"/>
  <c r="AC47" i="13"/>
  <c r="AD46" i="13"/>
  <c r="AC46" i="13"/>
  <c r="AD45" i="13"/>
  <c r="AC45" i="13"/>
  <c r="AD44" i="13"/>
  <c r="AC44" i="13"/>
  <c r="AD43" i="13"/>
  <c r="AC43" i="13"/>
  <c r="AD42" i="13"/>
  <c r="AC42" i="13"/>
  <c r="AD41" i="13"/>
  <c r="AC41" i="13"/>
  <c r="AD40" i="13"/>
  <c r="AE40" i="13" s="1"/>
  <c r="AC40" i="13"/>
  <c r="AD39" i="13"/>
  <c r="AC39" i="13"/>
  <c r="AD38" i="13"/>
  <c r="AC38" i="13"/>
  <c r="AD37" i="13"/>
  <c r="AC37" i="13"/>
  <c r="AD36" i="13"/>
  <c r="AC36" i="13"/>
  <c r="AD35" i="13"/>
  <c r="AC35" i="13"/>
  <c r="AD34" i="13"/>
  <c r="AE34" i="13" s="1"/>
  <c r="AC34" i="13"/>
  <c r="AD33" i="13"/>
  <c r="AE33" i="13" s="1"/>
  <c r="AC33" i="13"/>
  <c r="AD32" i="13"/>
  <c r="AC32" i="13"/>
  <c r="AD31" i="13"/>
  <c r="AC31" i="13"/>
  <c r="AD30" i="13"/>
  <c r="AC30" i="13"/>
  <c r="AD29" i="13"/>
  <c r="AC29" i="13"/>
  <c r="AD28" i="13"/>
  <c r="AC28" i="13"/>
  <c r="AD27" i="13"/>
  <c r="AE27" i="13" s="1"/>
  <c r="AC27" i="13"/>
  <c r="AD26" i="13"/>
  <c r="AC26" i="13"/>
  <c r="AD25" i="13"/>
  <c r="AC25" i="13"/>
  <c r="AD24" i="13"/>
  <c r="AC24" i="13"/>
  <c r="AD23" i="13"/>
  <c r="AC23" i="13"/>
  <c r="AD22" i="13"/>
  <c r="AC22" i="13"/>
  <c r="AD21" i="13"/>
  <c r="AC21" i="13"/>
  <c r="AD20" i="13"/>
  <c r="AC20" i="13"/>
  <c r="AA18" i="13"/>
  <c r="W18" i="13"/>
  <c r="AB17" i="13"/>
  <c r="AB120" i="13" s="1"/>
  <c r="AA17" i="13"/>
  <c r="AA120" i="13" s="1"/>
  <c r="Z17" i="13"/>
  <c r="Z120" i="13" s="1"/>
  <c r="Y17" i="13"/>
  <c r="Y120" i="13" s="1"/>
  <c r="X17" i="13"/>
  <c r="W17" i="13"/>
  <c r="W120" i="13" s="1"/>
  <c r="V17" i="13"/>
  <c r="V120" i="13" s="1"/>
  <c r="U17" i="13"/>
  <c r="T17" i="13"/>
  <c r="T120" i="13" s="1"/>
  <c r="S17" i="13"/>
  <c r="S120" i="13" s="1"/>
  <c r="R17" i="13"/>
  <c r="R120" i="13" s="1"/>
  <c r="Q17" i="13"/>
  <c r="Q120" i="13" s="1"/>
  <c r="P17" i="13"/>
  <c r="P18" i="13" s="1"/>
  <c r="O17" i="13"/>
  <c r="O120" i="13" s="1"/>
  <c r="N17" i="13"/>
  <c r="M17" i="13"/>
  <c r="M120" i="13" s="1"/>
  <c r="L17" i="13"/>
  <c r="L120" i="13" s="1"/>
  <c r="K17" i="13"/>
  <c r="K120" i="13" s="1"/>
  <c r="J17" i="13"/>
  <c r="J120" i="13" s="1"/>
  <c r="I17" i="13"/>
  <c r="I120" i="13" s="1"/>
  <c r="H17" i="13"/>
  <c r="G17" i="13"/>
  <c r="G120" i="13" s="1"/>
  <c r="F17" i="13"/>
  <c r="F120" i="13" s="1"/>
  <c r="E17" i="13"/>
  <c r="D17" i="13"/>
  <c r="I6" i="13" a="1"/>
  <c r="I6" i="13" s="1"/>
  <c r="H6" i="13" a="1"/>
  <c r="H6" i="13" s="1"/>
  <c r="C6" i="13"/>
  <c r="C5" i="13"/>
  <c r="C4" i="13"/>
  <c r="C3" i="13"/>
  <c r="C118" i="12"/>
  <c r="A118" i="12"/>
  <c r="C117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B55" i="12"/>
  <c r="AB124" i="12" s="1"/>
  <c r="AA55" i="12"/>
  <c r="AA124" i="12" s="1"/>
  <c r="Z55" i="12"/>
  <c r="Z124" i="12" s="1"/>
  <c r="Y55" i="12"/>
  <c r="Y124" i="12" s="1"/>
  <c r="X55" i="12"/>
  <c r="X124" i="12" s="1"/>
  <c r="W55" i="12"/>
  <c r="W124" i="12" s="1"/>
  <c r="V55" i="12"/>
  <c r="V124" i="12" s="1"/>
  <c r="U55" i="12"/>
  <c r="U124" i="12" s="1"/>
  <c r="T55" i="12"/>
  <c r="T124" i="12" s="1"/>
  <c r="S55" i="12"/>
  <c r="R55" i="12"/>
  <c r="R124" i="12" s="1"/>
  <c r="Q55" i="12"/>
  <c r="Q124" i="12" s="1"/>
  <c r="P55" i="12"/>
  <c r="P124" i="12" s="1"/>
  <c r="A55" i="12"/>
  <c r="AB54" i="12"/>
  <c r="AB123" i="12" s="1"/>
  <c r="AA54" i="12"/>
  <c r="AA123" i="12" s="1"/>
  <c r="Z54" i="12"/>
  <c r="Z123" i="12" s="1"/>
  <c r="Y54" i="12"/>
  <c r="Y123" i="12" s="1"/>
  <c r="X54" i="12"/>
  <c r="X123" i="12" s="1"/>
  <c r="W54" i="12"/>
  <c r="W123" i="12" s="1"/>
  <c r="V54" i="12"/>
  <c r="V123" i="12" s="1"/>
  <c r="U54" i="12"/>
  <c r="U123" i="12" s="1"/>
  <c r="T54" i="12"/>
  <c r="T123" i="12" s="1"/>
  <c r="S54" i="12"/>
  <c r="S123" i="12" s="1"/>
  <c r="R54" i="12"/>
  <c r="Q54" i="12"/>
  <c r="Q123" i="12" s="1"/>
  <c r="P54" i="12"/>
  <c r="P123" i="12" s="1"/>
  <c r="A54" i="12"/>
  <c r="AB53" i="12"/>
  <c r="AB122" i="12" s="1"/>
  <c r="AA53" i="12"/>
  <c r="Z53" i="12"/>
  <c r="Y53" i="12"/>
  <c r="X53" i="12"/>
  <c r="X122" i="12" s="1"/>
  <c r="W53" i="12"/>
  <c r="W122" i="12" s="1"/>
  <c r="V53" i="12"/>
  <c r="V122" i="12" s="1"/>
  <c r="U53" i="12"/>
  <c r="U122" i="12" s="1"/>
  <c r="T53" i="12"/>
  <c r="T122" i="12" s="1"/>
  <c r="S53" i="12"/>
  <c r="S122" i="12" s="1"/>
  <c r="R53" i="12"/>
  <c r="R122" i="12" s="1"/>
  <c r="Q53" i="12"/>
  <c r="P53" i="12"/>
  <c r="P122" i="12" s="1"/>
  <c r="A53" i="12"/>
  <c r="AB52" i="12"/>
  <c r="AA52" i="12"/>
  <c r="Z52" i="12"/>
  <c r="Y52" i="12"/>
  <c r="X52" i="12"/>
  <c r="W52" i="12"/>
  <c r="V52" i="12"/>
  <c r="V56" i="12" s="1"/>
  <c r="U52" i="12"/>
  <c r="U56" i="12" s="1"/>
  <c r="U125" i="12" s="1"/>
  <c r="T52" i="12"/>
  <c r="S52" i="12"/>
  <c r="R52" i="12"/>
  <c r="Q52" i="12"/>
  <c r="Q121" i="12" s="1"/>
  <c r="P52" i="12"/>
  <c r="A52" i="12"/>
  <c r="AD48" i="12"/>
  <c r="AC48" i="12"/>
  <c r="AD47" i="12"/>
  <c r="AC47" i="12"/>
  <c r="AD46" i="12"/>
  <c r="AC46" i="12"/>
  <c r="AD45" i="12"/>
  <c r="AC45" i="12"/>
  <c r="AD44" i="12"/>
  <c r="AC44" i="12"/>
  <c r="AD43" i="12"/>
  <c r="AC43" i="12"/>
  <c r="AD42" i="12"/>
  <c r="AC42" i="12"/>
  <c r="AD41" i="12"/>
  <c r="AC41" i="12"/>
  <c r="AD40" i="12"/>
  <c r="AC40" i="12"/>
  <c r="AD39" i="12"/>
  <c r="AC39" i="12"/>
  <c r="AD38" i="12"/>
  <c r="AC38" i="12"/>
  <c r="AD37" i="12"/>
  <c r="AC37" i="12"/>
  <c r="AE37" i="12" s="1"/>
  <c r="AD36" i="12"/>
  <c r="AC36" i="12"/>
  <c r="AD35" i="12"/>
  <c r="AC35" i="12"/>
  <c r="AD34" i="12"/>
  <c r="AC34" i="12"/>
  <c r="AD33" i="12"/>
  <c r="AC33" i="12"/>
  <c r="AD32" i="12"/>
  <c r="AC32" i="12"/>
  <c r="AD31" i="12"/>
  <c r="AC31" i="12"/>
  <c r="AD30" i="12"/>
  <c r="AC30" i="12"/>
  <c r="AD29" i="12"/>
  <c r="AC29" i="12"/>
  <c r="AD28" i="12"/>
  <c r="AC28" i="12"/>
  <c r="AD27" i="12"/>
  <c r="AC27" i="12"/>
  <c r="AD26" i="12"/>
  <c r="AC26" i="12"/>
  <c r="AD25" i="12"/>
  <c r="AC25" i="12"/>
  <c r="AD24" i="12"/>
  <c r="AC24" i="12"/>
  <c r="AD23" i="12"/>
  <c r="AC23" i="12"/>
  <c r="AD22" i="12"/>
  <c r="AC22" i="12"/>
  <c r="AD21" i="12"/>
  <c r="AC21" i="12"/>
  <c r="AD20" i="12"/>
  <c r="AC20" i="12"/>
  <c r="AB18" i="12"/>
  <c r="AA18" i="12"/>
  <c r="Z18" i="12"/>
  <c r="Y18" i="12"/>
  <c r="X18" i="12"/>
  <c r="U18" i="12"/>
  <c r="O18" i="12"/>
  <c r="AB17" i="12"/>
  <c r="AB120" i="12" s="1"/>
  <c r="AA17" i="12"/>
  <c r="AA120" i="12" s="1"/>
  <c r="Z17" i="12"/>
  <c r="Z120" i="12" s="1"/>
  <c r="Y17" i="12"/>
  <c r="Y120" i="12" s="1"/>
  <c r="X17" i="12"/>
  <c r="X120" i="12" s="1"/>
  <c r="W17" i="12"/>
  <c r="W120" i="12" s="1"/>
  <c r="V17" i="12"/>
  <c r="V120" i="12" s="1"/>
  <c r="U17" i="12"/>
  <c r="U120" i="12" s="1"/>
  <c r="T17" i="12"/>
  <c r="S17" i="12"/>
  <c r="S18" i="12" s="1"/>
  <c r="R17" i="12"/>
  <c r="Q17" i="12"/>
  <c r="P17" i="12"/>
  <c r="O17" i="12"/>
  <c r="O120" i="12" s="1"/>
  <c r="N17" i="12"/>
  <c r="N120" i="12" s="1"/>
  <c r="M17" i="12"/>
  <c r="M120" i="12" s="1"/>
  <c r="L17" i="12"/>
  <c r="L120" i="12" s="1"/>
  <c r="K17" i="12"/>
  <c r="K120" i="12" s="1"/>
  <c r="J17" i="12"/>
  <c r="J120" i="12" s="1"/>
  <c r="I17" i="12"/>
  <c r="I120" i="12" s="1"/>
  <c r="H17" i="12"/>
  <c r="H120" i="12" s="1"/>
  <c r="G17" i="12"/>
  <c r="G120" i="12" s="1"/>
  <c r="F17" i="12"/>
  <c r="F18" i="12" s="1"/>
  <c r="E17" i="12"/>
  <c r="E120" i="12" s="1"/>
  <c r="D17" i="12"/>
  <c r="I6" i="12" a="1"/>
  <c r="I6" i="12" s="1"/>
  <c r="H6" i="12" a="1"/>
  <c r="H6" i="12" s="1"/>
  <c r="C6" i="12"/>
  <c r="C5" i="12"/>
  <c r="C4" i="12"/>
  <c r="C3" i="12"/>
  <c r="C118" i="11"/>
  <c r="A118" i="11"/>
  <c r="C117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B55" i="11"/>
  <c r="AB124" i="11" s="1"/>
  <c r="AA55" i="11"/>
  <c r="AA124" i="11" s="1"/>
  <c r="Z55" i="11"/>
  <c r="Z124" i="11" s="1"/>
  <c r="Y55" i="11"/>
  <c r="Y124" i="11" s="1"/>
  <c r="X55" i="11"/>
  <c r="X124" i="11" s="1"/>
  <c r="W55" i="11"/>
  <c r="W124" i="11" s="1"/>
  <c r="V55" i="11"/>
  <c r="V124" i="11" s="1"/>
  <c r="U55" i="11"/>
  <c r="T55" i="11"/>
  <c r="T124" i="11" s="1"/>
  <c r="S55" i="11"/>
  <c r="R55" i="11"/>
  <c r="R124" i="11" s="1"/>
  <c r="Q55" i="11"/>
  <c r="Q124" i="11" s="1"/>
  <c r="P55" i="11"/>
  <c r="P124" i="11" s="1"/>
  <c r="A55" i="11"/>
  <c r="AB54" i="11"/>
  <c r="AB123" i="11" s="1"/>
  <c r="AA54" i="11"/>
  <c r="AA123" i="11" s="1"/>
  <c r="Z54" i="11"/>
  <c r="Z123" i="11" s="1"/>
  <c r="Y54" i="11"/>
  <c r="Y123" i="11" s="1"/>
  <c r="X54" i="11"/>
  <c r="X123" i="11" s="1"/>
  <c r="W54" i="11"/>
  <c r="W123" i="11" s="1"/>
  <c r="V54" i="11"/>
  <c r="V123" i="11" s="1"/>
  <c r="U54" i="11"/>
  <c r="U123" i="11" s="1"/>
  <c r="T54" i="11"/>
  <c r="T123" i="11" s="1"/>
  <c r="S54" i="11"/>
  <c r="S123" i="11" s="1"/>
  <c r="R54" i="11"/>
  <c r="R123" i="11" s="1"/>
  <c r="Q54" i="11"/>
  <c r="Q123" i="11" s="1"/>
  <c r="P54" i="11"/>
  <c r="A54" i="11"/>
  <c r="AB53" i="11"/>
  <c r="AB122" i="11" s="1"/>
  <c r="AA53" i="11"/>
  <c r="AA122" i="11" s="1"/>
  <c r="Z53" i="11"/>
  <c r="Y53" i="11"/>
  <c r="Y122" i="11" s="1"/>
  <c r="X53" i="11"/>
  <c r="X122" i="11" s="1"/>
  <c r="W53" i="11"/>
  <c r="W122" i="11" s="1"/>
  <c r="V53" i="11"/>
  <c r="V122" i="11" s="1"/>
  <c r="U53" i="11"/>
  <c r="T53" i="11"/>
  <c r="S53" i="11"/>
  <c r="S122" i="11" s="1"/>
  <c r="R53" i="11"/>
  <c r="R122" i="11" s="1"/>
  <c r="Q53" i="11"/>
  <c r="Q122" i="11" s="1"/>
  <c r="P53" i="11"/>
  <c r="P122" i="11" s="1"/>
  <c r="A53" i="11"/>
  <c r="AB52" i="11"/>
  <c r="AA52" i="11"/>
  <c r="Z52" i="11"/>
  <c r="Y52" i="11"/>
  <c r="X52" i="11"/>
  <c r="W52" i="11"/>
  <c r="V52" i="11"/>
  <c r="U52" i="11"/>
  <c r="T52" i="11"/>
  <c r="T121" i="11" s="1"/>
  <c r="S52" i="11"/>
  <c r="R52" i="11"/>
  <c r="R56" i="11" s="1"/>
  <c r="R125" i="11" s="1"/>
  <c r="Q52" i="11"/>
  <c r="P52" i="11"/>
  <c r="A52" i="11"/>
  <c r="AD48" i="11"/>
  <c r="AC48" i="11"/>
  <c r="AD47" i="11"/>
  <c r="AC47" i="11"/>
  <c r="AD46" i="11"/>
  <c r="AC46" i="11"/>
  <c r="AE46" i="11" s="1"/>
  <c r="AD45" i="11"/>
  <c r="AC45" i="11"/>
  <c r="AD44" i="11"/>
  <c r="AC44" i="11"/>
  <c r="AD43" i="11"/>
  <c r="AC43" i="11"/>
  <c r="AD42" i="11"/>
  <c r="AC42" i="11"/>
  <c r="AD41" i="11"/>
  <c r="AC41" i="11"/>
  <c r="AD40" i="11"/>
  <c r="AC40" i="11"/>
  <c r="AD39" i="11"/>
  <c r="AC39" i="11"/>
  <c r="AD38" i="11"/>
  <c r="AC38" i="11"/>
  <c r="AD37" i="11"/>
  <c r="AC37" i="11"/>
  <c r="AD36" i="11"/>
  <c r="AC36" i="11"/>
  <c r="AD35" i="11"/>
  <c r="AE35" i="11" s="1"/>
  <c r="AC35" i="11"/>
  <c r="AD34" i="11"/>
  <c r="AC34" i="11"/>
  <c r="AD33" i="11"/>
  <c r="AC33" i="11"/>
  <c r="AD32" i="11"/>
  <c r="AC32" i="11"/>
  <c r="AD31" i="11"/>
  <c r="AC31" i="11"/>
  <c r="AD30" i="11"/>
  <c r="AC30" i="11"/>
  <c r="AD29" i="11"/>
  <c r="AC29" i="11"/>
  <c r="AD28" i="11"/>
  <c r="AC28" i="11"/>
  <c r="AD27" i="11"/>
  <c r="AC27" i="11"/>
  <c r="AE27" i="11" s="1"/>
  <c r="AD26" i="11"/>
  <c r="AC26" i="11"/>
  <c r="AD25" i="11"/>
  <c r="AC25" i="11"/>
  <c r="AD24" i="11"/>
  <c r="AC24" i="11"/>
  <c r="AD23" i="11"/>
  <c r="AC23" i="11"/>
  <c r="AE23" i="11" s="1"/>
  <c r="AD22" i="11"/>
  <c r="AC22" i="11"/>
  <c r="AD21" i="11"/>
  <c r="AC21" i="11"/>
  <c r="AD20" i="11"/>
  <c r="AC20" i="11"/>
  <c r="AA18" i="11"/>
  <c r="Y18" i="11"/>
  <c r="V18" i="11"/>
  <c r="U18" i="11"/>
  <c r="T18" i="11"/>
  <c r="O18" i="11"/>
  <c r="L18" i="11"/>
  <c r="J18" i="11"/>
  <c r="I18" i="11"/>
  <c r="H18" i="11"/>
  <c r="F18" i="11"/>
  <c r="E18" i="11"/>
  <c r="AB17" i="11"/>
  <c r="AA17" i="11"/>
  <c r="AA120" i="11" s="1"/>
  <c r="Z17" i="11"/>
  <c r="Y17" i="11"/>
  <c r="Y120" i="11" s="1"/>
  <c r="X17" i="11"/>
  <c r="X120" i="11" s="1"/>
  <c r="W17" i="11"/>
  <c r="V17" i="11"/>
  <c r="V120" i="11" s="1"/>
  <c r="U17" i="11"/>
  <c r="U120" i="11" s="1"/>
  <c r="T17" i="11"/>
  <c r="T120" i="11" s="1"/>
  <c r="S17" i="11"/>
  <c r="R17" i="11"/>
  <c r="R120" i="11" s="1"/>
  <c r="Q17" i="11"/>
  <c r="P17" i="11"/>
  <c r="P120" i="11" s="1"/>
  <c r="O17" i="11"/>
  <c r="O120" i="11" s="1"/>
  <c r="N17" i="11"/>
  <c r="N120" i="11" s="1"/>
  <c r="M17" i="11"/>
  <c r="L17" i="11"/>
  <c r="L120" i="11" s="1"/>
  <c r="K17" i="11"/>
  <c r="J17" i="11"/>
  <c r="J120" i="11" s="1"/>
  <c r="I17" i="11"/>
  <c r="I120" i="11" s="1"/>
  <c r="H17" i="11"/>
  <c r="H120" i="11" s="1"/>
  <c r="G17" i="11"/>
  <c r="F17" i="11"/>
  <c r="F120" i="11" s="1"/>
  <c r="E17" i="11"/>
  <c r="E120" i="11" s="1"/>
  <c r="D17" i="11"/>
  <c r="I6" i="11" a="1"/>
  <c r="I6" i="11" s="1"/>
  <c r="H6" i="11" a="1"/>
  <c r="H6" i="11" s="1"/>
  <c r="C6" i="11"/>
  <c r="C5" i="11"/>
  <c r="C4" i="11"/>
  <c r="C3" i="11"/>
  <c r="W120" i="10"/>
  <c r="C118" i="10"/>
  <c r="A118" i="10"/>
  <c r="C117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B55" i="10"/>
  <c r="AB124" i="10" s="1"/>
  <c r="AA55" i="10"/>
  <c r="AA124" i="10" s="1"/>
  <c r="Z55" i="10"/>
  <c r="Z124" i="10" s="1"/>
  <c r="Y55" i="10"/>
  <c r="Y124" i="10" s="1"/>
  <c r="X55" i="10"/>
  <c r="X124" i="10" s="1"/>
  <c r="W55" i="10"/>
  <c r="W124" i="10" s="1"/>
  <c r="V55" i="10"/>
  <c r="V124" i="10" s="1"/>
  <c r="U55" i="10"/>
  <c r="U124" i="10" s="1"/>
  <c r="T55" i="10"/>
  <c r="T124" i="10" s="1"/>
  <c r="S55" i="10"/>
  <c r="S124" i="10" s="1"/>
  <c r="R55" i="10"/>
  <c r="R124" i="10" s="1"/>
  <c r="Q55" i="10"/>
  <c r="Q124" i="10" s="1"/>
  <c r="P55" i="10"/>
  <c r="P124" i="10" s="1"/>
  <c r="A55" i="10"/>
  <c r="AB54" i="10"/>
  <c r="AB123" i="10" s="1"/>
  <c r="AA54" i="10"/>
  <c r="AA123" i="10" s="1"/>
  <c r="Z54" i="10"/>
  <c r="Z123" i="10" s="1"/>
  <c r="Y54" i="10"/>
  <c r="X54" i="10"/>
  <c r="W54" i="10"/>
  <c r="W123" i="10" s="1"/>
  <c r="V54" i="10"/>
  <c r="V123" i="10" s="1"/>
  <c r="U54" i="10"/>
  <c r="U123" i="10" s="1"/>
  <c r="T54" i="10"/>
  <c r="T123" i="10" s="1"/>
  <c r="S54" i="10"/>
  <c r="S123" i="10" s="1"/>
  <c r="R54" i="10"/>
  <c r="R123" i="10" s="1"/>
  <c r="Q54" i="10"/>
  <c r="Q123" i="10" s="1"/>
  <c r="P54" i="10"/>
  <c r="P123" i="10" s="1"/>
  <c r="A54" i="10"/>
  <c r="AB53" i="10"/>
  <c r="AB122" i="10" s="1"/>
  <c r="AA53" i="10"/>
  <c r="AA122" i="10" s="1"/>
  <c r="Z53" i="10"/>
  <c r="Z122" i="10" s="1"/>
  <c r="Y53" i="10"/>
  <c r="Y122" i="10" s="1"/>
  <c r="X53" i="10"/>
  <c r="X122" i="10" s="1"/>
  <c r="W53" i="10"/>
  <c r="W122" i="10" s="1"/>
  <c r="V53" i="10"/>
  <c r="V122" i="10" s="1"/>
  <c r="U53" i="10"/>
  <c r="T53" i="10"/>
  <c r="S53" i="10"/>
  <c r="S122" i="10" s="1"/>
  <c r="R53" i="10"/>
  <c r="R122" i="10" s="1"/>
  <c r="Q53" i="10"/>
  <c r="Q122" i="10" s="1"/>
  <c r="P53" i="10"/>
  <c r="P122" i="10" s="1"/>
  <c r="A53" i="10"/>
  <c r="AB52" i="10"/>
  <c r="AA52" i="10"/>
  <c r="AA56" i="10" s="1"/>
  <c r="Z52" i="10"/>
  <c r="Z121" i="10" s="1"/>
  <c r="Y52" i="10"/>
  <c r="X52" i="10"/>
  <c r="W52" i="10"/>
  <c r="V52" i="10"/>
  <c r="U52" i="10"/>
  <c r="U121" i="10" s="1"/>
  <c r="T52" i="10"/>
  <c r="T121" i="10" s="1"/>
  <c r="S52" i="10"/>
  <c r="R52" i="10"/>
  <c r="R121" i="10" s="1"/>
  <c r="Q52" i="10"/>
  <c r="P52" i="10"/>
  <c r="A52" i="10"/>
  <c r="AD48" i="10"/>
  <c r="AC48" i="10"/>
  <c r="AD47" i="10"/>
  <c r="AC47" i="10"/>
  <c r="AD46" i="10"/>
  <c r="AC46" i="10"/>
  <c r="AD45" i="10"/>
  <c r="AC45" i="10"/>
  <c r="AE45" i="10" s="1"/>
  <c r="AD44" i="10"/>
  <c r="AC44" i="10"/>
  <c r="AE44" i="10" s="1"/>
  <c r="AD43" i="10"/>
  <c r="AC43" i="10"/>
  <c r="AD42" i="10"/>
  <c r="AC42" i="10"/>
  <c r="AD41" i="10"/>
  <c r="AC41" i="10"/>
  <c r="AD40" i="10"/>
  <c r="AC40" i="10"/>
  <c r="AD39" i="10"/>
  <c r="AC39" i="10"/>
  <c r="AD38" i="10"/>
  <c r="AC38" i="10"/>
  <c r="AD37" i="10"/>
  <c r="AC37" i="10"/>
  <c r="AD36" i="10"/>
  <c r="AC36" i="10"/>
  <c r="AD35" i="10"/>
  <c r="AC35" i="10"/>
  <c r="AD34" i="10"/>
  <c r="AC34" i="10"/>
  <c r="AD33" i="10"/>
  <c r="AC33" i="10"/>
  <c r="AD32" i="10"/>
  <c r="AC32" i="10"/>
  <c r="AD31" i="10"/>
  <c r="AC31" i="10"/>
  <c r="AD30" i="10"/>
  <c r="AC30" i="10"/>
  <c r="AD29" i="10"/>
  <c r="AC29" i="10"/>
  <c r="AE29" i="10" s="1"/>
  <c r="AD28" i="10"/>
  <c r="AC28" i="10"/>
  <c r="AD27" i="10"/>
  <c r="AC27" i="10"/>
  <c r="AD26" i="10"/>
  <c r="AC26" i="10"/>
  <c r="AD25" i="10"/>
  <c r="AC25" i="10"/>
  <c r="AD24" i="10"/>
  <c r="AC24" i="10"/>
  <c r="AD23" i="10"/>
  <c r="AC23" i="10"/>
  <c r="AD22" i="10"/>
  <c r="AC22" i="10"/>
  <c r="AD21" i="10"/>
  <c r="AC21" i="10"/>
  <c r="AD20" i="10"/>
  <c r="AC20" i="10"/>
  <c r="P18" i="10"/>
  <c r="O18" i="10"/>
  <c r="N18" i="10"/>
  <c r="E18" i="10"/>
  <c r="AB17" i="10"/>
  <c r="AB120" i="10" s="1"/>
  <c r="AA17" i="10"/>
  <c r="Z17" i="10"/>
  <c r="Y17" i="10"/>
  <c r="Y18" i="10" s="1"/>
  <c r="X17" i="10"/>
  <c r="X18" i="10" s="1"/>
  <c r="W17" i="10"/>
  <c r="W18" i="10" s="1"/>
  <c r="V17" i="10"/>
  <c r="U17" i="10"/>
  <c r="U120" i="10" s="1"/>
  <c r="T17" i="10"/>
  <c r="T120" i="10" s="1"/>
  <c r="S17" i="10"/>
  <c r="S120" i="10" s="1"/>
  <c r="R17" i="10"/>
  <c r="R120" i="10" s="1"/>
  <c r="Q17" i="10"/>
  <c r="Q120" i="10" s="1"/>
  <c r="P17" i="10"/>
  <c r="P120" i="10" s="1"/>
  <c r="O17" i="10"/>
  <c r="O120" i="10" s="1"/>
  <c r="N17" i="10"/>
  <c r="N120" i="10" s="1"/>
  <c r="M17" i="10"/>
  <c r="L17" i="10"/>
  <c r="L120" i="10" s="1"/>
  <c r="K17" i="10"/>
  <c r="J17" i="10"/>
  <c r="I17" i="10"/>
  <c r="I120" i="10" s="1"/>
  <c r="H17" i="10"/>
  <c r="H120" i="10" s="1"/>
  <c r="G17" i="10"/>
  <c r="G120" i="10" s="1"/>
  <c r="F17" i="10"/>
  <c r="E17" i="10"/>
  <c r="E120" i="10" s="1"/>
  <c r="D17" i="10"/>
  <c r="I6" i="10" a="1"/>
  <c r="I6" i="10" s="1"/>
  <c r="H6" i="10" a="1"/>
  <c r="H6" i="10" s="1"/>
  <c r="C6" i="10"/>
  <c r="C5" i="10"/>
  <c r="C4" i="10"/>
  <c r="C3" i="10"/>
  <c r="C118" i="9"/>
  <c r="A118" i="9"/>
  <c r="C117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B55" i="9"/>
  <c r="AB124" i="9" s="1"/>
  <c r="AA55" i="9"/>
  <c r="AA124" i="9" s="1"/>
  <c r="Z55" i="9"/>
  <c r="Z124" i="9" s="1"/>
  <c r="Y55" i="9"/>
  <c r="Y124" i="9" s="1"/>
  <c r="X55" i="9"/>
  <c r="W55" i="9"/>
  <c r="W124" i="9" s="1"/>
  <c r="V55" i="9"/>
  <c r="V124" i="9" s="1"/>
  <c r="U55" i="9"/>
  <c r="U124" i="9" s="1"/>
  <c r="T55" i="9"/>
  <c r="T124" i="9" s="1"/>
  <c r="S55" i="9"/>
  <c r="R55" i="9"/>
  <c r="R124" i="9" s="1"/>
  <c r="Q55" i="9"/>
  <c r="Q124" i="9" s="1"/>
  <c r="P55" i="9"/>
  <c r="P124" i="9" s="1"/>
  <c r="A55" i="9"/>
  <c r="AB54" i="9"/>
  <c r="AB123" i="9" s="1"/>
  <c r="AA54" i="9"/>
  <c r="AA123" i="9" s="1"/>
  <c r="Z54" i="9"/>
  <c r="Z123" i="9" s="1"/>
  <c r="Y54" i="9"/>
  <c r="Y123" i="9" s="1"/>
  <c r="X54" i="9"/>
  <c r="X123" i="9" s="1"/>
  <c r="W54" i="9"/>
  <c r="W123" i="9" s="1"/>
  <c r="V54" i="9"/>
  <c r="V123" i="9" s="1"/>
  <c r="U54" i="9"/>
  <c r="U123" i="9" s="1"/>
  <c r="T54" i="9"/>
  <c r="T123" i="9" s="1"/>
  <c r="S54" i="9"/>
  <c r="S123" i="9" s="1"/>
  <c r="R54" i="9"/>
  <c r="R123" i="9" s="1"/>
  <c r="Q54" i="9"/>
  <c r="P54" i="9"/>
  <c r="P123" i="9" s="1"/>
  <c r="A54" i="9"/>
  <c r="AB53" i="9"/>
  <c r="AB122" i="9" s="1"/>
  <c r="AA53" i="9"/>
  <c r="Z53" i="9"/>
  <c r="Z122" i="9" s="1"/>
  <c r="Y53" i="9"/>
  <c r="Y122" i="9" s="1"/>
  <c r="X53" i="9"/>
  <c r="X122" i="9" s="1"/>
  <c r="W53" i="9"/>
  <c r="W122" i="9" s="1"/>
  <c r="V53" i="9"/>
  <c r="V122" i="9" s="1"/>
  <c r="U53" i="9"/>
  <c r="U122" i="9" s="1"/>
  <c r="T53" i="9"/>
  <c r="T122" i="9" s="1"/>
  <c r="S53" i="9"/>
  <c r="S122" i="9" s="1"/>
  <c r="R53" i="9"/>
  <c r="R122" i="9" s="1"/>
  <c r="Q53" i="9"/>
  <c r="Q122" i="9" s="1"/>
  <c r="P53" i="9"/>
  <c r="A53" i="9"/>
  <c r="AB52" i="9"/>
  <c r="AA52" i="9"/>
  <c r="AA121" i="9" s="1"/>
  <c r="Z52" i="9"/>
  <c r="Y52" i="9"/>
  <c r="X52" i="9"/>
  <c r="W52" i="9"/>
  <c r="W56" i="9" s="1"/>
  <c r="W125" i="9" s="1"/>
  <c r="V52" i="9"/>
  <c r="U52" i="9"/>
  <c r="U121" i="9" s="1"/>
  <c r="T52" i="9"/>
  <c r="S52" i="9"/>
  <c r="R52" i="9"/>
  <c r="Q52" i="9"/>
  <c r="Q121" i="9" s="1"/>
  <c r="P52" i="9"/>
  <c r="A52" i="9"/>
  <c r="AD48" i="9"/>
  <c r="AC48" i="9"/>
  <c r="AD47" i="9"/>
  <c r="AC47" i="9"/>
  <c r="AD46" i="9"/>
  <c r="AC46" i="9"/>
  <c r="AD45" i="9"/>
  <c r="AC45" i="9"/>
  <c r="AD44" i="9"/>
  <c r="AC44" i="9"/>
  <c r="AD43" i="9"/>
  <c r="AC43" i="9"/>
  <c r="AD42" i="9"/>
  <c r="AC42" i="9"/>
  <c r="AD41" i="9"/>
  <c r="AC41" i="9"/>
  <c r="AD40" i="9"/>
  <c r="AC40" i="9"/>
  <c r="AE40" i="9" s="1"/>
  <c r="AD39" i="9"/>
  <c r="AC39" i="9"/>
  <c r="AE39" i="9" s="1"/>
  <c r="AD38" i="9"/>
  <c r="AC38" i="9"/>
  <c r="AD37" i="9"/>
  <c r="AC37" i="9"/>
  <c r="AD36" i="9"/>
  <c r="AC36" i="9"/>
  <c r="AD35" i="9"/>
  <c r="AE35" i="9" s="1"/>
  <c r="AC35" i="9"/>
  <c r="AD34" i="9"/>
  <c r="AC34" i="9"/>
  <c r="AD33" i="9"/>
  <c r="AC33" i="9"/>
  <c r="AD32" i="9"/>
  <c r="AC32" i="9"/>
  <c r="AD31" i="9"/>
  <c r="AC31" i="9"/>
  <c r="AD30" i="9"/>
  <c r="AC30" i="9"/>
  <c r="AD29" i="9"/>
  <c r="AC29" i="9"/>
  <c r="AD28" i="9"/>
  <c r="AC28" i="9"/>
  <c r="AD27" i="9"/>
  <c r="AC27" i="9"/>
  <c r="AD26" i="9"/>
  <c r="AC26" i="9"/>
  <c r="AD25" i="9"/>
  <c r="AC25" i="9"/>
  <c r="AD24" i="9"/>
  <c r="AC24" i="9"/>
  <c r="AE24" i="9" s="1"/>
  <c r="AD23" i="9"/>
  <c r="AC23" i="9"/>
  <c r="AD22" i="9"/>
  <c r="AC22" i="9"/>
  <c r="AD21" i="9"/>
  <c r="AC21" i="9"/>
  <c r="AD20" i="9"/>
  <c r="AC20" i="9"/>
  <c r="AB18" i="9"/>
  <c r="Y18" i="9"/>
  <c r="AB17" i="9"/>
  <c r="AB120" i="9" s="1"/>
  <c r="AA17" i="9"/>
  <c r="AA120" i="9" s="1"/>
  <c r="Z17" i="9"/>
  <c r="Z120" i="9" s="1"/>
  <c r="Y17" i="9"/>
  <c r="Y120" i="9" s="1"/>
  <c r="X17" i="9"/>
  <c r="X120" i="9" s="1"/>
  <c r="W17" i="9"/>
  <c r="W120" i="9" s="1"/>
  <c r="V17" i="9"/>
  <c r="U17" i="9"/>
  <c r="U120" i="9" s="1"/>
  <c r="T17" i="9"/>
  <c r="T120" i="9" s="1"/>
  <c r="S17" i="9"/>
  <c r="S18" i="9" s="1"/>
  <c r="R17" i="9"/>
  <c r="R120" i="9" s="1"/>
  <c r="Q17" i="9"/>
  <c r="P17" i="9"/>
  <c r="P120" i="9" s="1"/>
  <c r="O17" i="9"/>
  <c r="O120" i="9" s="1"/>
  <c r="N17" i="9"/>
  <c r="N120" i="9" s="1"/>
  <c r="M17" i="9"/>
  <c r="M120" i="9" s="1"/>
  <c r="L17" i="9"/>
  <c r="L120" i="9" s="1"/>
  <c r="K17" i="9"/>
  <c r="K120" i="9" s="1"/>
  <c r="J17" i="9"/>
  <c r="J120" i="9" s="1"/>
  <c r="I17" i="9"/>
  <c r="I120" i="9" s="1"/>
  <c r="H17" i="9"/>
  <c r="H120" i="9" s="1"/>
  <c r="G17" i="9"/>
  <c r="G120" i="9" s="1"/>
  <c r="F17" i="9"/>
  <c r="F18" i="9" s="1"/>
  <c r="E17" i="9"/>
  <c r="E120" i="9" s="1"/>
  <c r="D17" i="9"/>
  <c r="I6" i="9" a="1"/>
  <c r="I6" i="9" s="1"/>
  <c r="H6" i="9" a="1"/>
  <c r="H6" i="9" s="1"/>
  <c r="C6" i="9"/>
  <c r="C5" i="9"/>
  <c r="C4" i="9"/>
  <c r="C3" i="9"/>
  <c r="H120" i="8"/>
  <c r="C118" i="8"/>
  <c r="A118" i="8"/>
  <c r="C117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B55" i="8"/>
  <c r="AB124" i="8" s="1"/>
  <c r="AA55" i="8"/>
  <c r="AA124" i="8" s="1"/>
  <c r="Z55" i="8"/>
  <c r="Z124" i="8" s="1"/>
  <c r="Y55" i="8"/>
  <c r="Y124" i="8" s="1"/>
  <c r="X55" i="8"/>
  <c r="X124" i="8" s="1"/>
  <c r="W55" i="8"/>
  <c r="W124" i="8" s="1"/>
  <c r="V55" i="8"/>
  <c r="V124" i="8" s="1"/>
  <c r="U55" i="8"/>
  <c r="U124" i="8" s="1"/>
  <c r="T55" i="8"/>
  <c r="T124" i="8" s="1"/>
  <c r="S55" i="8"/>
  <c r="S124" i="8" s="1"/>
  <c r="R55" i="8"/>
  <c r="R124" i="8" s="1"/>
  <c r="Q55" i="8"/>
  <c r="Q124" i="8" s="1"/>
  <c r="P55" i="8"/>
  <c r="P124" i="8" s="1"/>
  <c r="O55" i="8"/>
  <c r="O124" i="8" s="1"/>
  <c r="N55" i="8"/>
  <c r="N124" i="8" s="1"/>
  <c r="M55" i="8"/>
  <c r="M124" i="8" s="1"/>
  <c r="L55" i="8"/>
  <c r="L124" i="8" s="1"/>
  <c r="K55" i="8"/>
  <c r="K124" i="8" s="1"/>
  <c r="J55" i="8"/>
  <c r="J124" i="8" s="1"/>
  <c r="I55" i="8"/>
  <c r="I124" i="8" s="1"/>
  <c r="H55" i="8"/>
  <c r="H124" i="8" s="1"/>
  <c r="G55" i="8"/>
  <c r="G124" i="8" s="1"/>
  <c r="F55" i="8"/>
  <c r="F124" i="8" s="1"/>
  <c r="E55" i="8"/>
  <c r="E124" i="8" s="1"/>
  <c r="D55" i="8"/>
  <c r="D124" i="8" s="1"/>
  <c r="A55" i="8"/>
  <c r="AB54" i="8"/>
  <c r="AB123" i="8" s="1"/>
  <c r="AA54" i="8"/>
  <c r="AA123" i="8" s="1"/>
  <c r="Z54" i="8"/>
  <c r="Z123" i="8" s="1"/>
  <c r="Y54" i="8"/>
  <c r="Y123" i="8" s="1"/>
  <c r="X54" i="8"/>
  <c r="X123" i="8" s="1"/>
  <c r="W54" i="8"/>
  <c r="W123" i="8" s="1"/>
  <c r="V54" i="8"/>
  <c r="V123" i="8" s="1"/>
  <c r="U54" i="8"/>
  <c r="T54" i="8"/>
  <c r="T123" i="8" s="1"/>
  <c r="S54" i="8"/>
  <c r="S123" i="8" s="1"/>
  <c r="R54" i="8"/>
  <c r="R123" i="8" s="1"/>
  <c r="Q54" i="8"/>
  <c r="Q123" i="8" s="1"/>
  <c r="P54" i="8"/>
  <c r="P123" i="8" s="1"/>
  <c r="O54" i="8"/>
  <c r="O123" i="8" s="1"/>
  <c r="N54" i="8"/>
  <c r="N123" i="8" s="1"/>
  <c r="M54" i="8"/>
  <c r="M123" i="8" s="1"/>
  <c r="L54" i="8"/>
  <c r="L123" i="8" s="1"/>
  <c r="K54" i="8"/>
  <c r="K123" i="8" s="1"/>
  <c r="J54" i="8"/>
  <c r="J123" i="8" s="1"/>
  <c r="I54" i="8"/>
  <c r="I123" i="8" s="1"/>
  <c r="H54" i="8"/>
  <c r="H123" i="8" s="1"/>
  <c r="G54" i="8"/>
  <c r="G123" i="8" s="1"/>
  <c r="F54" i="8"/>
  <c r="F123" i="8" s="1"/>
  <c r="E54" i="8"/>
  <c r="D54" i="8"/>
  <c r="D123" i="8" s="1"/>
  <c r="A54" i="8"/>
  <c r="AB53" i="8"/>
  <c r="AB122" i="8" s="1"/>
  <c r="AA53" i="8"/>
  <c r="AA122" i="8" s="1"/>
  <c r="Z53" i="8"/>
  <c r="Z122" i="8" s="1"/>
  <c r="Y53" i="8"/>
  <c r="Y122" i="8" s="1"/>
  <c r="X53" i="8"/>
  <c r="X122" i="8" s="1"/>
  <c r="W53" i="8"/>
  <c r="W122" i="8" s="1"/>
  <c r="V53" i="8"/>
  <c r="V122" i="8" s="1"/>
  <c r="U53" i="8"/>
  <c r="U122" i="8" s="1"/>
  <c r="T53" i="8"/>
  <c r="T122" i="8" s="1"/>
  <c r="S53" i="8"/>
  <c r="S122" i="8" s="1"/>
  <c r="R53" i="8"/>
  <c r="R122" i="8" s="1"/>
  <c r="Q53" i="8"/>
  <c r="P53" i="8"/>
  <c r="P122" i="8" s="1"/>
  <c r="O53" i="8"/>
  <c r="O122" i="8" s="1"/>
  <c r="N53" i="8"/>
  <c r="M53" i="8"/>
  <c r="M122" i="8" s="1"/>
  <c r="L53" i="8"/>
  <c r="L122" i="8" s="1"/>
  <c r="K53" i="8"/>
  <c r="K122" i="8" s="1"/>
  <c r="J53" i="8"/>
  <c r="J122" i="8" s="1"/>
  <c r="I53" i="8"/>
  <c r="I122" i="8" s="1"/>
  <c r="H53" i="8"/>
  <c r="H122" i="8" s="1"/>
  <c r="G53" i="8"/>
  <c r="G122" i="8" s="1"/>
  <c r="F53" i="8"/>
  <c r="F122" i="8" s="1"/>
  <c r="E53" i="8"/>
  <c r="E122" i="8" s="1"/>
  <c r="D53" i="8"/>
  <c r="D122" i="8" s="1"/>
  <c r="A53" i="8"/>
  <c r="AB52" i="8"/>
  <c r="AA52" i="8"/>
  <c r="AA121" i="8" s="1"/>
  <c r="Z52" i="8"/>
  <c r="Y52" i="8"/>
  <c r="X52" i="8"/>
  <c r="W52" i="8"/>
  <c r="W121" i="8" s="1"/>
  <c r="V52" i="8"/>
  <c r="U52" i="8"/>
  <c r="T52" i="8"/>
  <c r="T121" i="8" s="1"/>
  <c r="S52" i="8"/>
  <c r="R52" i="8"/>
  <c r="Q52" i="8"/>
  <c r="Q121" i="8" s="1"/>
  <c r="P52" i="8"/>
  <c r="O52" i="8"/>
  <c r="O121" i="8" s="1"/>
  <c r="N52" i="8"/>
  <c r="M52" i="8"/>
  <c r="L52" i="8"/>
  <c r="K52" i="8"/>
  <c r="K121" i="8" s="1"/>
  <c r="J52" i="8"/>
  <c r="I52" i="8"/>
  <c r="H52" i="8"/>
  <c r="H121" i="8" s="1"/>
  <c r="G52" i="8"/>
  <c r="G121" i="8" s="1"/>
  <c r="F52" i="8"/>
  <c r="E52" i="8"/>
  <c r="E121" i="8" s="1"/>
  <c r="D52" i="8"/>
  <c r="A52" i="8"/>
  <c r="W18" i="8"/>
  <c r="V18" i="8"/>
  <c r="U18" i="8"/>
  <c r="T18" i="8"/>
  <c r="S18" i="8"/>
  <c r="N18" i="8"/>
  <c r="I18" i="8"/>
  <c r="G18" i="8"/>
  <c r="F18" i="8"/>
  <c r="E18" i="8"/>
  <c r="AB17" i="8"/>
  <c r="AA17" i="8"/>
  <c r="Z17" i="8"/>
  <c r="Z120" i="8" s="1"/>
  <c r="Y17" i="8"/>
  <c r="Y120" i="8" s="1"/>
  <c r="X17" i="8"/>
  <c r="X120" i="8" s="1"/>
  <c r="W17" i="8"/>
  <c r="W120" i="8" s="1"/>
  <c r="V17" i="8"/>
  <c r="V120" i="8" s="1"/>
  <c r="U17" i="8"/>
  <c r="U120" i="8" s="1"/>
  <c r="T17" i="8"/>
  <c r="T120" i="8" s="1"/>
  <c r="S17" i="8"/>
  <c r="S120" i="8" s="1"/>
  <c r="R17" i="8"/>
  <c r="R18" i="8" s="1"/>
  <c r="Q17" i="8"/>
  <c r="Q120" i="8" s="1"/>
  <c r="P17" i="8"/>
  <c r="P120" i="8" s="1"/>
  <c r="O17" i="8"/>
  <c r="N17" i="8"/>
  <c r="N120" i="8" s="1"/>
  <c r="M17" i="8"/>
  <c r="M120" i="8" s="1"/>
  <c r="L17" i="8"/>
  <c r="K17" i="8"/>
  <c r="J17" i="8"/>
  <c r="J120" i="8" s="1"/>
  <c r="I17" i="8"/>
  <c r="I120" i="8" s="1"/>
  <c r="G17" i="8"/>
  <c r="G120" i="8" s="1"/>
  <c r="F17" i="8"/>
  <c r="F120" i="8" s="1"/>
  <c r="E17" i="8"/>
  <c r="E120" i="8" s="1"/>
  <c r="D17" i="8"/>
  <c r="I6" i="8" a="1"/>
  <c r="I6" i="8" s="1"/>
  <c r="H6" i="8" a="1"/>
  <c r="H6" i="8" s="1"/>
  <c r="C6" i="8"/>
  <c r="C5" i="8"/>
  <c r="C4" i="8"/>
  <c r="C3" i="8"/>
  <c r="I120" i="7"/>
  <c r="F120" i="7"/>
  <c r="C118" i="7"/>
  <c r="A118" i="7"/>
  <c r="C117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B55" i="7"/>
  <c r="AB124" i="7" s="1"/>
  <c r="AA55" i="7"/>
  <c r="AA124" i="7" s="1"/>
  <c r="Z55" i="7"/>
  <c r="Z124" i="7" s="1"/>
  <c r="Y55" i="7"/>
  <c r="Y124" i="7" s="1"/>
  <c r="X55" i="7"/>
  <c r="X124" i="7" s="1"/>
  <c r="W55" i="7"/>
  <c r="W124" i="7" s="1"/>
  <c r="V55" i="7"/>
  <c r="V124" i="7" s="1"/>
  <c r="U55" i="7"/>
  <c r="U124" i="7" s="1"/>
  <c r="T55" i="7"/>
  <c r="T124" i="7" s="1"/>
  <c r="S55" i="7"/>
  <c r="S124" i="7" s="1"/>
  <c r="R55" i="7"/>
  <c r="R124" i="7" s="1"/>
  <c r="Q55" i="7"/>
  <c r="P55" i="7"/>
  <c r="P124" i="7" s="1"/>
  <c r="A55" i="7"/>
  <c r="AB54" i="7"/>
  <c r="AB123" i="7" s="1"/>
  <c r="AA54" i="7"/>
  <c r="AA123" i="7" s="1"/>
  <c r="Z54" i="7"/>
  <c r="Z123" i="7" s="1"/>
  <c r="Y54" i="7"/>
  <c r="Y123" i="7" s="1"/>
  <c r="X54" i="7"/>
  <c r="X123" i="7" s="1"/>
  <c r="W54" i="7"/>
  <c r="W123" i="7" s="1"/>
  <c r="V54" i="7"/>
  <c r="V123" i="7" s="1"/>
  <c r="U54" i="7"/>
  <c r="U123" i="7" s="1"/>
  <c r="T54" i="7"/>
  <c r="T123" i="7" s="1"/>
  <c r="S54" i="7"/>
  <c r="S123" i="7" s="1"/>
  <c r="R54" i="7"/>
  <c r="R123" i="7" s="1"/>
  <c r="Q54" i="7"/>
  <c r="Q123" i="7" s="1"/>
  <c r="P54" i="7"/>
  <c r="P123" i="7" s="1"/>
  <c r="A54" i="7"/>
  <c r="AB53" i="7"/>
  <c r="AA53" i="7"/>
  <c r="AA122" i="7" s="1"/>
  <c r="Z53" i="7"/>
  <c r="Z122" i="7" s="1"/>
  <c r="Y53" i="7"/>
  <c r="Y122" i="7" s="1"/>
  <c r="X53" i="7"/>
  <c r="W53" i="7"/>
  <c r="W122" i="7" s="1"/>
  <c r="V53" i="7"/>
  <c r="V122" i="7" s="1"/>
  <c r="U53" i="7"/>
  <c r="U122" i="7" s="1"/>
  <c r="T53" i="7"/>
  <c r="T122" i="7" s="1"/>
  <c r="S53" i="7"/>
  <c r="S122" i="7" s="1"/>
  <c r="R53" i="7"/>
  <c r="R122" i="7" s="1"/>
  <c r="Q53" i="7"/>
  <c r="Q122" i="7" s="1"/>
  <c r="P53" i="7"/>
  <c r="P122" i="7" s="1"/>
  <c r="A53" i="7"/>
  <c r="AB52" i="7"/>
  <c r="AA52" i="7"/>
  <c r="Z52" i="7"/>
  <c r="Z121" i="7" s="1"/>
  <c r="Y52" i="7"/>
  <c r="X52" i="7"/>
  <c r="W52" i="7"/>
  <c r="W56" i="7" s="1"/>
  <c r="W125" i="7" s="1"/>
  <c r="V52" i="7"/>
  <c r="V121" i="7" s="1"/>
  <c r="U52" i="7"/>
  <c r="U56" i="7" s="1"/>
  <c r="U125" i="7" s="1"/>
  <c r="T52" i="7"/>
  <c r="T56" i="7" s="1"/>
  <c r="T125" i="7" s="1"/>
  <c r="S52" i="7"/>
  <c r="S121" i="7" s="1"/>
  <c r="R52" i="7"/>
  <c r="R121" i="7" s="1"/>
  <c r="Q52" i="7"/>
  <c r="Q121" i="7" s="1"/>
  <c r="P52" i="7"/>
  <c r="A52" i="7"/>
  <c r="AD48" i="7"/>
  <c r="AC48" i="7"/>
  <c r="AD47" i="7"/>
  <c r="AC47" i="7"/>
  <c r="AE47" i="7" s="1"/>
  <c r="AD46" i="7"/>
  <c r="AC46" i="7"/>
  <c r="AD45" i="7"/>
  <c r="AC45" i="7"/>
  <c r="AE45" i="7" s="1"/>
  <c r="AD44" i="7"/>
  <c r="AC44" i="7"/>
  <c r="AD43" i="7"/>
  <c r="AC43" i="7"/>
  <c r="AD42" i="7"/>
  <c r="AC42" i="7"/>
  <c r="AD41" i="7"/>
  <c r="AC41" i="7"/>
  <c r="AD40" i="7"/>
  <c r="AC40" i="7"/>
  <c r="AD39" i="7"/>
  <c r="AC39" i="7"/>
  <c r="AD38" i="7"/>
  <c r="AC38" i="7"/>
  <c r="AD37" i="7"/>
  <c r="AC37" i="7"/>
  <c r="AD36" i="7"/>
  <c r="AC36" i="7"/>
  <c r="AD35" i="7"/>
  <c r="AC35" i="7"/>
  <c r="AD34" i="7"/>
  <c r="AC34" i="7"/>
  <c r="AD33" i="7"/>
  <c r="AC33" i="7"/>
  <c r="AD32" i="7"/>
  <c r="AC32" i="7"/>
  <c r="AD31" i="7"/>
  <c r="AC31" i="7"/>
  <c r="AD30" i="7"/>
  <c r="AC30" i="7"/>
  <c r="AD29" i="7"/>
  <c r="AC29" i="7"/>
  <c r="AD28" i="7"/>
  <c r="AC28" i="7"/>
  <c r="AD27" i="7"/>
  <c r="AC27" i="7"/>
  <c r="AD26" i="7"/>
  <c r="AC26" i="7"/>
  <c r="AD25" i="7"/>
  <c r="AC25" i="7"/>
  <c r="AD24" i="7"/>
  <c r="AC24" i="7"/>
  <c r="AD23" i="7"/>
  <c r="AC23" i="7"/>
  <c r="AD22" i="7"/>
  <c r="AC22" i="7"/>
  <c r="AD21" i="7"/>
  <c r="AC21" i="7"/>
  <c r="AD20" i="7"/>
  <c r="AC20" i="7"/>
  <c r="M18" i="7"/>
  <c r="G18" i="7"/>
  <c r="AB17" i="7"/>
  <c r="AA17" i="7"/>
  <c r="AA120" i="7" s="1"/>
  <c r="Z17" i="7"/>
  <c r="Z120" i="7" s="1"/>
  <c r="Y17" i="7"/>
  <c r="Y120" i="7" s="1"/>
  <c r="X17" i="7"/>
  <c r="W17" i="7"/>
  <c r="W120" i="7" s="1"/>
  <c r="V17" i="7"/>
  <c r="V120" i="7" s="1"/>
  <c r="U17" i="7"/>
  <c r="U120" i="7" s="1"/>
  <c r="T17" i="7"/>
  <c r="T120" i="7" s="1"/>
  <c r="S17" i="7"/>
  <c r="S120" i="7" s="1"/>
  <c r="R17" i="7"/>
  <c r="R120" i="7" s="1"/>
  <c r="Q17" i="7"/>
  <c r="P17" i="7"/>
  <c r="P120" i="7" s="1"/>
  <c r="O17" i="7"/>
  <c r="N17" i="7"/>
  <c r="M17" i="7"/>
  <c r="M120" i="7" s="1"/>
  <c r="L17" i="7"/>
  <c r="L120" i="7" s="1"/>
  <c r="K17" i="7"/>
  <c r="J17" i="7"/>
  <c r="I17" i="7"/>
  <c r="I18" i="7" s="1"/>
  <c r="H17" i="7"/>
  <c r="G17" i="7"/>
  <c r="G120" i="7" s="1"/>
  <c r="F17" i="7"/>
  <c r="F18" i="7" s="1"/>
  <c r="E17" i="7"/>
  <c r="E120" i="7" s="1"/>
  <c r="D17" i="7"/>
  <c r="I6" i="7" a="1"/>
  <c r="I6" i="7" s="1"/>
  <c r="H6" i="7" a="1"/>
  <c r="H6" i="7" s="1"/>
  <c r="C6" i="7"/>
  <c r="C5" i="7"/>
  <c r="C4" i="7"/>
  <c r="C3" i="7"/>
  <c r="C118" i="6"/>
  <c r="A118" i="6"/>
  <c r="C117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B55" i="6"/>
  <c r="AB124" i="6" s="1"/>
  <c r="AA55" i="6"/>
  <c r="AA124" i="6" s="1"/>
  <c r="Z55" i="6"/>
  <c r="Z124" i="6" s="1"/>
  <c r="Y55" i="6"/>
  <c r="Y124" i="6" s="1"/>
  <c r="X55" i="6"/>
  <c r="X124" i="6" s="1"/>
  <c r="W55" i="6"/>
  <c r="W124" i="6" s="1"/>
  <c r="V55" i="6"/>
  <c r="V124" i="6" s="1"/>
  <c r="U55" i="6"/>
  <c r="U124" i="6" s="1"/>
  <c r="T55" i="6"/>
  <c r="T124" i="6" s="1"/>
  <c r="S55" i="6"/>
  <c r="S124" i="6" s="1"/>
  <c r="R55" i="6"/>
  <c r="R124" i="6" s="1"/>
  <c r="Q55" i="6"/>
  <c r="Q124" i="6" s="1"/>
  <c r="P55" i="6"/>
  <c r="P124" i="6" s="1"/>
  <c r="A55" i="6"/>
  <c r="AB54" i="6"/>
  <c r="AB123" i="6" s="1"/>
  <c r="AA54" i="6"/>
  <c r="AA123" i="6" s="1"/>
  <c r="Z54" i="6"/>
  <c r="Z123" i="6" s="1"/>
  <c r="Y54" i="6"/>
  <c r="Y123" i="6" s="1"/>
  <c r="X54" i="6"/>
  <c r="X123" i="6" s="1"/>
  <c r="W54" i="6"/>
  <c r="V54" i="6"/>
  <c r="V123" i="6" s="1"/>
  <c r="U54" i="6"/>
  <c r="U123" i="6" s="1"/>
  <c r="T54" i="6"/>
  <c r="T123" i="6" s="1"/>
  <c r="S54" i="6"/>
  <c r="S123" i="6" s="1"/>
  <c r="R54" i="6"/>
  <c r="R123" i="6" s="1"/>
  <c r="Q54" i="6"/>
  <c r="Q123" i="6" s="1"/>
  <c r="P54" i="6"/>
  <c r="P123" i="6" s="1"/>
  <c r="A54" i="6"/>
  <c r="AB53" i="6"/>
  <c r="AB122" i="6" s="1"/>
  <c r="AA53" i="6"/>
  <c r="AA122" i="6" s="1"/>
  <c r="Z53" i="6"/>
  <c r="Z122" i="6" s="1"/>
  <c r="Y53" i="6"/>
  <c r="Y122" i="6" s="1"/>
  <c r="X53" i="6"/>
  <c r="X122" i="6" s="1"/>
  <c r="W53" i="6"/>
  <c r="W122" i="6" s="1"/>
  <c r="V53" i="6"/>
  <c r="V122" i="6" s="1"/>
  <c r="U53" i="6"/>
  <c r="U122" i="6" s="1"/>
  <c r="T53" i="6"/>
  <c r="T122" i="6" s="1"/>
  <c r="S53" i="6"/>
  <c r="S122" i="6" s="1"/>
  <c r="R53" i="6"/>
  <c r="R122" i="6" s="1"/>
  <c r="Q53" i="6"/>
  <c r="Q122" i="6" s="1"/>
  <c r="P53" i="6"/>
  <c r="A53" i="6"/>
  <c r="AB52" i="6"/>
  <c r="AB56" i="6" s="1"/>
  <c r="AB125" i="6" s="1"/>
  <c r="AA52" i="6"/>
  <c r="Z52" i="6"/>
  <c r="Z56" i="6" s="1"/>
  <c r="Z125" i="6" s="1"/>
  <c r="Y52" i="6"/>
  <c r="Y121" i="6" s="1"/>
  <c r="X52" i="6"/>
  <c r="X121" i="6" s="1"/>
  <c r="W52" i="6"/>
  <c r="W121" i="6" s="1"/>
  <c r="V52" i="6"/>
  <c r="V56" i="6" s="1"/>
  <c r="V125" i="6" s="1"/>
  <c r="U52" i="6"/>
  <c r="U121" i="6" s="1"/>
  <c r="T52" i="6"/>
  <c r="S52" i="6"/>
  <c r="R52" i="6"/>
  <c r="Q52" i="6"/>
  <c r="P52" i="6"/>
  <c r="A52" i="6"/>
  <c r="AD49" i="6"/>
  <c r="AC49" i="6"/>
  <c r="AD48" i="6"/>
  <c r="AC48" i="6"/>
  <c r="AD47" i="6"/>
  <c r="AC47" i="6"/>
  <c r="AD46" i="6"/>
  <c r="AC46" i="6"/>
  <c r="AE46" i="6" s="1"/>
  <c r="AD45" i="6"/>
  <c r="AC45" i="6"/>
  <c r="AD44" i="6"/>
  <c r="AC44" i="6"/>
  <c r="AD43" i="6"/>
  <c r="AC43" i="6"/>
  <c r="AD42" i="6"/>
  <c r="AC42" i="6"/>
  <c r="AD41" i="6"/>
  <c r="AC41" i="6"/>
  <c r="AD40" i="6"/>
  <c r="AC40" i="6"/>
  <c r="AE40" i="6" s="1"/>
  <c r="AD39" i="6"/>
  <c r="AC39" i="6"/>
  <c r="AE39" i="6" s="1"/>
  <c r="AD38" i="6"/>
  <c r="AC38" i="6"/>
  <c r="AD37" i="6"/>
  <c r="AC37" i="6"/>
  <c r="AD36" i="6"/>
  <c r="AC36" i="6"/>
  <c r="AD35" i="6"/>
  <c r="AC35" i="6"/>
  <c r="AD34" i="6"/>
  <c r="AC34" i="6"/>
  <c r="AE34" i="6" s="1"/>
  <c r="AD33" i="6"/>
  <c r="AC33" i="6"/>
  <c r="AD32" i="6"/>
  <c r="AC32" i="6"/>
  <c r="AD31" i="6"/>
  <c r="AC31" i="6"/>
  <c r="AD30" i="6"/>
  <c r="AC30" i="6"/>
  <c r="AD29" i="6"/>
  <c r="AC29" i="6"/>
  <c r="AD28" i="6"/>
  <c r="AC28" i="6"/>
  <c r="AD27" i="6"/>
  <c r="AC27" i="6"/>
  <c r="AE27" i="6" s="1"/>
  <c r="AD26" i="6"/>
  <c r="AC26" i="6"/>
  <c r="AD25" i="6"/>
  <c r="AC25" i="6"/>
  <c r="AD24" i="6"/>
  <c r="AC24" i="6"/>
  <c r="AD23" i="6"/>
  <c r="AC23" i="6"/>
  <c r="AD22" i="6"/>
  <c r="AC22" i="6"/>
  <c r="AD21" i="6"/>
  <c r="AC21" i="6"/>
  <c r="AD20" i="6"/>
  <c r="AC20" i="6"/>
  <c r="Y18" i="6"/>
  <c r="W18" i="6"/>
  <c r="V18" i="6"/>
  <c r="U18" i="6"/>
  <c r="I18" i="6"/>
  <c r="G18" i="6"/>
  <c r="F18" i="6"/>
  <c r="AB17" i="6"/>
  <c r="AB18" i="6" s="1"/>
  <c r="AA17" i="6"/>
  <c r="AA120" i="6" s="1"/>
  <c r="Z17" i="6"/>
  <c r="Z120" i="6" s="1"/>
  <c r="Y17" i="6"/>
  <c r="Y120" i="6" s="1"/>
  <c r="X17" i="6"/>
  <c r="X120" i="6" s="1"/>
  <c r="W17" i="6"/>
  <c r="W120" i="6" s="1"/>
  <c r="V17" i="6"/>
  <c r="V120" i="6" s="1"/>
  <c r="U17" i="6"/>
  <c r="U120" i="6" s="1"/>
  <c r="T17" i="6"/>
  <c r="T120" i="6" s="1"/>
  <c r="S17" i="6"/>
  <c r="S120" i="6" s="1"/>
  <c r="R17" i="6"/>
  <c r="R120" i="6" s="1"/>
  <c r="Q17" i="6"/>
  <c r="Q120" i="6" s="1"/>
  <c r="P17" i="6"/>
  <c r="P18" i="6" s="1"/>
  <c r="O17" i="6"/>
  <c r="O120" i="6" s="1"/>
  <c r="N17" i="6"/>
  <c r="M17" i="6"/>
  <c r="M120" i="6" s="1"/>
  <c r="L17" i="6"/>
  <c r="L18" i="6" s="1"/>
  <c r="K17" i="6"/>
  <c r="K120" i="6" s="1"/>
  <c r="J17" i="6"/>
  <c r="J120" i="6" s="1"/>
  <c r="I17" i="6"/>
  <c r="I120" i="6" s="1"/>
  <c r="H17" i="6"/>
  <c r="H120" i="6" s="1"/>
  <c r="G17" i="6"/>
  <c r="G120" i="6" s="1"/>
  <c r="F17" i="6"/>
  <c r="F120" i="6" s="1"/>
  <c r="E17" i="6"/>
  <c r="E120" i="6" s="1"/>
  <c r="I6" i="6" a="1"/>
  <c r="I6" i="6" s="1"/>
  <c r="H6" i="6" a="1"/>
  <c r="H6" i="6" s="1"/>
  <c r="C6" i="6"/>
  <c r="C5" i="6"/>
  <c r="C4" i="6"/>
  <c r="C3" i="6"/>
  <c r="C2" i="6"/>
  <c r="C2" i="7" s="1"/>
  <c r="C2" i="8" s="1"/>
  <c r="C2" i="9" s="1"/>
  <c r="C2" i="10" s="1"/>
  <c r="C1" i="6"/>
  <c r="C1" i="7" s="1"/>
  <c r="C1" i="8" s="1"/>
  <c r="C1" i="9" s="1"/>
  <c r="C1" i="10" s="1"/>
  <c r="U38" i="5"/>
  <c r="I38" i="5"/>
  <c r="H38" i="5"/>
  <c r="G38" i="5"/>
  <c r="F38" i="5"/>
  <c r="E38" i="5"/>
  <c r="D38" i="5"/>
  <c r="C38" i="5"/>
  <c r="B38" i="5"/>
  <c r="K35" i="5"/>
  <c r="I12" i="5"/>
  <c r="H12" i="5"/>
  <c r="G12" i="5"/>
  <c r="F12" i="5"/>
  <c r="E12" i="5"/>
  <c r="D12" i="5"/>
  <c r="C12" i="5"/>
  <c r="B12" i="5"/>
  <c r="B6" i="5"/>
  <c r="B5" i="5"/>
  <c r="B4" i="5"/>
  <c r="B3" i="5"/>
  <c r="B2" i="5"/>
  <c r="B1" i="5"/>
  <c r="AJ112" i="4"/>
  <c r="P112" i="4"/>
  <c r="AK88" i="4"/>
  <c r="Q88" i="4"/>
  <c r="AE86" i="4"/>
  <c r="K86" i="4"/>
  <c r="AJ84" i="4"/>
  <c r="P84" i="4"/>
  <c r="AK60" i="4"/>
  <c r="Q60" i="4"/>
  <c r="AE58" i="4"/>
  <c r="K58" i="4"/>
  <c r="AJ56" i="4"/>
  <c r="P56" i="4"/>
  <c r="AK32" i="4"/>
  <c r="Q32" i="4"/>
  <c r="AE30" i="4"/>
  <c r="K30" i="4"/>
  <c r="AJ28" i="4"/>
  <c r="P28" i="4"/>
  <c r="AK4" i="4"/>
  <c r="Q4" i="4"/>
  <c r="AE2" i="4"/>
  <c r="K2" i="4"/>
  <c r="N40" i="3"/>
  <c r="P39" i="3"/>
  <c r="N6" i="3"/>
  <c r="P5" i="3"/>
  <c r="I20" i="2"/>
  <c r="H20" i="2"/>
  <c r="G20" i="2"/>
  <c r="F20" i="2"/>
  <c r="E20" i="2"/>
  <c r="D20" i="2"/>
  <c r="C20" i="2"/>
  <c r="B20" i="2"/>
  <c r="I7" i="2"/>
  <c r="I41" i="2" s="1"/>
  <c r="H7" i="2"/>
  <c r="H41" i="2" s="1"/>
  <c r="G7" i="2"/>
  <c r="G41" i="2" s="1"/>
  <c r="F7" i="2"/>
  <c r="F41" i="2" s="1"/>
  <c r="C11" i="10" s="1"/>
  <c r="E7" i="2"/>
  <c r="E41" i="2" s="1"/>
  <c r="C11" i="9" s="1"/>
  <c r="D7" i="2"/>
  <c r="D41" i="2" s="1"/>
  <c r="C11" i="8" s="1"/>
  <c r="C7" i="2"/>
  <c r="C41" i="2" s="1"/>
  <c r="C11" i="7" s="1"/>
  <c r="B7" i="2"/>
  <c r="B41" i="2" s="1"/>
  <c r="C11" i="6" s="1"/>
  <c r="B3" i="2"/>
  <c r="I8" i="2" s="1"/>
  <c r="B2" i="2"/>
  <c r="B1" i="2"/>
  <c r="N5" i="3" s="1"/>
  <c r="N39" i="3" s="1"/>
  <c r="G106" i="1"/>
  <c r="F106" i="1"/>
  <c r="E106" i="1"/>
  <c r="D106" i="1"/>
  <c r="C106" i="1"/>
  <c r="B106" i="1"/>
  <c r="L100" i="1"/>
  <c r="J100" i="1"/>
  <c r="F38" i="1"/>
  <c r="E38" i="1"/>
  <c r="C38" i="1"/>
  <c r="H35" i="1"/>
  <c r="H38" i="1" s="1"/>
  <c r="G35" i="1"/>
  <c r="G38" i="1" s="1"/>
  <c r="F35" i="1"/>
  <c r="E35" i="1"/>
  <c r="D35" i="1"/>
  <c r="C35" i="1"/>
  <c r="B35" i="1"/>
  <c r="W31" i="1"/>
  <c r="V31" i="1"/>
  <c r="U31" i="1"/>
  <c r="T31" i="1"/>
  <c r="S31" i="1"/>
  <c r="R31" i="1"/>
  <c r="Q31" i="1"/>
  <c r="P31" i="1"/>
  <c r="O31" i="1"/>
  <c r="W30" i="1"/>
  <c r="V30" i="1"/>
  <c r="U30" i="1"/>
  <c r="T30" i="1"/>
  <c r="S30" i="1"/>
  <c r="R30" i="1"/>
  <c r="Q30" i="1"/>
  <c r="P30" i="1"/>
  <c r="O30" i="1"/>
  <c r="W29" i="1"/>
  <c r="V29" i="1"/>
  <c r="U29" i="1"/>
  <c r="T29" i="1"/>
  <c r="S29" i="1"/>
  <c r="R29" i="1"/>
  <c r="Q29" i="1"/>
  <c r="P29" i="1"/>
  <c r="O29" i="1"/>
  <c r="X29" i="1" s="1"/>
  <c r="W28" i="1"/>
  <c r="V28" i="1"/>
  <c r="U28" i="1"/>
  <c r="T28" i="1"/>
  <c r="S28" i="1"/>
  <c r="R28" i="1"/>
  <c r="Q28" i="1"/>
  <c r="P28" i="1"/>
  <c r="O28" i="1"/>
  <c r="W27" i="1"/>
  <c r="V27" i="1"/>
  <c r="U27" i="1"/>
  <c r="T27" i="1"/>
  <c r="S27" i="1"/>
  <c r="R27" i="1"/>
  <c r="Q27" i="1"/>
  <c r="P27" i="1"/>
  <c r="O27" i="1"/>
  <c r="W26" i="1"/>
  <c r="V26" i="1"/>
  <c r="U26" i="1"/>
  <c r="T26" i="1"/>
  <c r="S26" i="1"/>
  <c r="R26" i="1"/>
  <c r="Q26" i="1"/>
  <c r="P26" i="1"/>
  <c r="O26" i="1"/>
  <c r="N21" i="1"/>
  <c r="AF88" i="4" s="1"/>
  <c r="J21" i="1"/>
  <c r="I2" i="3" s="1"/>
  <c r="F21" i="1"/>
  <c r="AF32" i="4" s="1"/>
  <c r="B21" i="1"/>
  <c r="AF4" i="4" s="1"/>
  <c r="Q20" i="1"/>
  <c r="P20" i="1"/>
  <c r="L105" i="1" s="1"/>
  <c r="O20" i="1"/>
  <c r="M20" i="1"/>
  <c r="L20" i="1"/>
  <c r="L104" i="1" s="1"/>
  <c r="K20" i="1"/>
  <c r="I20" i="1"/>
  <c r="H20" i="1"/>
  <c r="L103" i="1" s="1"/>
  <c r="G20" i="1"/>
  <c r="E20" i="1"/>
  <c r="D20" i="1"/>
  <c r="L102" i="1" s="1"/>
  <c r="C20" i="1"/>
  <c r="N14" i="1"/>
  <c r="L88" i="4" s="1"/>
  <c r="J14" i="1"/>
  <c r="L60" i="4" s="1"/>
  <c r="F14" i="1"/>
  <c r="L32" i="4" s="1"/>
  <c r="B14" i="1"/>
  <c r="L4" i="4" s="1"/>
  <c r="Q13" i="1"/>
  <c r="P13" i="1"/>
  <c r="H101" i="1" s="1"/>
  <c r="O13" i="1"/>
  <c r="M13" i="1"/>
  <c r="L13" i="1"/>
  <c r="H100" i="1" s="1"/>
  <c r="K13" i="1"/>
  <c r="I13" i="1"/>
  <c r="H13" i="1"/>
  <c r="L99" i="1" s="1"/>
  <c r="G13" i="1"/>
  <c r="E13" i="1"/>
  <c r="D13" i="1"/>
  <c r="J98" i="1" s="1"/>
  <c r="C13" i="1"/>
  <c r="AE38" i="6" l="1"/>
  <c r="AE23" i="9"/>
  <c r="AE41" i="6"/>
  <c r="AE25" i="9"/>
  <c r="AE41" i="9"/>
  <c r="AE36" i="12"/>
  <c r="X18" i="11"/>
  <c r="S120" i="9"/>
  <c r="AE21" i="12"/>
  <c r="B13" i="15"/>
  <c r="B13" i="2" s="1"/>
  <c r="C8" i="6" s="1"/>
  <c r="AE38" i="9"/>
  <c r="AC30" i="15"/>
  <c r="X31" i="1"/>
  <c r="M105" i="1" s="1"/>
  <c r="F3" i="8"/>
  <c r="L120" i="6"/>
  <c r="AE46" i="7"/>
  <c r="C13" i="15"/>
  <c r="C13" i="2" s="1"/>
  <c r="D11" i="14" s="1"/>
  <c r="AE28" i="6"/>
  <c r="AE44" i="6"/>
  <c r="AE27" i="9"/>
  <c r="AE20" i="11"/>
  <c r="F4" i="10"/>
  <c r="E13" i="15"/>
  <c r="E13" i="2" s="1"/>
  <c r="C8" i="9" s="1"/>
  <c r="AE23" i="6"/>
  <c r="M102" i="1"/>
  <c r="AC31" i="15"/>
  <c r="AC32" i="15" s="1"/>
  <c r="AE35" i="12"/>
  <c r="X28" i="1"/>
  <c r="AE46" i="10"/>
  <c r="AE26" i="6"/>
  <c r="P120" i="6"/>
  <c r="X18" i="8"/>
  <c r="AE29" i="6"/>
  <c r="Y18" i="8"/>
  <c r="AE44" i="9"/>
  <c r="Q18" i="10"/>
  <c r="P120" i="13"/>
  <c r="R18" i="10"/>
  <c r="C157" i="15"/>
  <c r="S18" i="10"/>
  <c r="H13" i="15"/>
  <c r="H13" i="2" s="1"/>
  <c r="T18" i="10"/>
  <c r="AE38" i="11"/>
  <c r="AE28" i="13"/>
  <c r="I18" i="9"/>
  <c r="C159" i="15"/>
  <c r="AE33" i="12"/>
  <c r="F3" i="11"/>
  <c r="W18" i="7"/>
  <c r="J18" i="9"/>
  <c r="AE47" i="9"/>
  <c r="AE39" i="11"/>
  <c r="C160" i="15"/>
  <c r="AE27" i="7"/>
  <c r="P18" i="7"/>
  <c r="I35" i="1"/>
  <c r="I38" i="1" s="1"/>
  <c r="K18" i="9"/>
  <c r="AE21" i="10"/>
  <c r="F120" i="12"/>
  <c r="F18" i="13"/>
  <c r="S18" i="7"/>
  <c r="AE47" i="6"/>
  <c r="V18" i="7"/>
  <c r="M18" i="6"/>
  <c r="AE48" i="6"/>
  <c r="Q18" i="6"/>
  <c r="G18" i="13"/>
  <c r="Y18" i="7"/>
  <c r="L18" i="9"/>
  <c r="T18" i="6"/>
  <c r="F4" i="9"/>
  <c r="M18" i="9"/>
  <c r="AE48" i="9"/>
  <c r="K18" i="13"/>
  <c r="AE31" i="13"/>
  <c r="C162" i="15"/>
  <c r="N18" i="9"/>
  <c r="L18" i="13"/>
  <c r="C163" i="15"/>
  <c r="O18" i="9"/>
  <c r="F3" i="13"/>
  <c r="M18" i="13"/>
  <c r="AE47" i="13"/>
  <c r="AE32" i="13"/>
  <c r="Q18" i="13"/>
  <c r="AE48" i="13"/>
  <c r="AE21" i="7"/>
  <c r="AA18" i="9"/>
  <c r="H18" i="12"/>
  <c r="R18" i="13"/>
  <c r="E18" i="12"/>
  <c r="AE34" i="9"/>
  <c r="G18" i="12"/>
  <c r="H98" i="1"/>
  <c r="X26" i="1"/>
  <c r="L98" i="1"/>
  <c r="E2" i="3"/>
  <c r="AE36" i="6"/>
  <c r="I18" i="12"/>
  <c r="V18" i="13"/>
  <c r="I100" i="1"/>
  <c r="AE30" i="6"/>
  <c r="AE33" i="7"/>
  <c r="AE29" i="9"/>
  <c r="M99" i="1"/>
  <c r="X30" i="1"/>
  <c r="K100" i="1" s="1"/>
  <c r="AE37" i="7"/>
  <c r="AE22" i="7"/>
  <c r="Z18" i="9"/>
  <c r="X27" i="1"/>
  <c r="J18" i="12"/>
  <c r="K18" i="12"/>
  <c r="L18" i="12"/>
  <c r="AB18" i="13"/>
  <c r="F2" i="3"/>
  <c r="AE38" i="13"/>
  <c r="AE41" i="13"/>
  <c r="AE46" i="13"/>
  <c r="AE42" i="13"/>
  <c r="AE44" i="13"/>
  <c r="AE35" i="13"/>
  <c r="AE36" i="13"/>
  <c r="AE30" i="13"/>
  <c r="AE37" i="13"/>
  <c r="AE26" i="13"/>
  <c r="AE24" i="13"/>
  <c r="AE25" i="13"/>
  <c r="AE28" i="12"/>
  <c r="AE22" i="12"/>
  <c r="AE46" i="12"/>
  <c r="AE31" i="12"/>
  <c r="AE24" i="10"/>
  <c r="AE22" i="10"/>
  <c r="AE32" i="10"/>
  <c r="AE33" i="9"/>
  <c r="AE36" i="9"/>
  <c r="AE32" i="9"/>
  <c r="AE20" i="9"/>
  <c r="AE21" i="9"/>
  <c r="AE22" i="9"/>
  <c r="AE45" i="6"/>
  <c r="AE49" i="6"/>
  <c r="S57" i="13"/>
  <c r="S126" i="13" s="1"/>
  <c r="U58" i="11"/>
  <c r="U127" i="11" s="1"/>
  <c r="W58" i="13"/>
  <c r="W127" i="13" s="1"/>
  <c r="F4" i="7"/>
  <c r="E4" i="5"/>
  <c r="F3" i="6"/>
  <c r="F3" i="9"/>
  <c r="F4" i="11"/>
  <c r="F4" i="13"/>
  <c r="F4" i="6"/>
  <c r="F3" i="10"/>
  <c r="I13" i="15"/>
  <c r="I13" i="2" s="1"/>
  <c r="J11" i="14" s="1"/>
  <c r="F4" i="8"/>
  <c r="H8" i="2"/>
  <c r="H40" i="2" s="1"/>
  <c r="H104" i="1"/>
  <c r="I104" i="1" s="1"/>
  <c r="J104" i="1"/>
  <c r="H103" i="1"/>
  <c r="I103" i="1" s="1"/>
  <c r="J103" i="1"/>
  <c r="J101" i="1"/>
  <c r="AF60" i="4"/>
  <c r="H2" i="3"/>
  <c r="G2" i="3"/>
  <c r="D2" i="3"/>
  <c r="U58" i="8"/>
  <c r="U127" i="8" s="1"/>
  <c r="AA57" i="7"/>
  <c r="AA126" i="7" s="1"/>
  <c r="AA57" i="12"/>
  <c r="AA126" i="12" s="1"/>
  <c r="R58" i="11"/>
  <c r="R127" i="11" s="1"/>
  <c r="P59" i="7"/>
  <c r="P128" i="7" s="1"/>
  <c r="T58" i="9"/>
  <c r="T127" i="9" s="1"/>
  <c r="AA58" i="6"/>
  <c r="AA127" i="6" s="1"/>
  <c r="P57" i="13"/>
  <c r="P126" i="13" s="1"/>
  <c r="AB57" i="7"/>
  <c r="AB126" i="7" s="1"/>
  <c r="V58" i="6"/>
  <c r="V127" i="6" s="1"/>
  <c r="V57" i="13"/>
  <c r="V126" i="13" s="1"/>
  <c r="V59" i="6"/>
  <c r="V128" i="6" s="1"/>
  <c r="AB59" i="10"/>
  <c r="AB128" i="10" s="1"/>
  <c r="R58" i="8"/>
  <c r="R127" i="8" s="1"/>
  <c r="P57" i="11"/>
  <c r="P126" i="11" s="1"/>
  <c r="X59" i="10"/>
  <c r="X128" i="10" s="1"/>
  <c r="Q57" i="12"/>
  <c r="Q126" i="12" s="1"/>
  <c r="W59" i="10"/>
  <c r="W128" i="10" s="1"/>
  <c r="E58" i="8"/>
  <c r="E127" i="8" s="1"/>
  <c r="W59" i="13"/>
  <c r="W128" i="13" s="1"/>
  <c r="S57" i="6"/>
  <c r="S126" i="6" s="1"/>
  <c r="P57" i="9"/>
  <c r="P126" i="9" s="1"/>
  <c r="T58" i="10"/>
  <c r="T127" i="10" s="1"/>
  <c r="X57" i="6"/>
  <c r="X126" i="6" s="1"/>
  <c r="X56" i="7"/>
  <c r="X125" i="7" s="1"/>
  <c r="T58" i="11"/>
  <c r="T127" i="11" s="1"/>
  <c r="U57" i="11"/>
  <c r="U126" i="11" s="1"/>
  <c r="S58" i="6"/>
  <c r="S127" i="6" s="1"/>
  <c r="X57" i="7"/>
  <c r="X126" i="7" s="1"/>
  <c r="E59" i="8"/>
  <c r="E128" i="8" s="1"/>
  <c r="Q58" i="9"/>
  <c r="Q127" i="9" s="1"/>
  <c r="AB58" i="6"/>
  <c r="AB127" i="6" s="1"/>
  <c r="Y59" i="6"/>
  <c r="Y128" i="6" s="1"/>
  <c r="Q59" i="7"/>
  <c r="Q128" i="7" s="1"/>
  <c r="C54" i="8"/>
  <c r="S59" i="7"/>
  <c r="S128" i="7" s="1"/>
  <c r="P58" i="13"/>
  <c r="P127" i="13" s="1"/>
  <c r="S56" i="6"/>
  <c r="S125" i="6" s="1"/>
  <c r="V60" i="6"/>
  <c r="V129" i="6" s="1"/>
  <c r="T60" i="7"/>
  <c r="T129" i="7" s="1"/>
  <c r="AB56" i="10"/>
  <c r="AB125" i="10" s="1"/>
  <c r="Z58" i="13"/>
  <c r="Z127" i="13" s="1"/>
  <c r="T57" i="10"/>
  <c r="T126" i="10" s="1"/>
  <c r="AE38" i="12"/>
  <c r="AE27" i="12"/>
  <c r="AE23" i="12"/>
  <c r="AE20" i="12"/>
  <c r="AE34" i="12"/>
  <c r="AE40" i="12"/>
  <c r="AE44" i="12"/>
  <c r="AE26" i="11"/>
  <c r="AE21" i="11"/>
  <c r="AE22" i="11"/>
  <c r="AE24" i="11"/>
  <c r="AE25" i="11"/>
  <c r="AE33" i="11"/>
  <c r="AE42" i="11"/>
  <c r="AE45" i="11"/>
  <c r="AE40" i="11"/>
  <c r="AE41" i="11"/>
  <c r="AE25" i="10"/>
  <c r="AE37" i="10"/>
  <c r="AE39" i="10"/>
  <c r="AE28" i="9"/>
  <c r="AE26" i="9"/>
  <c r="AE42" i="9"/>
  <c r="AE43" i="9"/>
  <c r="AE31" i="9"/>
  <c r="AE26" i="7"/>
  <c r="AE28" i="7"/>
  <c r="AE39" i="7"/>
  <c r="AE36" i="7"/>
  <c r="AE31" i="7"/>
  <c r="AE34" i="7"/>
  <c r="AE25" i="7"/>
  <c r="AE42" i="6"/>
  <c r="AE35" i="6"/>
  <c r="AE43" i="6"/>
  <c r="AE37" i="6"/>
  <c r="AE32" i="6"/>
  <c r="AE22" i="6"/>
  <c r="AE20" i="6"/>
  <c r="AE39" i="13"/>
  <c r="AE29" i="13"/>
  <c r="AE23" i="13"/>
  <c r="AE20" i="13"/>
  <c r="AE21" i="13"/>
  <c r="AE22" i="13"/>
  <c r="AE43" i="13"/>
  <c r="AE45" i="13"/>
  <c r="AE30" i="12"/>
  <c r="AE25" i="12"/>
  <c r="AE47" i="12"/>
  <c r="AE41" i="12"/>
  <c r="AE48" i="12"/>
  <c r="AE43" i="12"/>
  <c r="AE29" i="12"/>
  <c r="AE32" i="12"/>
  <c r="AE39" i="12"/>
  <c r="AE34" i="11"/>
  <c r="AE36" i="11"/>
  <c r="AE30" i="11"/>
  <c r="AE44" i="11"/>
  <c r="AE37" i="11"/>
  <c r="AE32" i="11"/>
  <c r="AE31" i="11"/>
  <c r="AE29" i="11"/>
  <c r="AE47" i="11"/>
  <c r="AE48" i="11"/>
  <c r="AE43" i="11"/>
  <c r="AE26" i="10"/>
  <c r="AE30" i="10"/>
  <c r="AE34" i="10"/>
  <c r="AE28" i="10"/>
  <c r="AE38" i="10"/>
  <c r="AE33" i="10"/>
  <c r="AE41" i="10"/>
  <c r="AE42" i="10"/>
  <c r="AE35" i="10"/>
  <c r="AE36" i="10"/>
  <c r="AE23" i="10"/>
  <c r="AE47" i="10"/>
  <c r="AE48" i="10"/>
  <c r="AE20" i="10"/>
  <c r="AE40" i="10"/>
  <c r="AE37" i="9"/>
  <c r="AE45" i="9"/>
  <c r="AE44" i="7"/>
  <c r="AE41" i="7"/>
  <c r="AE42" i="7"/>
  <c r="AE38" i="7"/>
  <c r="AE29" i="7"/>
  <c r="AE30" i="7"/>
  <c r="AE35" i="7"/>
  <c r="AE32" i="7"/>
  <c r="AE20" i="7"/>
  <c r="AE48" i="7"/>
  <c r="AE43" i="7"/>
  <c r="AE33" i="6"/>
  <c r="AE31" i="6"/>
  <c r="AE24" i="6"/>
  <c r="AE21" i="6"/>
  <c r="C11" i="13"/>
  <c r="C11" i="12"/>
  <c r="C11" i="11"/>
  <c r="M104" i="1"/>
  <c r="I98" i="1"/>
  <c r="I101" i="1"/>
  <c r="U36" i="14"/>
  <c r="J6" i="14" s="1"/>
  <c r="H11" i="16"/>
  <c r="I40" i="2"/>
  <c r="K104" i="1"/>
  <c r="K98" i="1"/>
  <c r="H7" i="13"/>
  <c r="H7" i="12"/>
  <c r="H7" i="11"/>
  <c r="H7" i="10"/>
  <c r="H7" i="9"/>
  <c r="H7" i="8"/>
  <c r="H7" i="7"/>
  <c r="I7" i="13"/>
  <c r="I7" i="12"/>
  <c r="I7" i="11"/>
  <c r="I7" i="10"/>
  <c r="I7" i="9"/>
  <c r="I7" i="8"/>
  <c r="I7" i="7"/>
  <c r="I7" i="6"/>
  <c r="K101" i="1"/>
  <c r="K103" i="1"/>
  <c r="M98" i="1"/>
  <c r="I11" i="14"/>
  <c r="I3" i="14"/>
  <c r="H7" i="6"/>
  <c r="E18" i="6"/>
  <c r="S59" i="6"/>
  <c r="S128" i="6" s="1"/>
  <c r="AA59" i="6"/>
  <c r="AA128" i="6" s="1"/>
  <c r="AB120" i="6"/>
  <c r="P122" i="6"/>
  <c r="Q58" i="6"/>
  <c r="Q127" i="6" s="1"/>
  <c r="Q121" i="6"/>
  <c r="Q59" i="6"/>
  <c r="Q128" i="6" s="1"/>
  <c r="Q56" i="6"/>
  <c r="Q125" i="6" s="1"/>
  <c r="H99" i="1"/>
  <c r="I99" i="1" s="1"/>
  <c r="L101" i="1"/>
  <c r="J2" i="3"/>
  <c r="N18" i="6"/>
  <c r="N120" i="6"/>
  <c r="T59" i="6"/>
  <c r="T128" i="6" s="1"/>
  <c r="T57" i="6"/>
  <c r="T126" i="6" s="1"/>
  <c r="AB60" i="6"/>
  <c r="AB129" i="6" s="1"/>
  <c r="Z18" i="7"/>
  <c r="R121" i="6"/>
  <c r="Z59" i="6"/>
  <c r="Z128" i="6" s="1"/>
  <c r="X18" i="6"/>
  <c r="H120" i="7"/>
  <c r="H18" i="7"/>
  <c r="X120" i="7"/>
  <c r="X18" i="7"/>
  <c r="B8" i="2"/>
  <c r="J99" i="1"/>
  <c r="K99" i="1" s="1"/>
  <c r="H102" i="1"/>
  <c r="I102" i="1" s="1"/>
  <c r="C8" i="2"/>
  <c r="C1" i="13"/>
  <c r="C1" i="12"/>
  <c r="C1" i="11"/>
  <c r="H18" i="6"/>
  <c r="V121" i="6"/>
  <c r="D8" i="2"/>
  <c r="C2" i="13"/>
  <c r="C2" i="12"/>
  <c r="C2" i="11"/>
  <c r="Z18" i="6"/>
  <c r="J120" i="7"/>
  <c r="J18" i="7"/>
  <c r="X122" i="7"/>
  <c r="B38" i="1"/>
  <c r="J102" i="1"/>
  <c r="K102" i="1" s="1"/>
  <c r="H105" i="1"/>
  <c r="I105" i="1" s="1"/>
  <c r="E8" i="2"/>
  <c r="J18" i="6"/>
  <c r="AA18" i="6"/>
  <c r="R56" i="6"/>
  <c r="P57" i="6"/>
  <c r="P126" i="6" s="1"/>
  <c r="K18" i="6"/>
  <c r="Q57" i="6"/>
  <c r="Q126" i="6" s="1"/>
  <c r="S121" i="6"/>
  <c r="AB120" i="7"/>
  <c r="AB18" i="7"/>
  <c r="G11" i="14"/>
  <c r="G3" i="14"/>
  <c r="C8" i="10"/>
  <c r="H11" i="14"/>
  <c r="H3" i="14"/>
  <c r="C8" i="13"/>
  <c r="C8" i="12"/>
  <c r="C8" i="11"/>
  <c r="Z60" i="6"/>
  <c r="Z129" i="6" s="1"/>
  <c r="F8" i="2"/>
  <c r="D38" i="1"/>
  <c r="J105" i="1"/>
  <c r="K105" i="1" s="1"/>
  <c r="G8" i="2"/>
  <c r="AE25" i="6"/>
  <c r="Z121" i="6"/>
  <c r="T56" i="6"/>
  <c r="R57" i="6"/>
  <c r="R126" i="6" s="1"/>
  <c r="R58" i="6"/>
  <c r="R127" i="6" s="1"/>
  <c r="T121" i="6"/>
  <c r="F3" i="7"/>
  <c r="AA57" i="6"/>
  <c r="AA126" i="6" s="1"/>
  <c r="AA121" i="6"/>
  <c r="O18" i="6"/>
  <c r="AB57" i="6"/>
  <c r="AB126" i="6" s="1"/>
  <c r="AB121" i="6"/>
  <c r="AB59" i="6"/>
  <c r="AB128" i="6" s="1"/>
  <c r="V57" i="6"/>
  <c r="T58" i="6"/>
  <c r="T127" i="6" s="1"/>
  <c r="P59" i="6"/>
  <c r="P128" i="6" s="1"/>
  <c r="L35" i="1"/>
  <c r="AF3" i="14" s="1"/>
  <c r="C11" i="14"/>
  <c r="C2" i="3"/>
  <c r="AA56" i="6"/>
  <c r="W57" i="6"/>
  <c r="W126" i="6" s="1"/>
  <c r="U58" i="6"/>
  <c r="U127" i="6" s="1"/>
  <c r="R59" i="6"/>
  <c r="R128" i="6" s="1"/>
  <c r="L18" i="7"/>
  <c r="Q120" i="7"/>
  <c r="Q18" i="7"/>
  <c r="R18" i="6"/>
  <c r="Z57" i="6"/>
  <c r="W58" i="6"/>
  <c r="W127" i="6" s="1"/>
  <c r="W59" i="6"/>
  <c r="W128" i="6" s="1"/>
  <c r="E3" i="5"/>
  <c r="W123" i="6"/>
  <c r="E11" i="14"/>
  <c r="E3" i="14"/>
  <c r="C8" i="8"/>
  <c r="S18" i="6"/>
  <c r="Z58" i="6"/>
  <c r="Z127" i="6" s="1"/>
  <c r="X59" i="6"/>
  <c r="X128" i="6" s="1"/>
  <c r="K120" i="7"/>
  <c r="K18" i="7"/>
  <c r="Y57" i="7"/>
  <c r="T59" i="7"/>
  <c r="O120" i="8"/>
  <c r="O18" i="8"/>
  <c r="I121" i="8"/>
  <c r="I57" i="8"/>
  <c r="I126" i="8" s="1"/>
  <c r="I58" i="8"/>
  <c r="I127" i="8" s="1"/>
  <c r="I59" i="8"/>
  <c r="I128" i="8" s="1"/>
  <c r="I56" i="8"/>
  <c r="I60" i="8" s="1"/>
  <c r="Y121" i="8"/>
  <c r="Y57" i="8"/>
  <c r="Y126" i="8" s="1"/>
  <c r="Y58" i="8"/>
  <c r="Y127" i="8" s="1"/>
  <c r="Y59" i="8"/>
  <c r="Y128" i="8" s="1"/>
  <c r="Y56" i="8"/>
  <c r="N122" i="8"/>
  <c r="N57" i="8"/>
  <c r="N126" i="8" s="1"/>
  <c r="AC54" i="8"/>
  <c r="P56" i="6"/>
  <c r="X58" i="6"/>
  <c r="X127" i="6" s="1"/>
  <c r="N120" i="7"/>
  <c r="N18" i="7"/>
  <c r="AE40" i="7"/>
  <c r="J57" i="8"/>
  <c r="J126" i="8" s="1"/>
  <c r="J58" i="8"/>
  <c r="J127" i="8" s="1"/>
  <c r="J59" i="8"/>
  <c r="J121" i="8"/>
  <c r="J56" i="8"/>
  <c r="J125" i="8" s="1"/>
  <c r="Z57" i="8"/>
  <c r="Z126" i="8" s="1"/>
  <c r="Z58" i="8"/>
  <c r="Z127" i="8" s="1"/>
  <c r="Z121" i="8"/>
  <c r="Z59" i="8"/>
  <c r="Z128" i="8" s="1"/>
  <c r="Z56" i="8"/>
  <c r="U57" i="6"/>
  <c r="Y58" i="6"/>
  <c r="Y127" i="6" s="1"/>
  <c r="O120" i="7"/>
  <c r="O18" i="7"/>
  <c r="P121" i="7"/>
  <c r="P56" i="7"/>
  <c r="P57" i="7"/>
  <c r="P126" i="7" s="1"/>
  <c r="Q124" i="7"/>
  <c r="Q122" i="8"/>
  <c r="Q58" i="8"/>
  <c r="Q127" i="8" s="1"/>
  <c r="Q57" i="8"/>
  <c r="Q126" i="8" s="1"/>
  <c r="M121" i="8"/>
  <c r="M58" i="8"/>
  <c r="M127" i="8" s="1"/>
  <c r="M59" i="8"/>
  <c r="M128" i="8" s="1"/>
  <c r="M57" i="8"/>
  <c r="M126" i="8" s="1"/>
  <c r="M56" i="8"/>
  <c r="M60" i="8" s="1"/>
  <c r="P58" i="7"/>
  <c r="P127" i="7" s="1"/>
  <c r="U60" i="7"/>
  <c r="U129" i="7" s="1"/>
  <c r="U56" i="6"/>
  <c r="U125" i="6" s="1"/>
  <c r="Y57" i="6"/>
  <c r="Y126" i="6" s="1"/>
  <c r="T121" i="7"/>
  <c r="T57" i="7"/>
  <c r="T58" i="7"/>
  <c r="T127" i="7" s="1"/>
  <c r="AB58" i="7"/>
  <c r="AB127" i="7" s="1"/>
  <c r="W60" i="7"/>
  <c r="W129" i="7" s="1"/>
  <c r="R18" i="7"/>
  <c r="AE23" i="7"/>
  <c r="U121" i="7"/>
  <c r="U58" i="7"/>
  <c r="U127" i="7" s="1"/>
  <c r="U59" i="7"/>
  <c r="U128" i="7" s="1"/>
  <c r="U57" i="7"/>
  <c r="U126" i="7" s="1"/>
  <c r="W56" i="6"/>
  <c r="P121" i="6"/>
  <c r="AB122" i="7"/>
  <c r="AB59" i="7"/>
  <c r="AB128" i="7" s="1"/>
  <c r="X56" i="6"/>
  <c r="P58" i="6"/>
  <c r="P127" i="6" s="1"/>
  <c r="T18" i="7"/>
  <c r="AE24" i="7"/>
  <c r="W121" i="7"/>
  <c r="W58" i="7"/>
  <c r="W59" i="7"/>
  <c r="W128" i="7" s="1"/>
  <c r="W57" i="7"/>
  <c r="W126" i="7" s="1"/>
  <c r="Y56" i="6"/>
  <c r="U59" i="6"/>
  <c r="U128" i="6" s="1"/>
  <c r="X121" i="7"/>
  <c r="X58" i="7"/>
  <c r="X127" i="7" s="1"/>
  <c r="X59" i="7"/>
  <c r="X128" i="7" s="1"/>
  <c r="Q56" i="7"/>
  <c r="Q60" i="7" s="1"/>
  <c r="Q129" i="7" s="1"/>
  <c r="Y58" i="7"/>
  <c r="Y127" i="7" s="1"/>
  <c r="Y121" i="7"/>
  <c r="L120" i="8"/>
  <c r="L18" i="8"/>
  <c r="AB120" i="8"/>
  <c r="AB18" i="8"/>
  <c r="R56" i="7"/>
  <c r="R60" i="7" s="1"/>
  <c r="R129" i="7" s="1"/>
  <c r="V57" i="7"/>
  <c r="V126" i="7" s="1"/>
  <c r="Z58" i="7"/>
  <c r="Z127" i="7" s="1"/>
  <c r="AA121" i="7"/>
  <c r="E18" i="7"/>
  <c r="U18" i="7"/>
  <c r="S56" i="7"/>
  <c r="S60" i="7" s="1"/>
  <c r="S129" i="7" s="1"/>
  <c r="AA58" i="7"/>
  <c r="AA127" i="7" s="1"/>
  <c r="AB121" i="7"/>
  <c r="V56" i="7"/>
  <c r="V125" i="7" s="1"/>
  <c r="Z57" i="7"/>
  <c r="R59" i="7"/>
  <c r="R128" i="7" s="1"/>
  <c r="E123" i="8"/>
  <c r="U123" i="8"/>
  <c r="AA18" i="7"/>
  <c r="Y56" i="7"/>
  <c r="Y125" i="7" s="1"/>
  <c r="Q58" i="7"/>
  <c r="Q127" i="7" s="1"/>
  <c r="Z56" i="7"/>
  <c r="Z125" i="7" s="1"/>
  <c r="R58" i="7"/>
  <c r="R127" i="7" s="1"/>
  <c r="V59" i="7"/>
  <c r="V128" i="7" s="1"/>
  <c r="AA56" i="7"/>
  <c r="S58" i="7"/>
  <c r="S127" i="7" s="1"/>
  <c r="F59" i="8"/>
  <c r="F128" i="8" s="1"/>
  <c r="AB56" i="7"/>
  <c r="AB60" i="7" s="1"/>
  <c r="AB129" i="7" s="1"/>
  <c r="Q57" i="7"/>
  <c r="Y59" i="7"/>
  <c r="Y128" i="7" s="1"/>
  <c r="U59" i="8"/>
  <c r="U128" i="8" s="1"/>
  <c r="R57" i="7"/>
  <c r="V58" i="7"/>
  <c r="V127" i="7" s="1"/>
  <c r="Z59" i="7"/>
  <c r="Z128" i="7" s="1"/>
  <c r="V59" i="8"/>
  <c r="V128" i="8" s="1"/>
  <c r="S57" i="7"/>
  <c r="S126" i="7" s="1"/>
  <c r="AA59" i="7"/>
  <c r="AA128" i="7" s="1"/>
  <c r="K120" i="8"/>
  <c r="K18" i="8"/>
  <c r="AA120" i="8"/>
  <c r="AA18" i="8"/>
  <c r="C124" i="8"/>
  <c r="H56" i="8"/>
  <c r="X56" i="8"/>
  <c r="X125" i="8" s="1"/>
  <c r="L57" i="8"/>
  <c r="AB57" i="8"/>
  <c r="P58" i="8"/>
  <c r="P127" i="8" s="1"/>
  <c r="D59" i="8"/>
  <c r="T59" i="8"/>
  <c r="T128" i="8" s="1"/>
  <c r="D121" i="8"/>
  <c r="V120" i="9"/>
  <c r="V18" i="9"/>
  <c r="K56" i="8"/>
  <c r="AA56" i="8"/>
  <c r="O57" i="8"/>
  <c r="O126" i="8" s="1"/>
  <c r="S58" i="8"/>
  <c r="G59" i="8"/>
  <c r="G128" i="8" s="1"/>
  <c r="W59" i="8"/>
  <c r="W128" i="8" s="1"/>
  <c r="L121" i="8"/>
  <c r="AB121" i="8"/>
  <c r="L56" i="8"/>
  <c r="L125" i="8" s="1"/>
  <c r="AB56" i="8"/>
  <c r="AB60" i="8" s="1"/>
  <c r="AB129" i="8" s="1"/>
  <c r="P57" i="8"/>
  <c r="P126" i="8" s="1"/>
  <c r="D58" i="8"/>
  <c r="T58" i="8"/>
  <c r="T127" i="8" s="1"/>
  <c r="H59" i="8"/>
  <c r="H128" i="8" s="1"/>
  <c r="X59" i="8"/>
  <c r="X128" i="8" s="1"/>
  <c r="S121" i="8"/>
  <c r="N121" i="8"/>
  <c r="N56" i="8"/>
  <c r="R57" i="8"/>
  <c r="R126" i="8" s="1"/>
  <c r="F58" i="8"/>
  <c r="F127" i="8" s="1"/>
  <c r="V58" i="8"/>
  <c r="V127" i="8" s="1"/>
  <c r="U121" i="8"/>
  <c r="J18" i="8"/>
  <c r="Z18" i="8"/>
  <c r="C53" i="8"/>
  <c r="AC53" i="8" s="1"/>
  <c r="O56" i="8"/>
  <c r="O125" i="8" s="1"/>
  <c r="S57" i="8"/>
  <c r="S126" i="8" s="1"/>
  <c r="G58" i="8"/>
  <c r="G127" i="8" s="1"/>
  <c r="W58" i="8"/>
  <c r="K59" i="8"/>
  <c r="AA59" i="8"/>
  <c r="AA128" i="8" s="1"/>
  <c r="X121" i="8"/>
  <c r="P121" i="8"/>
  <c r="P56" i="8"/>
  <c r="D57" i="8"/>
  <c r="T57" i="8"/>
  <c r="T126" i="8" s="1"/>
  <c r="H58" i="8"/>
  <c r="H127" i="8" s="1"/>
  <c r="X58" i="8"/>
  <c r="X127" i="8" s="1"/>
  <c r="L59" i="8"/>
  <c r="L128" i="8" s="1"/>
  <c r="AB59" i="8"/>
  <c r="AB128" i="8" s="1"/>
  <c r="Q56" i="8"/>
  <c r="E57" i="8"/>
  <c r="E126" i="8" s="1"/>
  <c r="U57" i="8"/>
  <c r="M18" i="8"/>
  <c r="R121" i="8"/>
  <c r="R56" i="8"/>
  <c r="F57" i="8"/>
  <c r="F126" i="8" s="1"/>
  <c r="V57" i="8"/>
  <c r="V126" i="8" s="1"/>
  <c r="N59" i="8"/>
  <c r="N128" i="8" s="1"/>
  <c r="C52" i="8"/>
  <c r="S56" i="8"/>
  <c r="G57" i="8"/>
  <c r="G126" i="8" s="1"/>
  <c r="W57" i="8"/>
  <c r="W126" i="8" s="1"/>
  <c r="K58" i="8"/>
  <c r="K127" i="8" s="1"/>
  <c r="AA58" i="8"/>
  <c r="AA127" i="8" s="1"/>
  <c r="O59" i="8"/>
  <c r="O128" i="8" s="1"/>
  <c r="D56" i="8"/>
  <c r="D60" i="8" s="1"/>
  <c r="T56" i="8"/>
  <c r="T60" i="8" s="1"/>
  <c r="T129" i="8" s="1"/>
  <c r="H57" i="8"/>
  <c r="H126" i="8" s="1"/>
  <c r="X57" i="8"/>
  <c r="X126" i="8" s="1"/>
  <c r="L58" i="8"/>
  <c r="L127" i="8" s="1"/>
  <c r="AB58" i="8"/>
  <c r="AB127" i="8" s="1"/>
  <c r="P59" i="8"/>
  <c r="P128" i="8" s="1"/>
  <c r="P18" i="8"/>
  <c r="E56" i="8"/>
  <c r="E60" i="8" s="1"/>
  <c r="E129" i="8" s="1"/>
  <c r="U56" i="8"/>
  <c r="U60" i="8" s="1"/>
  <c r="Q59" i="8"/>
  <c r="Q128" i="8" s="1"/>
  <c r="R120" i="8"/>
  <c r="AB121" i="9"/>
  <c r="AB58" i="9"/>
  <c r="AB59" i="9"/>
  <c r="AB128" i="9" s="1"/>
  <c r="AB57" i="9"/>
  <c r="AB126" i="9" s="1"/>
  <c r="AB56" i="9"/>
  <c r="Q18" i="8"/>
  <c r="F121" i="8"/>
  <c r="V121" i="8"/>
  <c r="F56" i="8"/>
  <c r="V56" i="8"/>
  <c r="N58" i="8"/>
  <c r="N127" i="8" s="1"/>
  <c r="R59" i="8"/>
  <c r="R128" i="8" s="1"/>
  <c r="AE46" i="9"/>
  <c r="C55" i="8"/>
  <c r="AC55" i="8" s="1"/>
  <c r="G56" i="8"/>
  <c r="W56" i="8"/>
  <c r="K57" i="8"/>
  <c r="K126" i="8" s="1"/>
  <c r="AA57" i="8"/>
  <c r="AA126" i="8" s="1"/>
  <c r="O58" i="8"/>
  <c r="S59" i="8"/>
  <c r="S128" i="8" s="1"/>
  <c r="F120" i="9"/>
  <c r="AA125" i="10"/>
  <c r="P121" i="10"/>
  <c r="P58" i="10"/>
  <c r="P59" i="10"/>
  <c r="P128" i="10" s="1"/>
  <c r="P57" i="10"/>
  <c r="P56" i="10"/>
  <c r="P125" i="10" s="1"/>
  <c r="Y56" i="9"/>
  <c r="S124" i="9"/>
  <c r="S59" i="9"/>
  <c r="U59" i="9"/>
  <c r="U128" i="9" s="1"/>
  <c r="AA122" i="9"/>
  <c r="X59" i="9"/>
  <c r="X128" i="9" s="1"/>
  <c r="Q123" i="9"/>
  <c r="AE30" i="9"/>
  <c r="W57" i="9"/>
  <c r="W61" i="9" s="1"/>
  <c r="W130" i="9" s="1"/>
  <c r="W58" i="9"/>
  <c r="W121" i="9"/>
  <c r="W59" i="9"/>
  <c r="W128" i="9" s="1"/>
  <c r="Q120" i="9"/>
  <c r="Q18" i="9"/>
  <c r="X124" i="9"/>
  <c r="AA57" i="9"/>
  <c r="Y121" i="9"/>
  <c r="Y57" i="9"/>
  <c r="Y58" i="9"/>
  <c r="Y127" i="9" s="1"/>
  <c r="Y59" i="9"/>
  <c r="Y128" i="9" s="1"/>
  <c r="P122" i="9"/>
  <c r="W60" i="9"/>
  <c r="W129" i="9" s="1"/>
  <c r="H18" i="9"/>
  <c r="X18" i="9"/>
  <c r="V121" i="9"/>
  <c r="V56" i="9"/>
  <c r="Z57" i="9"/>
  <c r="Z126" i="9" s="1"/>
  <c r="R59" i="9"/>
  <c r="R128" i="9" s="1"/>
  <c r="X121" i="9"/>
  <c r="X56" i="9"/>
  <c r="X60" i="9" s="1"/>
  <c r="X129" i="9" s="1"/>
  <c r="P58" i="9"/>
  <c r="T59" i="9"/>
  <c r="T128" i="9" s="1"/>
  <c r="U122" i="10"/>
  <c r="U57" i="10"/>
  <c r="U126" i="10" s="1"/>
  <c r="U58" i="10"/>
  <c r="U127" i="10" s="1"/>
  <c r="Z121" i="9"/>
  <c r="Z56" i="9"/>
  <c r="R58" i="9"/>
  <c r="R127" i="9" s="1"/>
  <c r="V59" i="9"/>
  <c r="V128" i="9" s="1"/>
  <c r="AA56" i="9"/>
  <c r="AA60" i="9" s="1"/>
  <c r="S58" i="9"/>
  <c r="S127" i="9" s="1"/>
  <c r="Q57" i="9"/>
  <c r="Q126" i="9" s="1"/>
  <c r="U58" i="9"/>
  <c r="U127" i="9" s="1"/>
  <c r="AE27" i="10"/>
  <c r="P18" i="9"/>
  <c r="R57" i="9"/>
  <c r="R126" i="9" s="1"/>
  <c r="V58" i="9"/>
  <c r="Z59" i="9"/>
  <c r="Z128" i="9" s="1"/>
  <c r="S57" i="9"/>
  <c r="S126" i="9" s="1"/>
  <c r="AA59" i="9"/>
  <c r="AA128" i="9" s="1"/>
  <c r="R18" i="9"/>
  <c r="P121" i="9"/>
  <c r="P56" i="9"/>
  <c r="P60" i="9" s="1"/>
  <c r="P129" i="9" s="1"/>
  <c r="T57" i="9"/>
  <c r="T126" i="9" s="1"/>
  <c r="X58" i="9"/>
  <c r="X127" i="9" s="1"/>
  <c r="Q56" i="9"/>
  <c r="Q60" i="9" s="1"/>
  <c r="U57" i="9"/>
  <c r="U126" i="9" s="1"/>
  <c r="T18" i="9"/>
  <c r="R121" i="9"/>
  <c r="R56" i="9"/>
  <c r="V57" i="9"/>
  <c r="V126" i="9" s="1"/>
  <c r="Z58" i="9"/>
  <c r="Z127" i="9" s="1"/>
  <c r="K120" i="10"/>
  <c r="K18" i="10"/>
  <c r="AA120" i="10"/>
  <c r="AA18" i="10"/>
  <c r="E18" i="9"/>
  <c r="U18" i="9"/>
  <c r="S121" i="9"/>
  <c r="S56" i="9"/>
  <c r="AA58" i="9"/>
  <c r="AA127" i="9" s="1"/>
  <c r="T121" i="9"/>
  <c r="T56" i="9"/>
  <c r="T60" i="9" s="1"/>
  <c r="X57" i="9"/>
  <c r="P59" i="9"/>
  <c r="P128" i="9" s="1"/>
  <c r="M120" i="10"/>
  <c r="M18" i="10"/>
  <c r="G18" i="9"/>
  <c r="W18" i="9"/>
  <c r="U56" i="9"/>
  <c r="Q59" i="9"/>
  <c r="J120" i="10"/>
  <c r="J18" i="10"/>
  <c r="Z120" i="10"/>
  <c r="Z18" i="10"/>
  <c r="Q121" i="10"/>
  <c r="Q58" i="10"/>
  <c r="Q127" i="10" s="1"/>
  <c r="Q59" i="10"/>
  <c r="Q128" i="10" s="1"/>
  <c r="Q56" i="10"/>
  <c r="Q57" i="10"/>
  <c r="Q126" i="10" s="1"/>
  <c r="V121" i="11"/>
  <c r="V58" i="11"/>
  <c r="V127" i="11" s="1"/>
  <c r="V57" i="11"/>
  <c r="V126" i="11" s="1"/>
  <c r="V59" i="11"/>
  <c r="V128" i="11" s="1"/>
  <c r="V56" i="11"/>
  <c r="V60" i="11" s="1"/>
  <c r="S59" i="10"/>
  <c r="S128" i="10" s="1"/>
  <c r="S121" i="10"/>
  <c r="S56" i="10"/>
  <c r="S57" i="10"/>
  <c r="S126" i="10" s="1"/>
  <c r="AE43" i="10"/>
  <c r="AE31" i="10"/>
  <c r="AA60" i="10"/>
  <c r="AA129" i="10" s="1"/>
  <c r="AA57" i="10"/>
  <c r="AA121" i="10"/>
  <c r="AA58" i="10"/>
  <c r="AA127" i="10" s="1"/>
  <c r="AA59" i="10"/>
  <c r="AA128" i="10" s="1"/>
  <c r="S58" i="10"/>
  <c r="S127" i="10" s="1"/>
  <c r="AB57" i="10"/>
  <c r="AB121" i="10"/>
  <c r="AB58" i="10"/>
  <c r="F120" i="10"/>
  <c r="F18" i="10"/>
  <c r="V18" i="10"/>
  <c r="V120" i="10"/>
  <c r="U18" i="10"/>
  <c r="X123" i="10"/>
  <c r="X58" i="10"/>
  <c r="X127" i="10" s="1"/>
  <c r="T122" i="10"/>
  <c r="Y59" i="10"/>
  <c r="Y128" i="10" s="1"/>
  <c r="Y123" i="10"/>
  <c r="U124" i="11"/>
  <c r="R57" i="10"/>
  <c r="R126" i="10" s="1"/>
  <c r="V58" i="10"/>
  <c r="V127" i="10" s="1"/>
  <c r="Z59" i="10"/>
  <c r="Z128" i="10" s="1"/>
  <c r="Z122" i="11"/>
  <c r="P123" i="11"/>
  <c r="W58" i="10"/>
  <c r="W127" i="10" s="1"/>
  <c r="Y58" i="10"/>
  <c r="Y127" i="10" s="1"/>
  <c r="X120" i="10"/>
  <c r="W121" i="11"/>
  <c r="W57" i="11"/>
  <c r="W126" i="11" s="1"/>
  <c r="W59" i="11"/>
  <c r="W128" i="11" s="1"/>
  <c r="W58" i="11"/>
  <c r="W127" i="11" s="1"/>
  <c r="W56" i="11"/>
  <c r="R56" i="10"/>
  <c r="V57" i="10"/>
  <c r="V126" i="10" s="1"/>
  <c r="Z58" i="10"/>
  <c r="Z127" i="10" s="1"/>
  <c r="Y120" i="10"/>
  <c r="Q120" i="11"/>
  <c r="Q18" i="11"/>
  <c r="W57" i="10"/>
  <c r="W126" i="10" s="1"/>
  <c r="T56" i="10"/>
  <c r="X57" i="10"/>
  <c r="X126" i="10" s="1"/>
  <c r="Y121" i="10"/>
  <c r="S120" i="11"/>
  <c r="S18" i="11"/>
  <c r="G18" i="10"/>
  <c r="U56" i="10"/>
  <c r="Y57" i="10"/>
  <c r="Y126" i="10" s="1"/>
  <c r="H18" i="10"/>
  <c r="V121" i="10"/>
  <c r="V56" i="10"/>
  <c r="V60" i="10" s="1"/>
  <c r="V129" i="10" s="1"/>
  <c r="Z57" i="10"/>
  <c r="R59" i="10"/>
  <c r="R128" i="10" s="1"/>
  <c r="I18" i="10"/>
  <c r="W121" i="10"/>
  <c r="W56" i="10"/>
  <c r="W60" i="10" s="1"/>
  <c r="X121" i="10"/>
  <c r="X56" i="10"/>
  <c r="T59" i="10"/>
  <c r="T128" i="10" s="1"/>
  <c r="Y56" i="10"/>
  <c r="Y60" i="10" s="1"/>
  <c r="Y129" i="10" s="1"/>
  <c r="U59" i="10"/>
  <c r="L18" i="10"/>
  <c r="AB18" i="10"/>
  <c r="Z56" i="10"/>
  <c r="Z125" i="10" s="1"/>
  <c r="R58" i="10"/>
  <c r="R127" i="10" s="1"/>
  <c r="V59" i="10"/>
  <c r="V128" i="10" s="1"/>
  <c r="AA121" i="11"/>
  <c r="AA58" i="11"/>
  <c r="AA127" i="11" s="1"/>
  <c r="AA56" i="11"/>
  <c r="AA59" i="11"/>
  <c r="AA128" i="11" s="1"/>
  <c r="AA57" i="11"/>
  <c r="AA126" i="11" s="1"/>
  <c r="V125" i="12"/>
  <c r="Z120" i="11"/>
  <c r="Z18" i="11"/>
  <c r="K120" i="11"/>
  <c r="K18" i="11"/>
  <c r="AB120" i="11"/>
  <c r="AB18" i="11"/>
  <c r="U59" i="11"/>
  <c r="U128" i="11" s="1"/>
  <c r="M120" i="11"/>
  <c r="M18" i="11"/>
  <c r="AE28" i="11"/>
  <c r="S124" i="11"/>
  <c r="S59" i="11"/>
  <c r="X57" i="11"/>
  <c r="X126" i="11" s="1"/>
  <c r="X121" i="11"/>
  <c r="X58" i="11"/>
  <c r="X127" i="11" s="1"/>
  <c r="X56" i="11"/>
  <c r="Y57" i="11"/>
  <c r="Y126" i="11" s="1"/>
  <c r="Y121" i="11"/>
  <c r="Z121" i="11"/>
  <c r="Z59" i="11"/>
  <c r="Z128" i="11" s="1"/>
  <c r="Q56" i="11"/>
  <c r="Q58" i="11"/>
  <c r="Q127" i="11" s="1"/>
  <c r="R59" i="11"/>
  <c r="Q57" i="11"/>
  <c r="Q126" i="11" s="1"/>
  <c r="AB121" i="11"/>
  <c r="AB58" i="11"/>
  <c r="AB127" i="11" s="1"/>
  <c r="AB59" i="11"/>
  <c r="AB128" i="11" s="1"/>
  <c r="AB57" i="11"/>
  <c r="AB126" i="11" s="1"/>
  <c r="S57" i="11"/>
  <c r="S126" i="11" s="1"/>
  <c r="Y56" i="11"/>
  <c r="X59" i="11"/>
  <c r="X128" i="11" s="1"/>
  <c r="N18" i="11"/>
  <c r="Z56" i="11"/>
  <c r="Z125" i="11" s="1"/>
  <c r="Z57" i="11"/>
  <c r="Z126" i="11" s="1"/>
  <c r="Y58" i="11"/>
  <c r="Y59" i="11"/>
  <c r="Y128" i="11" s="1"/>
  <c r="P121" i="11"/>
  <c r="P59" i="11"/>
  <c r="P128" i="11" s="1"/>
  <c r="P56" i="11"/>
  <c r="P125" i="11" s="1"/>
  <c r="P58" i="11"/>
  <c r="P127" i="11" s="1"/>
  <c r="T122" i="11"/>
  <c r="T57" i="11"/>
  <c r="T59" i="11"/>
  <c r="T128" i="11" s="1"/>
  <c r="AB56" i="11"/>
  <c r="Z58" i="11"/>
  <c r="Z127" i="11" s="1"/>
  <c r="G120" i="11"/>
  <c r="G18" i="11"/>
  <c r="W120" i="11"/>
  <c r="W18" i="11"/>
  <c r="P18" i="11"/>
  <c r="Q121" i="11"/>
  <c r="Q59" i="11"/>
  <c r="Q128" i="11" s="1"/>
  <c r="U122" i="11"/>
  <c r="R60" i="11"/>
  <c r="R129" i="11" s="1"/>
  <c r="R121" i="11"/>
  <c r="R57" i="11"/>
  <c r="R61" i="11" s="1"/>
  <c r="R130" i="11" s="1"/>
  <c r="R18" i="11"/>
  <c r="S121" i="11"/>
  <c r="S56" i="11"/>
  <c r="S125" i="11" s="1"/>
  <c r="S58" i="11"/>
  <c r="S127" i="11" s="1"/>
  <c r="F4" i="12"/>
  <c r="S124" i="12"/>
  <c r="S59" i="12"/>
  <c r="S128" i="12" s="1"/>
  <c r="Y122" i="12"/>
  <c r="Y57" i="12"/>
  <c r="Y126" i="12" s="1"/>
  <c r="U121" i="11"/>
  <c r="Q18" i="12"/>
  <c r="Q120" i="12"/>
  <c r="Z122" i="12"/>
  <c r="Z59" i="12"/>
  <c r="Z128" i="12" s="1"/>
  <c r="AE42" i="12"/>
  <c r="U121" i="12"/>
  <c r="U57" i="12"/>
  <c r="U126" i="12" s="1"/>
  <c r="U60" i="12"/>
  <c r="U129" i="12" s="1"/>
  <c r="U58" i="12"/>
  <c r="U127" i="12" s="1"/>
  <c r="U59" i="12"/>
  <c r="U128" i="12" s="1"/>
  <c r="T56" i="11"/>
  <c r="T125" i="11" s="1"/>
  <c r="T120" i="12"/>
  <c r="T18" i="12"/>
  <c r="U56" i="11"/>
  <c r="U125" i="11" s="1"/>
  <c r="AE45" i="12"/>
  <c r="Q122" i="12"/>
  <c r="Q58" i="12"/>
  <c r="Q127" i="12" s="1"/>
  <c r="AE26" i="12"/>
  <c r="P120" i="12"/>
  <c r="P18" i="12"/>
  <c r="Z57" i="12"/>
  <c r="Z126" i="12" s="1"/>
  <c r="V59" i="12"/>
  <c r="V128" i="12" s="1"/>
  <c r="R120" i="12"/>
  <c r="R18" i="12"/>
  <c r="F3" i="12"/>
  <c r="W18" i="12"/>
  <c r="V121" i="12"/>
  <c r="V57" i="12"/>
  <c r="V60" i="12"/>
  <c r="V129" i="12" s="1"/>
  <c r="V58" i="12"/>
  <c r="V127" i="12" s="1"/>
  <c r="AA122" i="12"/>
  <c r="W56" i="12"/>
  <c r="W57" i="12"/>
  <c r="W126" i="12" s="1"/>
  <c r="W58" i="12"/>
  <c r="W127" i="12" s="1"/>
  <c r="W121" i="12"/>
  <c r="W59" i="12"/>
  <c r="W128" i="12" s="1"/>
  <c r="R123" i="12"/>
  <c r="Z56" i="12"/>
  <c r="R58" i="12"/>
  <c r="R127" i="12" s="1"/>
  <c r="AE24" i="12"/>
  <c r="Z121" i="12"/>
  <c r="Z58" i="12"/>
  <c r="Z127" i="12" s="1"/>
  <c r="V18" i="12"/>
  <c r="T121" i="12"/>
  <c r="T59" i="12"/>
  <c r="T128" i="12" s="1"/>
  <c r="T56" i="12"/>
  <c r="X57" i="12"/>
  <c r="X126" i="12" s="1"/>
  <c r="AB58" i="12"/>
  <c r="AB127" i="12" s="1"/>
  <c r="R59" i="12"/>
  <c r="R128" i="12" s="1"/>
  <c r="X59" i="12"/>
  <c r="X128" i="12" s="1"/>
  <c r="X121" i="12"/>
  <c r="X56" i="12"/>
  <c r="AB57" i="12"/>
  <c r="AB126" i="12" s="1"/>
  <c r="P58" i="12"/>
  <c r="P127" i="12" s="1"/>
  <c r="Y56" i="12"/>
  <c r="Y59" i="12"/>
  <c r="Y128" i="12" s="1"/>
  <c r="S120" i="12"/>
  <c r="M18" i="12"/>
  <c r="AA121" i="12"/>
  <c r="AA56" i="12"/>
  <c r="S58" i="12"/>
  <c r="S127" i="12" s="1"/>
  <c r="AA59" i="12"/>
  <c r="AA128" i="12" s="1"/>
  <c r="N18" i="12"/>
  <c r="AB56" i="12"/>
  <c r="AB60" i="12" s="1"/>
  <c r="AB129" i="12" s="1"/>
  <c r="P57" i="12"/>
  <c r="P126" i="12" s="1"/>
  <c r="T58" i="12"/>
  <c r="T127" i="12" s="1"/>
  <c r="AB59" i="12"/>
  <c r="AB128" i="12" s="1"/>
  <c r="R57" i="12"/>
  <c r="R126" i="12" s="1"/>
  <c r="S57" i="12"/>
  <c r="S126" i="12" s="1"/>
  <c r="Y121" i="12"/>
  <c r="P121" i="12"/>
  <c r="P56" i="12"/>
  <c r="T57" i="12"/>
  <c r="T126" i="12" s="1"/>
  <c r="X58" i="12"/>
  <c r="X127" i="12" s="1"/>
  <c r="AB121" i="12"/>
  <c r="Q56" i="12"/>
  <c r="Q60" i="12" s="1"/>
  <c r="Q129" i="12" s="1"/>
  <c r="Y58" i="12"/>
  <c r="Y127" i="12" s="1"/>
  <c r="R121" i="12"/>
  <c r="R56" i="12"/>
  <c r="P59" i="12"/>
  <c r="P128" i="12" s="1"/>
  <c r="S121" i="12"/>
  <c r="S56" i="12"/>
  <c r="AA58" i="12"/>
  <c r="AA127" i="12" s="1"/>
  <c r="Q59" i="12"/>
  <c r="Q128" i="12" s="1"/>
  <c r="H122" i="13"/>
  <c r="H57" i="13"/>
  <c r="H126" i="13" s="1"/>
  <c r="X122" i="13"/>
  <c r="X59" i="13"/>
  <c r="X128" i="13" s="1"/>
  <c r="N120" i="13"/>
  <c r="N18" i="13"/>
  <c r="T121" i="13"/>
  <c r="T58" i="13"/>
  <c r="T127" i="13" s="1"/>
  <c r="T56" i="13"/>
  <c r="T59" i="13"/>
  <c r="T128" i="13" s="1"/>
  <c r="T57" i="13"/>
  <c r="T126" i="13" s="1"/>
  <c r="W124" i="13"/>
  <c r="H58" i="13"/>
  <c r="H127" i="13" s="1"/>
  <c r="M122" i="13"/>
  <c r="S123" i="13"/>
  <c r="I121" i="13"/>
  <c r="I56" i="13"/>
  <c r="I59" i="13"/>
  <c r="I128" i="13" s="1"/>
  <c r="I57" i="13"/>
  <c r="I126" i="13" s="1"/>
  <c r="I58" i="13"/>
  <c r="I127" i="13" s="1"/>
  <c r="Y121" i="13"/>
  <c r="Y56" i="13"/>
  <c r="Y59" i="13"/>
  <c r="Y128" i="13" s="1"/>
  <c r="Y57" i="13"/>
  <c r="Y126" i="13" s="1"/>
  <c r="Y58" i="13"/>
  <c r="Y127" i="13" s="1"/>
  <c r="O122" i="13"/>
  <c r="O57" i="13"/>
  <c r="O126" i="13" s="1"/>
  <c r="E120" i="13"/>
  <c r="E18" i="13"/>
  <c r="U120" i="13"/>
  <c r="U18" i="13"/>
  <c r="S18" i="13"/>
  <c r="K57" i="13"/>
  <c r="K58" i="13"/>
  <c r="K127" i="13" s="1"/>
  <c r="K121" i="13"/>
  <c r="K59" i="13"/>
  <c r="K128" i="13" s="1"/>
  <c r="K60" i="13"/>
  <c r="K129" i="13" s="1"/>
  <c r="AA121" i="13"/>
  <c r="AA57" i="13"/>
  <c r="AA126" i="13" s="1"/>
  <c r="AA58" i="13"/>
  <c r="AA127" i="13" s="1"/>
  <c r="AA59" i="13"/>
  <c r="AA128" i="13" s="1"/>
  <c r="V123" i="13"/>
  <c r="V58" i="13"/>
  <c r="V127" i="13" s="1"/>
  <c r="M59" i="13"/>
  <c r="M128" i="13" s="1"/>
  <c r="R122" i="13"/>
  <c r="Q59" i="13"/>
  <c r="Q128" i="13" s="1"/>
  <c r="H120" i="13"/>
  <c r="H18" i="13"/>
  <c r="X120" i="13"/>
  <c r="X18" i="13"/>
  <c r="N121" i="13"/>
  <c r="N57" i="13"/>
  <c r="N126" i="13" s="1"/>
  <c r="N58" i="13"/>
  <c r="N127" i="13" s="1"/>
  <c r="N59" i="13"/>
  <c r="N128" i="13" s="1"/>
  <c r="N56" i="13"/>
  <c r="N60" i="13" s="1"/>
  <c r="N129" i="13" s="1"/>
  <c r="U122" i="13"/>
  <c r="U58" i="13"/>
  <c r="U127" i="13" s="1"/>
  <c r="AA56" i="13"/>
  <c r="Q121" i="13"/>
  <c r="Q58" i="13"/>
  <c r="Q127" i="13" s="1"/>
  <c r="Q56" i="13"/>
  <c r="Q60" i="13" s="1"/>
  <c r="Q129" i="13" s="1"/>
  <c r="Q57" i="13"/>
  <c r="Q126" i="13" s="1"/>
  <c r="L121" i="13"/>
  <c r="AB121" i="13"/>
  <c r="L56" i="13"/>
  <c r="L60" i="13" s="1"/>
  <c r="L129" i="13" s="1"/>
  <c r="AB56" i="13"/>
  <c r="AB125" i="13" s="1"/>
  <c r="X58" i="13"/>
  <c r="X127" i="13" s="1"/>
  <c r="O18" i="13"/>
  <c r="M121" i="13"/>
  <c r="M56" i="13"/>
  <c r="M60" i="13" s="1"/>
  <c r="M129" i="13" s="1"/>
  <c r="R57" i="13"/>
  <c r="R126" i="13" s="1"/>
  <c r="P59" i="13"/>
  <c r="P128" i="13" s="1"/>
  <c r="O58" i="13"/>
  <c r="O127" i="13" s="1"/>
  <c r="O59" i="13"/>
  <c r="O128" i="13" s="1"/>
  <c r="O121" i="13"/>
  <c r="O56" i="13"/>
  <c r="O125" i="13" s="1"/>
  <c r="AB58" i="13"/>
  <c r="AB127" i="13" s="1"/>
  <c r="R59" i="13"/>
  <c r="R128" i="13" s="1"/>
  <c r="P121" i="13"/>
  <c r="P56" i="13"/>
  <c r="U57" i="13"/>
  <c r="U126" i="13" s="1"/>
  <c r="J58" i="13"/>
  <c r="J127" i="13" s="1"/>
  <c r="L58" i="13"/>
  <c r="L127" i="13" s="1"/>
  <c r="U59" i="13"/>
  <c r="U128" i="13" s="1"/>
  <c r="Z121" i="13"/>
  <c r="T18" i="13"/>
  <c r="R121" i="13"/>
  <c r="R56" i="13"/>
  <c r="W57" i="13"/>
  <c r="W126" i="13" s="1"/>
  <c r="M58" i="13"/>
  <c r="M127" i="13" s="1"/>
  <c r="V59" i="13"/>
  <c r="V128" i="13" s="1"/>
  <c r="S121" i="13"/>
  <c r="S59" i="13"/>
  <c r="S128" i="13" s="1"/>
  <c r="S56" i="13"/>
  <c r="S125" i="13" s="1"/>
  <c r="X57" i="13"/>
  <c r="X126" i="13" s="1"/>
  <c r="U121" i="13"/>
  <c r="U56" i="13"/>
  <c r="U60" i="13" s="1"/>
  <c r="U129" i="13" s="1"/>
  <c r="Z57" i="13"/>
  <c r="Z126" i="13" s="1"/>
  <c r="V121" i="13"/>
  <c r="V56" i="13"/>
  <c r="J57" i="13"/>
  <c r="J126" i="13" s="1"/>
  <c r="AB57" i="13"/>
  <c r="AB126" i="13" s="1"/>
  <c r="R58" i="13"/>
  <c r="R127" i="13" s="1"/>
  <c r="H59" i="13"/>
  <c r="H128" i="13" s="1"/>
  <c r="Z59" i="13"/>
  <c r="Z128" i="13" s="1"/>
  <c r="I18" i="13"/>
  <c r="Y18" i="13"/>
  <c r="W121" i="13"/>
  <c r="W56" i="13"/>
  <c r="W125" i="13" s="1"/>
  <c r="L57" i="13"/>
  <c r="L126" i="13" s="1"/>
  <c r="S58" i="13"/>
  <c r="S127" i="13" s="1"/>
  <c r="J18" i="13"/>
  <c r="Z18" i="13"/>
  <c r="H121" i="13"/>
  <c r="X121" i="13"/>
  <c r="H56" i="13"/>
  <c r="X56" i="13"/>
  <c r="X125" i="13" s="1"/>
  <c r="M57" i="13"/>
  <c r="M126" i="13" s="1"/>
  <c r="J59" i="13"/>
  <c r="J128" i="13" s="1"/>
  <c r="AB59" i="13"/>
  <c r="AB128" i="13" s="1"/>
  <c r="J121" i="13"/>
  <c r="J56" i="13"/>
  <c r="J60" i="13" s="1"/>
  <c r="J129" i="13" s="1"/>
  <c r="Z56" i="13"/>
  <c r="Z125" i="13" s="1"/>
  <c r="L59" i="13"/>
  <c r="L128" i="13" s="1"/>
  <c r="AC66" i="15"/>
  <c r="C56" i="15" s="1"/>
  <c r="C148" i="15"/>
  <c r="AC49" i="15"/>
  <c r="C41" i="15" s="1"/>
  <c r="C98" i="15"/>
  <c r="C150" i="15"/>
  <c r="C75" i="15"/>
  <c r="C76" i="15"/>
  <c r="C128" i="15"/>
  <c r="AC100" i="15"/>
  <c r="C93" i="15" s="1"/>
  <c r="C91" i="15"/>
  <c r="AC151" i="15"/>
  <c r="C141" i="15" s="1"/>
  <c r="C99" i="15"/>
  <c r="AC134" i="15"/>
  <c r="C125" i="15" s="1"/>
  <c r="AC83" i="15"/>
  <c r="C73" i="15" s="1"/>
  <c r="C94" i="15"/>
  <c r="C146" i="15"/>
  <c r="C95" i="15"/>
  <c r="AC117" i="15"/>
  <c r="C113" i="15" s="1"/>
  <c r="AG3" i="14"/>
  <c r="C31" i="15" l="1"/>
  <c r="C25" i="15"/>
  <c r="C26" i="15"/>
  <c r="C114" i="15"/>
  <c r="C74" i="15"/>
  <c r="C48" i="15"/>
  <c r="C46" i="15"/>
  <c r="C144" i="15"/>
  <c r="C143" i="15"/>
  <c r="C44" i="15"/>
  <c r="C3" i="14"/>
  <c r="C8" i="7"/>
  <c r="D3" i="14"/>
  <c r="C112" i="15"/>
  <c r="C90" i="15"/>
  <c r="C108" i="15"/>
  <c r="C142" i="15"/>
  <c r="F3" i="14"/>
  <c r="C111" i="15"/>
  <c r="C77" i="15"/>
  <c r="F11" i="14"/>
  <c r="C147" i="15"/>
  <c r="J3" i="14"/>
  <c r="C82" i="15"/>
  <c r="C80" i="15"/>
  <c r="C64" i="15"/>
  <c r="C96" i="15"/>
  <c r="M101" i="1"/>
  <c r="M100" i="1"/>
  <c r="M106" i="1" s="1"/>
  <c r="M103" i="1"/>
  <c r="C79" i="15"/>
  <c r="C43" i="15"/>
  <c r="H10" i="16"/>
  <c r="K6" i="7"/>
  <c r="T36" i="14"/>
  <c r="I6" i="14" s="1"/>
  <c r="K6" i="8"/>
  <c r="K6" i="9"/>
  <c r="K6" i="10"/>
  <c r="K6" i="11"/>
  <c r="K6" i="12"/>
  <c r="V64" i="6"/>
  <c r="V133" i="6" s="1"/>
  <c r="Z60" i="11"/>
  <c r="Z129" i="11" s="1"/>
  <c r="U61" i="13"/>
  <c r="U130" i="13" s="1"/>
  <c r="Y61" i="9"/>
  <c r="Y130" i="9" s="1"/>
  <c r="P63" i="8"/>
  <c r="P132" i="8" s="1"/>
  <c r="V62" i="12"/>
  <c r="V131" i="12" s="1"/>
  <c r="Y61" i="13"/>
  <c r="Y130" i="13" s="1"/>
  <c r="R61" i="9"/>
  <c r="R130" i="9" s="1"/>
  <c r="X60" i="13"/>
  <c r="X129" i="13" s="1"/>
  <c r="U61" i="10"/>
  <c r="U130" i="10" s="1"/>
  <c r="S62" i="12"/>
  <c r="S131" i="12" s="1"/>
  <c r="AA62" i="12"/>
  <c r="AA131" i="12" s="1"/>
  <c r="AA62" i="9"/>
  <c r="AA131" i="9" s="1"/>
  <c r="P61" i="10"/>
  <c r="P130" i="10" s="1"/>
  <c r="C123" i="8"/>
  <c r="T62" i="7"/>
  <c r="T131" i="7" s="1"/>
  <c r="S60" i="11"/>
  <c r="S129" i="11" s="1"/>
  <c r="I61" i="13"/>
  <c r="I130" i="13" s="1"/>
  <c r="Q61" i="12"/>
  <c r="Q130" i="12" s="1"/>
  <c r="Y63" i="10"/>
  <c r="Y132" i="10" s="1"/>
  <c r="K64" i="13"/>
  <c r="K133" i="13" s="1"/>
  <c r="W61" i="11"/>
  <c r="W130" i="11" s="1"/>
  <c r="P61" i="6"/>
  <c r="P130" i="6" s="1"/>
  <c r="Z62" i="8"/>
  <c r="Z131" i="8" s="1"/>
  <c r="Z60" i="7"/>
  <c r="Z129" i="7" s="1"/>
  <c r="U62" i="7"/>
  <c r="U131" i="7" s="1"/>
  <c r="L64" i="13"/>
  <c r="L133" i="13" s="1"/>
  <c r="Y62" i="8"/>
  <c r="Y131" i="8" s="1"/>
  <c r="M62" i="13"/>
  <c r="M131" i="13" s="1"/>
  <c r="Y61" i="11"/>
  <c r="Y130" i="11" s="1"/>
  <c r="U62" i="9"/>
  <c r="U131" i="9" s="1"/>
  <c r="AA63" i="9"/>
  <c r="AA132" i="9" s="1"/>
  <c r="AB62" i="7"/>
  <c r="AB131" i="7" s="1"/>
  <c r="AB63" i="10"/>
  <c r="AB132" i="10" s="1"/>
  <c r="V60" i="7"/>
  <c r="V129" i="7" s="1"/>
  <c r="H63" i="13"/>
  <c r="H132" i="13" s="1"/>
  <c r="R62" i="13"/>
  <c r="R131" i="13" s="1"/>
  <c r="Q62" i="12"/>
  <c r="Q131" i="12" s="1"/>
  <c r="W61" i="8"/>
  <c r="W130" i="8" s="1"/>
  <c r="W63" i="13"/>
  <c r="W132" i="13" s="1"/>
  <c r="C122" i="8"/>
  <c r="R61" i="8"/>
  <c r="R130" i="8" s="1"/>
  <c r="N63" i="13"/>
  <c r="N132" i="13" s="1"/>
  <c r="AB62" i="13"/>
  <c r="AB131" i="13" s="1"/>
  <c r="R63" i="12"/>
  <c r="R132" i="12" s="1"/>
  <c r="W60" i="11"/>
  <c r="W129" i="11" s="1"/>
  <c r="X63" i="7"/>
  <c r="X132" i="7" s="1"/>
  <c r="U60" i="6"/>
  <c r="U129" i="6" s="1"/>
  <c r="N62" i="8"/>
  <c r="N131" i="8" s="1"/>
  <c r="X62" i="7"/>
  <c r="X131" i="7" s="1"/>
  <c r="X64" i="9"/>
  <c r="X133" i="9" s="1"/>
  <c r="Q61" i="9"/>
  <c r="Q130" i="9" s="1"/>
  <c r="W62" i="12"/>
  <c r="W131" i="12" s="1"/>
  <c r="W61" i="13"/>
  <c r="W130" i="13" s="1"/>
  <c r="I60" i="13"/>
  <c r="I129" i="13" s="1"/>
  <c r="W62" i="11"/>
  <c r="W131" i="11" s="1"/>
  <c r="K61" i="8"/>
  <c r="K130" i="8" s="1"/>
  <c r="S60" i="6"/>
  <c r="S129" i="6" s="1"/>
  <c r="X63" i="8"/>
  <c r="X132" i="8" s="1"/>
  <c r="T60" i="11"/>
  <c r="T129" i="11" s="1"/>
  <c r="AA61" i="8"/>
  <c r="AA130" i="8" s="1"/>
  <c r="W61" i="7"/>
  <c r="W130" i="7" s="1"/>
  <c r="T129" i="9"/>
  <c r="T64" i="9"/>
  <c r="T133" i="9" s="1"/>
  <c r="AB61" i="13"/>
  <c r="AB130" i="13" s="1"/>
  <c r="K62" i="8"/>
  <c r="K131" i="8" s="1"/>
  <c r="T62" i="9"/>
  <c r="T131" i="9" s="1"/>
  <c r="S61" i="8"/>
  <c r="S130" i="8" s="1"/>
  <c r="K60" i="8"/>
  <c r="K129" i="8" s="1"/>
  <c r="O60" i="13"/>
  <c r="O129" i="13" s="1"/>
  <c r="O60" i="8"/>
  <c r="O129" i="8" s="1"/>
  <c r="V61" i="7"/>
  <c r="R60" i="13"/>
  <c r="R129" i="13" s="1"/>
  <c r="W60" i="13"/>
  <c r="W64" i="13" s="1"/>
  <c r="W133" i="13" s="1"/>
  <c r="Z60" i="13"/>
  <c r="Z129" i="13" s="1"/>
  <c r="T61" i="11"/>
  <c r="T130" i="11" s="1"/>
  <c r="M62" i="8"/>
  <c r="M131" i="8" s="1"/>
  <c r="AB63" i="8"/>
  <c r="AB132" i="8" s="1"/>
  <c r="Z62" i="10"/>
  <c r="Z131" i="10" s="1"/>
  <c r="S62" i="9"/>
  <c r="S131" i="9" s="1"/>
  <c r="X62" i="8"/>
  <c r="X131" i="8" s="1"/>
  <c r="L60" i="8"/>
  <c r="L129" i="8" s="1"/>
  <c r="Y60" i="7"/>
  <c r="Y129" i="7" s="1"/>
  <c r="AA61" i="13"/>
  <c r="AA130" i="13" s="1"/>
  <c r="AA63" i="7"/>
  <c r="AA132" i="7" s="1"/>
  <c r="AB60" i="10"/>
  <c r="AB129" i="10" s="1"/>
  <c r="Z62" i="13"/>
  <c r="Z131" i="13" s="1"/>
  <c r="Z61" i="10"/>
  <c r="Z130" i="10" s="1"/>
  <c r="V64" i="11"/>
  <c r="V133" i="11" s="1"/>
  <c r="U64" i="7"/>
  <c r="U133" i="7" s="1"/>
  <c r="O62" i="13"/>
  <c r="O131" i="13" s="1"/>
  <c r="Q63" i="13"/>
  <c r="Q132" i="13" s="1"/>
  <c r="AB61" i="10"/>
  <c r="AB130" i="10" s="1"/>
  <c r="V63" i="11"/>
  <c r="V132" i="11" s="1"/>
  <c r="AB63" i="9"/>
  <c r="AB132" i="9" s="1"/>
  <c r="V61" i="8"/>
  <c r="V130" i="8" s="1"/>
  <c r="V63" i="7"/>
  <c r="V132" i="7" s="1"/>
  <c r="R65" i="11"/>
  <c r="R134" i="11" s="1"/>
  <c r="AA63" i="13"/>
  <c r="AA132" i="13" s="1"/>
  <c r="P60" i="11"/>
  <c r="P129" i="11" s="1"/>
  <c r="U61" i="9"/>
  <c r="U130" i="9" s="1"/>
  <c r="AB61" i="12"/>
  <c r="AB130" i="12" s="1"/>
  <c r="AA60" i="12"/>
  <c r="AA129" i="12" s="1"/>
  <c r="S62" i="11"/>
  <c r="S131" i="11" s="1"/>
  <c r="Q63" i="9"/>
  <c r="Q132" i="9" s="1"/>
  <c r="Q62" i="7"/>
  <c r="Q131" i="7" s="1"/>
  <c r="X60" i="7"/>
  <c r="S62" i="6"/>
  <c r="S131" i="6" s="1"/>
  <c r="O61" i="13"/>
  <c r="O130" i="13" s="1"/>
  <c r="Z62" i="11"/>
  <c r="Z131" i="11" s="1"/>
  <c r="X61" i="11"/>
  <c r="X130" i="11" s="1"/>
  <c r="U60" i="9"/>
  <c r="U64" i="9" s="1"/>
  <c r="U133" i="9" s="1"/>
  <c r="M64" i="8"/>
  <c r="M133" i="8" s="1"/>
  <c r="X61" i="7"/>
  <c r="X130" i="7" s="1"/>
  <c r="U62" i="11"/>
  <c r="U131" i="11" s="1"/>
  <c r="O61" i="8"/>
  <c r="O130" i="8" s="1"/>
  <c r="X63" i="6"/>
  <c r="X132" i="6" s="1"/>
  <c r="S61" i="6"/>
  <c r="S130" i="6" s="1"/>
  <c r="D126" i="8"/>
  <c r="C57" i="8"/>
  <c r="D63" i="8"/>
  <c r="U64" i="13"/>
  <c r="U133" i="13" s="1"/>
  <c r="S128" i="9"/>
  <c r="W125" i="6"/>
  <c r="W61" i="6"/>
  <c r="W130" i="6" s="1"/>
  <c r="W63" i="6"/>
  <c r="W132" i="6" s="1"/>
  <c r="W62" i="6"/>
  <c r="W131" i="6" s="1"/>
  <c r="W60" i="6"/>
  <c r="W129" i="6" s="1"/>
  <c r="T125" i="10"/>
  <c r="T62" i="10"/>
  <c r="T131" i="10" s="1"/>
  <c r="T61" i="10"/>
  <c r="T130" i="10" s="1"/>
  <c r="T63" i="10"/>
  <c r="T132" i="10" s="1"/>
  <c r="T60" i="10"/>
  <c r="T129" i="10" s="1"/>
  <c r="AB3" i="14"/>
  <c r="AB5" i="14" s="1"/>
  <c r="X3" i="14"/>
  <c r="X5" i="14" s="1"/>
  <c r="Z3" i="14"/>
  <c r="Z5" i="14" s="1"/>
  <c r="AA3" i="14"/>
  <c r="AA5" i="14" s="1"/>
  <c r="AC3" i="14"/>
  <c r="AC5" i="14" s="1"/>
  <c r="Y3" i="14"/>
  <c r="Y5" i="14" s="1"/>
  <c r="C124" i="15"/>
  <c r="C129" i="15"/>
  <c r="C131" i="15"/>
  <c r="C110" i="15"/>
  <c r="L63" i="13"/>
  <c r="L132" i="13" s="1"/>
  <c r="AA62" i="13"/>
  <c r="AA131" i="13" s="1"/>
  <c r="Y63" i="13"/>
  <c r="Y132" i="13" s="1"/>
  <c r="I62" i="13"/>
  <c r="T61" i="13"/>
  <c r="T130" i="13" s="1"/>
  <c r="P63" i="12"/>
  <c r="P132" i="12" s="1"/>
  <c r="V126" i="12"/>
  <c r="V63" i="12"/>
  <c r="V132" i="12" s="1"/>
  <c r="V61" i="12"/>
  <c r="Q125" i="10"/>
  <c r="Q62" i="10"/>
  <c r="Q131" i="10" s="1"/>
  <c r="Q61" i="10"/>
  <c r="Q130" i="10" s="1"/>
  <c r="Q60" i="10"/>
  <c r="Q129" i="10" s="1"/>
  <c r="Z125" i="9"/>
  <c r="Z63" i="9"/>
  <c r="Z132" i="9" s="1"/>
  <c r="Z60" i="9"/>
  <c r="Z61" i="9"/>
  <c r="Z130" i="9" s="1"/>
  <c r="Z62" i="9"/>
  <c r="Z131" i="9" s="1"/>
  <c r="AA64" i="10"/>
  <c r="AA133" i="10" s="1"/>
  <c r="P127" i="10"/>
  <c r="C24" i="15"/>
  <c r="C127" i="15"/>
  <c r="P63" i="13"/>
  <c r="P132" i="13" s="1"/>
  <c r="V62" i="13"/>
  <c r="V131" i="13" s="1"/>
  <c r="Q61" i="13"/>
  <c r="Q65" i="13" s="1"/>
  <c r="Q134" i="13" s="1"/>
  <c r="R63" i="13"/>
  <c r="R132" i="13" s="1"/>
  <c r="T63" i="13"/>
  <c r="T132" i="13" s="1"/>
  <c r="X62" i="12"/>
  <c r="X131" i="12" s="1"/>
  <c r="Y125" i="12"/>
  <c r="Y63" i="12"/>
  <c r="Y132" i="12" s="1"/>
  <c r="Y61" i="12"/>
  <c r="Y130" i="12" s="1"/>
  <c r="Z125" i="12"/>
  <c r="Z63" i="12"/>
  <c r="Z132" i="12" s="1"/>
  <c r="Z61" i="12"/>
  <c r="Z130" i="12" s="1"/>
  <c r="V64" i="12"/>
  <c r="V133" i="12" s="1"/>
  <c r="AB125" i="11"/>
  <c r="AB63" i="11"/>
  <c r="AB132" i="11" s="1"/>
  <c r="AB60" i="11"/>
  <c r="AB62" i="11"/>
  <c r="AB131" i="11" s="1"/>
  <c r="P63" i="9"/>
  <c r="P132" i="9" s="1"/>
  <c r="G125" i="8"/>
  <c r="G60" i="8"/>
  <c r="G129" i="8" s="1"/>
  <c r="G63" i="8"/>
  <c r="G132" i="8" s="1"/>
  <c r="Q125" i="8"/>
  <c r="Q61" i="8"/>
  <c r="Q130" i="8" s="1"/>
  <c r="Q60" i="8"/>
  <c r="Q129" i="8" s="1"/>
  <c r="Q63" i="8"/>
  <c r="Q132" i="8" s="1"/>
  <c r="Q62" i="8"/>
  <c r="Q131" i="8" s="1"/>
  <c r="Y125" i="13"/>
  <c r="Q129" i="9"/>
  <c r="AA129" i="9"/>
  <c r="Z126" i="7"/>
  <c r="Z62" i="7"/>
  <c r="Z131" i="7" s="1"/>
  <c r="Z61" i="7"/>
  <c r="Z130" i="7" s="1"/>
  <c r="Z63" i="7"/>
  <c r="Z132" i="7" s="1"/>
  <c r="X61" i="13"/>
  <c r="X130" i="13" s="1"/>
  <c r="C133" i="15"/>
  <c r="X63" i="13"/>
  <c r="X132" i="13" s="1"/>
  <c r="R125" i="13"/>
  <c r="W62" i="13"/>
  <c r="C81" i="15"/>
  <c r="Y60" i="13"/>
  <c r="Y129" i="13" s="1"/>
  <c r="T125" i="13"/>
  <c r="Y60" i="12"/>
  <c r="Y64" i="12" s="1"/>
  <c r="P62" i="12"/>
  <c r="P131" i="12" s="1"/>
  <c r="W125" i="12"/>
  <c r="W63" i="12"/>
  <c r="W132" i="12" s="1"/>
  <c r="T126" i="11"/>
  <c r="T63" i="11"/>
  <c r="T132" i="11" s="1"/>
  <c r="T62" i="11"/>
  <c r="Q63" i="10"/>
  <c r="Q132" i="10" s="1"/>
  <c r="Q64" i="9"/>
  <c r="Q133" i="9" s="1"/>
  <c r="S127" i="8"/>
  <c r="S63" i="8"/>
  <c r="S132" i="8" s="1"/>
  <c r="L126" i="8"/>
  <c r="L63" i="8"/>
  <c r="L132" i="8" s="1"/>
  <c r="L62" i="8"/>
  <c r="L131" i="8" s="1"/>
  <c r="P125" i="13"/>
  <c r="P61" i="13"/>
  <c r="P130" i="13" s="1"/>
  <c r="P125" i="12"/>
  <c r="P60" i="12"/>
  <c r="C107" i="15"/>
  <c r="C42" i="15"/>
  <c r="C40" i="15"/>
  <c r="H125" i="13"/>
  <c r="H61" i="13"/>
  <c r="H130" i="13" s="1"/>
  <c r="U65" i="13"/>
  <c r="U134" i="13" s="1"/>
  <c r="S60" i="13"/>
  <c r="S64" i="13" s="1"/>
  <c r="S133" i="13" s="1"/>
  <c r="Z64" i="13"/>
  <c r="Z133" i="13" s="1"/>
  <c r="Q125" i="13"/>
  <c r="N125" i="13"/>
  <c r="AA60" i="13"/>
  <c r="S125" i="12"/>
  <c r="S63" i="12"/>
  <c r="S132" i="12" s="1"/>
  <c r="S61" i="12"/>
  <c r="S130" i="12" s="1"/>
  <c r="S60" i="12"/>
  <c r="S64" i="12" s="1"/>
  <c r="S133" i="12" s="1"/>
  <c r="AB64" i="12"/>
  <c r="AB133" i="12" s="1"/>
  <c r="Z60" i="12"/>
  <c r="Z64" i="12" s="1"/>
  <c r="Z133" i="12" s="1"/>
  <c r="Y127" i="11"/>
  <c r="R128" i="11"/>
  <c r="U129" i="8"/>
  <c r="D125" i="8"/>
  <c r="C56" i="8"/>
  <c r="AC56" i="8" s="1"/>
  <c r="D62" i="8"/>
  <c r="X125" i="12"/>
  <c r="X61" i="12"/>
  <c r="X130" i="12" s="1"/>
  <c r="X63" i="12"/>
  <c r="X132" i="12" s="1"/>
  <c r="C126" i="15"/>
  <c r="P62" i="13"/>
  <c r="P131" i="13" s="1"/>
  <c r="M64" i="13"/>
  <c r="M133" i="13" s="1"/>
  <c r="Y62" i="13"/>
  <c r="Y131" i="13" s="1"/>
  <c r="R125" i="12"/>
  <c r="R61" i="12"/>
  <c r="R130" i="12" s="1"/>
  <c r="R62" i="12"/>
  <c r="R131" i="12" s="1"/>
  <c r="X126" i="9"/>
  <c r="X62" i="9"/>
  <c r="X131" i="9" s="1"/>
  <c r="X61" i="9"/>
  <c r="X65" i="9" s="1"/>
  <c r="X134" i="9" s="1"/>
  <c r="G62" i="8"/>
  <c r="G131" i="8" s="1"/>
  <c r="D127" i="8"/>
  <c r="C58" i="8"/>
  <c r="AC58" i="8" s="1"/>
  <c r="K61" i="13"/>
  <c r="K130" i="13" s="1"/>
  <c r="C22" i="15"/>
  <c r="C29" i="15"/>
  <c r="N61" i="13"/>
  <c r="S61" i="13"/>
  <c r="S130" i="13" s="1"/>
  <c r="X60" i="12"/>
  <c r="X64" i="12" s="1"/>
  <c r="X133" i="12" s="1"/>
  <c r="Q125" i="11"/>
  <c r="Q62" i="11"/>
  <c r="Q131" i="11" s="1"/>
  <c r="Q63" i="11"/>
  <c r="Q132" i="11" s="1"/>
  <c r="Q61" i="11"/>
  <c r="Q130" i="11" s="1"/>
  <c r="Q60" i="11"/>
  <c r="Q64" i="11" s="1"/>
  <c r="Q133" i="11" s="1"/>
  <c r="U128" i="10"/>
  <c r="R125" i="10"/>
  <c r="R62" i="10"/>
  <c r="R131" i="10" s="1"/>
  <c r="R63" i="10"/>
  <c r="R132" i="10" s="1"/>
  <c r="R61" i="10"/>
  <c r="R130" i="10" s="1"/>
  <c r="R60" i="10"/>
  <c r="P127" i="9"/>
  <c r="AB127" i="9"/>
  <c r="J61" i="13"/>
  <c r="J130" i="13" s="1"/>
  <c r="V125" i="13"/>
  <c r="V60" i="13"/>
  <c r="V129" i="13" s="1"/>
  <c r="J62" i="13"/>
  <c r="J131" i="13" s="1"/>
  <c r="C61" i="15"/>
  <c r="C63" i="15"/>
  <c r="AB63" i="13"/>
  <c r="AB132" i="13" s="1"/>
  <c r="H62" i="13"/>
  <c r="H131" i="13" s="1"/>
  <c r="L125" i="13"/>
  <c r="K63" i="13"/>
  <c r="K132" i="13" s="1"/>
  <c r="K62" i="13"/>
  <c r="K131" i="13" s="1"/>
  <c r="P61" i="12"/>
  <c r="P130" i="12" s="1"/>
  <c r="T125" i="12"/>
  <c r="T61" i="12"/>
  <c r="T130" i="12" s="1"/>
  <c r="T60" i="12"/>
  <c r="T63" i="12"/>
  <c r="T132" i="12" s="1"/>
  <c r="W61" i="12"/>
  <c r="W130" i="12" s="1"/>
  <c r="AA126" i="10"/>
  <c r="AA63" i="10"/>
  <c r="AA132" i="10" s="1"/>
  <c r="AA61" i="10"/>
  <c r="AA62" i="10"/>
  <c r="AA131" i="10" s="1"/>
  <c r="C109" i="15"/>
  <c r="P60" i="13"/>
  <c r="P129" i="13" s="1"/>
  <c r="C47" i="15"/>
  <c r="C130" i="15"/>
  <c r="C28" i="15"/>
  <c r="C58" i="15"/>
  <c r="C45" i="15"/>
  <c r="J63" i="13"/>
  <c r="J132" i="13" s="1"/>
  <c r="R61" i="13"/>
  <c r="S62" i="13"/>
  <c r="S131" i="13" s="1"/>
  <c r="R60" i="12"/>
  <c r="Q64" i="12"/>
  <c r="Q133" i="12" s="1"/>
  <c r="W64" i="10"/>
  <c r="W133" i="10" s="1"/>
  <c r="W125" i="11"/>
  <c r="W63" i="11"/>
  <c r="D61" i="8"/>
  <c r="N125" i="8"/>
  <c r="N60" i="8"/>
  <c r="N64" i="8" s="1"/>
  <c r="N133" i="8" s="1"/>
  <c r="N61" i="8"/>
  <c r="N130" i="8" s="1"/>
  <c r="N63" i="8"/>
  <c r="N132" i="8" s="1"/>
  <c r="K126" i="13"/>
  <c r="C62" i="15"/>
  <c r="C78" i="15"/>
  <c r="C116" i="15"/>
  <c r="C39" i="15"/>
  <c r="C145" i="15"/>
  <c r="L61" i="13"/>
  <c r="Z61" i="13"/>
  <c r="Z65" i="13" s="1"/>
  <c r="Z134" i="13" s="1"/>
  <c r="U125" i="13"/>
  <c r="U62" i="13"/>
  <c r="U131" i="13" s="1"/>
  <c r="AB60" i="13"/>
  <c r="M125" i="13"/>
  <c r="M61" i="13"/>
  <c r="M130" i="13" s="1"/>
  <c r="V61" i="13"/>
  <c r="V130" i="13" s="1"/>
  <c r="T60" i="13"/>
  <c r="Y125" i="10"/>
  <c r="Y64" i="10"/>
  <c r="Y133" i="10" s="1"/>
  <c r="Y62" i="10"/>
  <c r="Y61" i="10"/>
  <c r="Y65" i="10" s="1"/>
  <c r="Y134" i="10" s="1"/>
  <c r="W129" i="10"/>
  <c r="R125" i="9"/>
  <c r="R63" i="9"/>
  <c r="R132" i="9" s="1"/>
  <c r="R62" i="9"/>
  <c r="R131" i="9" s="1"/>
  <c r="R60" i="9"/>
  <c r="R64" i="9" s="1"/>
  <c r="R133" i="9" s="1"/>
  <c r="V127" i="9"/>
  <c r="I129" i="8"/>
  <c r="C30" i="15"/>
  <c r="C65" i="15"/>
  <c r="C132" i="15"/>
  <c r="V63" i="13"/>
  <c r="V132" i="13" s="1"/>
  <c r="T62" i="13"/>
  <c r="T131" i="13" s="1"/>
  <c r="Z62" i="12"/>
  <c r="Z131" i="12" s="1"/>
  <c r="S128" i="11"/>
  <c r="V129" i="11"/>
  <c r="W127" i="9"/>
  <c r="W64" i="9"/>
  <c r="W133" i="9" s="1"/>
  <c r="W62" i="9"/>
  <c r="W65" i="9"/>
  <c r="W134" i="9" s="1"/>
  <c r="W63" i="9"/>
  <c r="W132" i="9" s="1"/>
  <c r="V125" i="8"/>
  <c r="V63" i="8"/>
  <c r="V132" i="8" s="1"/>
  <c r="V62" i="8"/>
  <c r="V131" i="8" s="1"/>
  <c r="V60" i="8"/>
  <c r="V64" i="8" s="1"/>
  <c r="V133" i="8" s="1"/>
  <c r="D64" i="8"/>
  <c r="G61" i="8"/>
  <c r="G130" i="8" s="1"/>
  <c r="W127" i="8"/>
  <c r="M63" i="13"/>
  <c r="M132" i="13" s="1"/>
  <c r="U63" i="13"/>
  <c r="U132" i="13" s="1"/>
  <c r="C60" i="15"/>
  <c r="C92" i="15"/>
  <c r="C97" i="15"/>
  <c r="C27" i="15"/>
  <c r="C149" i="15"/>
  <c r="C23" i="15"/>
  <c r="Z63" i="13"/>
  <c r="Z132" i="13" s="1"/>
  <c r="L62" i="13"/>
  <c r="S63" i="13"/>
  <c r="Q62" i="13"/>
  <c r="Q131" i="13" s="1"/>
  <c r="H60" i="13"/>
  <c r="N62" i="13"/>
  <c r="N131" i="13" s="1"/>
  <c r="X62" i="13"/>
  <c r="I125" i="13"/>
  <c r="AA125" i="12"/>
  <c r="AA63" i="12"/>
  <c r="AA132" i="12" s="1"/>
  <c r="AA61" i="12"/>
  <c r="T62" i="12"/>
  <c r="T131" i="12" s="1"/>
  <c r="Y62" i="12"/>
  <c r="Y131" i="12" s="1"/>
  <c r="AB61" i="11"/>
  <c r="AB130" i="11" s="1"/>
  <c r="P64" i="9"/>
  <c r="P133" i="9" s="1"/>
  <c r="J125" i="13"/>
  <c r="D129" i="8"/>
  <c r="C59" i="15"/>
  <c r="C115" i="15"/>
  <c r="C57" i="15"/>
  <c r="J64" i="13"/>
  <c r="J133" i="13" s="1"/>
  <c r="O63" i="13"/>
  <c r="Q64" i="13"/>
  <c r="Q133" i="13" s="1"/>
  <c r="AA125" i="13"/>
  <c r="N64" i="13"/>
  <c r="N133" i="13" s="1"/>
  <c r="I63" i="13"/>
  <c r="I132" i="13" s="1"/>
  <c r="Q125" i="12"/>
  <c r="Q63" i="12"/>
  <c r="W60" i="12"/>
  <c r="W129" i="12" s="1"/>
  <c r="AA125" i="11"/>
  <c r="AA61" i="11"/>
  <c r="AA130" i="11" s="1"/>
  <c r="AA63" i="11"/>
  <c r="AA132" i="11" s="1"/>
  <c r="AA60" i="11"/>
  <c r="AA62" i="11"/>
  <c r="AA131" i="11" s="1"/>
  <c r="Z126" i="10"/>
  <c r="R126" i="7"/>
  <c r="R63" i="7"/>
  <c r="R62" i="7"/>
  <c r="R131" i="7" s="1"/>
  <c r="R61" i="7"/>
  <c r="R130" i="7" s="1"/>
  <c r="Z61" i="11"/>
  <c r="Z66" i="11" s="1"/>
  <c r="Z135" i="11" s="1"/>
  <c r="P61" i="11"/>
  <c r="Z60" i="10"/>
  <c r="Z64" i="10" s="1"/>
  <c r="Z133" i="10" s="1"/>
  <c r="U63" i="10"/>
  <c r="U132" i="10" s="1"/>
  <c r="W61" i="10"/>
  <c r="W65" i="10" s="1"/>
  <c r="W134" i="10" s="1"/>
  <c r="V125" i="11"/>
  <c r="V62" i="11"/>
  <c r="V131" i="11" s="1"/>
  <c r="AA64" i="9"/>
  <c r="AA133" i="9" s="1"/>
  <c r="E125" i="8"/>
  <c r="E63" i="8"/>
  <c r="E132" i="8" s="1"/>
  <c r="E62" i="8"/>
  <c r="E61" i="8"/>
  <c r="E65" i="8" s="1"/>
  <c r="E134" i="8" s="1"/>
  <c r="P125" i="8"/>
  <c r="Y125" i="6"/>
  <c r="Y60" i="6"/>
  <c r="Y62" i="6"/>
  <c r="Y131" i="6" s="1"/>
  <c r="Y63" i="6"/>
  <c r="Y132" i="6" s="1"/>
  <c r="Y61" i="6"/>
  <c r="Y130" i="6" s="1"/>
  <c r="S61" i="11"/>
  <c r="S130" i="11" s="1"/>
  <c r="X125" i="11"/>
  <c r="X63" i="11"/>
  <c r="X132" i="11" s="1"/>
  <c r="S125" i="10"/>
  <c r="S62" i="10"/>
  <c r="S131" i="10" s="1"/>
  <c r="S63" i="10"/>
  <c r="S132" i="10" s="1"/>
  <c r="P62" i="9"/>
  <c r="P131" i="9" s="1"/>
  <c r="AA125" i="8"/>
  <c r="AA62" i="8"/>
  <c r="AA131" i="8" s="1"/>
  <c r="AA63" i="8"/>
  <c r="AA132" i="8" s="1"/>
  <c r="H125" i="8"/>
  <c r="H63" i="8"/>
  <c r="H132" i="8" s="1"/>
  <c r="Z126" i="6"/>
  <c r="Z62" i="6"/>
  <c r="Z64" i="6"/>
  <c r="Z133" i="6" s="1"/>
  <c r="Z61" i="6"/>
  <c r="Z130" i="6" s="1"/>
  <c r="Z63" i="6"/>
  <c r="Z132" i="6" s="1"/>
  <c r="R126" i="11"/>
  <c r="R62" i="11"/>
  <c r="X60" i="11"/>
  <c r="X125" i="10"/>
  <c r="X63" i="10"/>
  <c r="X132" i="10" s="1"/>
  <c r="X62" i="10"/>
  <c r="X131" i="10" s="1"/>
  <c r="S60" i="10"/>
  <c r="V125" i="9"/>
  <c r="V62" i="9"/>
  <c r="V131" i="9" s="1"/>
  <c r="Y126" i="9"/>
  <c r="Y62" i="9"/>
  <c r="Y131" i="9" s="1"/>
  <c r="R125" i="6"/>
  <c r="R60" i="6"/>
  <c r="R129" i="6" s="1"/>
  <c r="R61" i="6"/>
  <c r="R130" i="6" s="1"/>
  <c r="R62" i="6"/>
  <c r="R131" i="6" s="1"/>
  <c r="R63" i="6"/>
  <c r="R132" i="6" s="1"/>
  <c r="E36" i="1"/>
  <c r="B36" i="1"/>
  <c r="J36" i="5"/>
  <c r="J38" i="5" s="1"/>
  <c r="F36" i="1"/>
  <c r="C36" i="1"/>
  <c r="H36" i="1"/>
  <c r="I36" i="1"/>
  <c r="G36" i="1"/>
  <c r="J36" i="1"/>
  <c r="K36" i="1"/>
  <c r="F125" i="8"/>
  <c r="F60" i="8"/>
  <c r="F64" i="8" s="1"/>
  <c r="F133" i="8" s="1"/>
  <c r="F63" i="8"/>
  <c r="F132" i="8" s="1"/>
  <c r="X129" i="7"/>
  <c r="AB125" i="7"/>
  <c r="AB61" i="7"/>
  <c r="AB66" i="7" s="1"/>
  <c r="AB135" i="7" s="1"/>
  <c r="AB63" i="7"/>
  <c r="AB64" i="7"/>
  <c r="AB133" i="7" s="1"/>
  <c r="AA125" i="6"/>
  <c r="AA60" i="6"/>
  <c r="AA64" i="6" s="1"/>
  <c r="AA133" i="6" s="1"/>
  <c r="AA62" i="6"/>
  <c r="AA131" i="6" s="1"/>
  <c r="AA61" i="6"/>
  <c r="AA130" i="6" s="1"/>
  <c r="AA63" i="6"/>
  <c r="AA132" i="6" s="1"/>
  <c r="U61" i="11"/>
  <c r="U130" i="11" s="1"/>
  <c r="H61" i="8"/>
  <c r="H130" i="8" s="1"/>
  <c r="U62" i="8"/>
  <c r="U131" i="8" s="1"/>
  <c r="AA125" i="7"/>
  <c r="AA61" i="7"/>
  <c r="AA62" i="7"/>
  <c r="AA131" i="7" s="1"/>
  <c r="AA60" i="7"/>
  <c r="J128" i="8"/>
  <c r="P125" i="6"/>
  <c r="P60" i="6"/>
  <c r="P63" i="6"/>
  <c r="P62" i="6"/>
  <c r="P131" i="6" s="1"/>
  <c r="Y125" i="11"/>
  <c r="Y63" i="11"/>
  <c r="Y132" i="11" s="1"/>
  <c r="Z63" i="11"/>
  <c r="V125" i="10"/>
  <c r="V62" i="10"/>
  <c r="V131" i="10" s="1"/>
  <c r="V61" i="10"/>
  <c r="V65" i="10" s="1"/>
  <c r="V134" i="10" s="1"/>
  <c r="Z63" i="10"/>
  <c r="Q128" i="9"/>
  <c r="S125" i="9"/>
  <c r="S63" i="9"/>
  <c r="S132" i="9" s="1"/>
  <c r="S60" i="9"/>
  <c r="S61" i="9"/>
  <c r="S130" i="9" s="1"/>
  <c r="V61" i="9"/>
  <c r="V130" i="9" s="1"/>
  <c r="O62" i="8"/>
  <c r="H62" i="8"/>
  <c r="H131" i="8" s="1"/>
  <c r="K128" i="8"/>
  <c r="K63" i="8"/>
  <c r="T63" i="8"/>
  <c r="T132" i="8" s="1"/>
  <c r="U126" i="6"/>
  <c r="I125" i="8"/>
  <c r="I63" i="8"/>
  <c r="I132" i="8" s="1"/>
  <c r="I61" i="8"/>
  <c r="I130" i="8" s="1"/>
  <c r="I64" i="8"/>
  <c r="I133" i="8" s="1"/>
  <c r="U61" i="12"/>
  <c r="U62" i="12"/>
  <c r="U131" i="12" s="1"/>
  <c r="Y62" i="11"/>
  <c r="U60" i="10"/>
  <c r="U65" i="10" s="1"/>
  <c r="U134" i="10" s="1"/>
  <c r="X61" i="10"/>
  <c r="X130" i="10" s="1"/>
  <c r="W63" i="10"/>
  <c r="W132" i="10" s="1"/>
  <c r="U125" i="9"/>
  <c r="U63" i="9"/>
  <c r="AA126" i="9"/>
  <c r="P62" i="10"/>
  <c r="P131" i="10" s="1"/>
  <c r="AB62" i="9"/>
  <c r="AB131" i="9" s="1"/>
  <c r="S125" i="8"/>
  <c r="S60" i="8"/>
  <c r="S62" i="8"/>
  <c r="S131" i="8" s="1"/>
  <c r="F61" i="8"/>
  <c r="F130" i="8" s="1"/>
  <c r="P60" i="8"/>
  <c r="K64" i="8"/>
  <c r="K133" i="8" s="1"/>
  <c r="P62" i="8"/>
  <c r="P131" i="8" s="1"/>
  <c r="Z125" i="8"/>
  <c r="Z60" i="8"/>
  <c r="Z64" i="8" s="1"/>
  <c r="Z61" i="8"/>
  <c r="Z130" i="8" s="1"/>
  <c r="Z63" i="8"/>
  <c r="Z132" i="8" s="1"/>
  <c r="T128" i="7"/>
  <c r="P62" i="11"/>
  <c r="P63" i="11"/>
  <c r="P132" i="11" s="1"/>
  <c r="Y60" i="11"/>
  <c r="AB127" i="10"/>
  <c r="T125" i="9"/>
  <c r="T61" i="9"/>
  <c r="T66" i="9" s="1"/>
  <c r="T135" i="9" s="1"/>
  <c r="T63" i="9"/>
  <c r="T132" i="9" s="1"/>
  <c r="U64" i="8"/>
  <c r="U133" i="8" s="1"/>
  <c r="H60" i="8"/>
  <c r="S61" i="7"/>
  <c r="S125" i="7"/>
  <c r="S63" i="7"/>
  <c r="S132" i="7" s="1"/>
  <c r="S62" i="7"/>
  <c r="S131" i="7" s="1"/>
  <c r="S64" i="7"/>
  <c r="S133" i="7" s="1"/>
  <c r="V130" i="7"/>
  <c r="W63" i="7"/>
  <c r="W132" i="7" s="1"/>
  <c r="I62" i="8"/>
  <c r="Y126" i="7"/>
  <c r="AB125" i="12"/>
  <c r="AB62" i="12"/>
  <c r="U64" i="12"/>
  <c r="U133" i="12" s="1"/>
  <c r="R64" i="11"/>
  <c r="R133" i="11" s="1"/>
  <c r="S63" i="11"/>
  <c r="W125" i="10"/>
  <c r="V64" i="10"/>
  <c r="V133" i="10" s="1"/>
  <c r="AB62" i="10"/>
  <c r="V61" i="11"/>
  <c r="V65" i="11" s="1"/>
  <c r="V63" i="9"/>
  <c r="V132" i="9" s="1"/>
  <c r="Y63" i="9"/>
  <c r="Y132" i="9" s="1"/>
  <c r="O127" i="8"/>
  <c r="O63" i="8"/>
  <c r="O132" i="8" s="1"/>
  <c r="AB125" i="9"/>
  <c r="AB60" i="9"/>
  <c r="AB61" i="9"/>
  <c r="AB130" i="9" s="1"/>
  <c r="E64" i="8"/>
  <c r="E133" i="8" s="1"/>
  <c r="AC52" i="8"/>
  <c r="E7" i="14" s="1"/>
  <c r="AA60" i="8"/>
  <c r="T125" i="6"/>
  <c r="T62" i="6"/>
  <c r="T131" i="6" s="1"/>
  <c r="T61" i="6"/>
  <c r="T130" i="6" s="1"/>
  <c r="T63" i="6"/>
  <c r="T132" i="6" s="1"/>
  <c r="T60" i="6"/>
  <c r="T64" i="6" s="1"/>
  <c r="T133" i="6" s="1"/>
  <c r="AB63" i="12"/>
  <c r="AB132" i="12" s="1"/>
  <c r="U60" i="11"/>
  <c r="T64" i="11"/>
  <c r="U63" i="11"/>
  <c r="U132" i="11" s="1"/>
  <c r="Z64" i="11"/>
  <c r="Z133" i="11" s="1"/>
  <c r="X62" i="11"/>
  <c r="X131" i="11" s="1"/>
  <c r="V63" i="10"/>
  <c r="V132" i="10" s="1"/>
  <c r="V60" i="9"/>
  <c r="Q126" i="7"/>
  <c r="Q64" i="7"/>
  <c r="Q133" i="7" s="1"/>
  <c r="M129" i="8"/>
  <c r="P125" i="7"/>
  <c r="P63" i="7"/>
  <c r="P132" i="7" s="1"/>
  <c r="P60" i="7"/>
  <c r="P62" i="7"/>
  <c r="P131" i="7" s="1"/>
  <c r="P61" i="7"/>
  <c r="P130" i="7" s="1"/>
  <c r="R63" i="11"/>
  <c r="R132" i="11" s="1"/>
  <c r="S61" i="10"/>
  <c r="S130" i="10" s="1"/>
  <c r="R125" i="8"/>
  <c r="R62" i="8"/>
  <c r="R131" i="8" s="1"/>
  <c r="R60" i="8"/>
  <c r="U126" i="8"/>
  <c r="P61" i="8"/>
  <c r="P130" i="8" s="1"/>
  <c r="W127" i="7"/>
  <c r="W64" i="7"/>
  <c r="W133" i="7" s="1"/>
  <c r="AB65" i="12"/>
  <c r="AB134" i="12" s="1"/>
  <c r="U63" i="12"/>
  <c r="U132" i="12" s="1"/>
  <c r="X60" i="10"/>
  <c r="U125" i="10"/>
  <c r="U62" i="10"/>
  <c r="W62" i="10"/>
  <c r="W131" i="10" s="1"/>
  <c r="P126" i="10"/>
  <c r="W125" i="8"/>
  <c r="W62" i="8"/>
  <c r="W131" i="8" s="1"/>
  <c r="W60" i="8"/>
  <c r="W64" i="8" s="1"/>
  <c r="W133" i="8" s="1"/>
  <c r="W63" i="8"/>
  <c r="W132" i="8" s="1"/>
  <c r="R63" i="8"/>
  <c r="R132" i="8" s="1"/>
  <c r="T125" i="8"/>
  <c r="T62" i="8"/>
  <c r="T131" i="8" s="1"/>
  <c r="T64" i="8"/>
  <c r="T133" i="8" s="1"/>
  <c r="T61" i="8"/>
  <c r="F62" i="8"/>
  <c r="F131" i="8" s="1"/>
  <c r="AB126" i="8"/>
  <c r="AB62" i="8"/>
  <c r="AB131" i="8" s="1"/>
  <c r="AB64" i="8"/>
  <c r="AB133" i="8" s="1"/>
  <c r="H4" i="16"/>
  <c r="N36" i="14"/>
  <c r="C6" i="14" s="1"/>
  <c r="B40" i="2"/>
  <c r="C10" i="6" s="1"/>
  <c r="X61" i="8"/>
  <c r="X130" i="8" s="1"/>
  <c r="K125" i="8"/>
  <c r="Q61" i="7"/>
  <c r="W62" i="7"/>
  <c r="J63" i="8"/>
  <c r="J132" i="8" s="1"/>
  <c r="V62" i="6"/>
  <c r="V131" i="6" s="1"/>
  <c r="X61" i="6"/>
  <c r="X130" i="6" s="1"/>
  <c r="S36" i="14"/>
  <c r="H6" i="14" s="1"/>
  <c r="H9" i="16"/>
  <c r="G40" i="2"/>
  <c r="Q62" i="6"/>
  <c r="Q131" i="6" s="1"/>
  <c r="Y63" i="8"/>
  <c r="Y132" i="8" s="1"/>
  <c r="Q60" i="6"/>
  <c r="Q129" i="6" s="1"/>
  <c r="U61" i="7"/>
  <c r="T126" i="7"/>
  <c r="T64" i="7"/>
  <c r="T133" i="7" s="1"/>
  <c r="AB61" i="6"/>
  <c r="AB65" i="6" s="1"/>
  <c r="AB134" i="6" s="1"/>
  <c r="D36" i="1"/>
  <c r="Y125" i="9"/>
  <c r="Y60" i="9"/>
  <c r="Y64" i="9" s="1"/>
  <c r="P60" i="10"/>
  <c r="U61" i="8"/>
  <c r="AB125" i="8"/>
  <c r="C121" i="8"/>
  <c r="AB61" i="8"/>
  <c r="U63" i="6"/>
  <c r="U132" i="6" s="1"/>
  <c r="T61" i="7"/>
  <c r="M63" i="8"/>
  <c r="M132" i="8" s="1"/>
  <c r="Y125" i="8"/>
  <c r="Y60" i="8"/>
  <c r="Y61" i="8"/>
  <c r="Y130" i="8" s="1"/>
  <c r="Q61" i="6"/>
  <c r="Q130" i="6" s="1"/>
  <c r="V126" i="6"/>
  <c r="V63" i="6"/>
  <c r="V132" i="6" s="1"/>
  <c r="R36" i="14"/>
  <c r="G6" i="14" s="1"/>
  <c r="H8" i="16"/>
  <c r="F40" i="2"/>
  <c r="C10" i="10" s="1"/>
  <c r="AB64" i="6"/>
  <c r="AB133" i="6" s="1"/>
  <c r="V61" i="6"/>
  <c r="V65" i="6" s="1"/>
  <c r="V134" i="6" s="1"/>
  <c r="L61" i="8"/>
  <c r="X60" i="6"/>
  <c r="U61" i="6"/>
  <c r="J60" i="8"/>
  <c r="J62" i="8"/>
  <c r="J131" i="8" s="1"/>
  <c r="X62" i="6"/>
  <c r="X131" i="6" s="1"/>
  <c r="H106" i="1"/>
  <c r="K6" i="6"/>
  <c r="Q125" i="9"/>
  <c r="P125" i="9"/>
  <c r="P61" i="9"/>
  <c r="AA125" i="9"/>
  <c r="AA61" i="9"/>
  <c r="X60" i="8"/>
  <c r="X64" i="8" s="1"/>
  <c r="X133" i="8" s="1"/>
  <c r="AB63" i="6"/>
  <c r="AB132" i="6" s="1"/>
  <c r="U62" i="6"/>
  <c r="U131" i="6" s="1"/>
  <c r="Y62" i="7"/>
  <c r="Y131" i="7" s="1"/>
  <c r="X125" i="6"/>
  <c r="K6" i="13"/>
  <c r="L106" i="1"/>
  <c r="Q36" i="14"/>
  <c r="F6" i="14" s="1"/>
  <c r="H7" i="16"/>
  <c r="E40" i="2"/>
  <c r="C10" i="9" s="1"/>
  <c r="C59" i="8"/>
  <c r="AC59" i="8" s="1"/>
  <c r="D128" i="8"/>
  <c r="V62" i="7"/>
  <c r="R125" i="7"/>
  <c r="T63" i="7"/>
  <c r="T132" i="7" s="1"/>
  <c r="H6" i="16"/>
  <c r="P36" i="14"/>
  <c r="E6" i="14" s="1"/>
  <c r="D40" i="2"/>
  <c r="C10" i="8" s="1"/>
  <c r="Q63" i="6"/>
  <c r="Q132" i="6" s="1"/>
  <c r="AB126" i="10"/>
  <c r="X125" i="9"/>
  <c r="X63" i="9"/>
  <c r="W126" i="9"/>
  <c r="Q62" i="9"/>
  <c r="U63" i="7"/>
  <c r="U132" i="7" s="1"/>
  <c r="U64" i="6"/>
  <c r="U133" i="6" s="1"/>
  <c r="M125" i="8"/>
  <c r="M61" i="8"/>
  <c r="J61" i="8"/>
  <c r="J130" i="8" s="1"/>
  <c r="Y61" i="7"/>
  <c r="H5" i="16"/>
  <c r="O36" i="14"/>
  <c r="D6" i="14" s="1"/>
  <c r="C40" i="2"/>
  <c r="C10" i="7" s="1"/>
  <c r="K106" i="1"/>
  <c r="J106" i="1"/>
  <c r="P63" i="10"/>
  <c r="P132" i="10" s="1"/>
  <c r="U125" i="8"/>
  <c r="U63" i="8"/>
  <c r="U132" i="8" s="1"/>
  <c r="Y63" i="7"/>
  <c r="Y132" i="7" s="1"/>
  <c r="R64" i="7"/>
  <c r="R133" i="7" s="1"/>
  <c r="Q125" i="7"/>
  <c r="Q63" i="7"/>
  <c r="Q132" i="7" s="1"/>
  <c r="AB62" i="6"/>
  <c r="AB131" i="6" s="1"/>
  <c r="X64" i="7"/>
  <c r="S63" i="6"/>
  <c r="I106" i="1"/>
  <c r="W65" i="11" l="1"/>
  <c r="W134" i="11" s="1"/>
  <c r="W64" i="11"/>
  <c r="W133" i="11" s="1"/>
  <c r="X64" i="13"/>
  <c r="X133" i="13" s="1"/>
  <c r="K66" i="8"/>
  <c r="K135" i="8" s="1"/>
  <c r="Q65" i="12"/>
  <c r="Q134" i="12" s="1"/>
  <c r="T66" i="11"/>
  <c r="T135" i="11" s="1"/>
  <c r="Q66" i="7"/>
  <c r="Q135" i="7" s="1"/>
  <c r="Z64" i="7"/>
  <c r="Z133" i="7" s="1"/>
  <c r="AB67" i="10"/>
  <c r="AB136" i="10" s="1"/>
  <c r="AF5" i="14"/>
  <c r="X4" i="14" s="1"/>
  <c r="Q65" i="9"/>
  <c r="Q134" i="9" s="1"/>
  <c r="P64" i="11"/>
  <c r="P133" i="11" s="1"/>
  <c r="P65" i="6"/>
  <c r="P134" i="6" s="1"/>
  <c r="AA64" i="12"/>
  <c r="AA133" i="12" s="1"/>
  <c r="I66" i="13"/>
  <c r="I135" i="13" s="1"/>
  <c r="AB65" i="10"/>
  <c r="AB134" i="10" s="1"/>
  <c r="V67" i="12"/>
  <c r="V136" i="12" s="1"/>
  <c r="O64" i="8"/>
  <c r="O133" i="8" s="1"/>
  <c r="V66" i="12"/>
  <c r="V135" i="12" s="1"/>
  <c r="I64" i="13"/>
  <c r="I133" i="13" s="1"/>
  <c r="O65" i="8"/>
  <c r="O134" i="8" s="1"/>
  <c r="W67" i="7"/>
  <c r="W136" i="7" s="1"/>
  <c r="Z65" i="6"/>
  <c r="Z134" i="6" s="1"/>
  <c r="Z65" i="10"/>
  <c r="Z134" i="10" s="1"/>
  <c r="U66" i="8"/>
  <c r="U135" i="8" s="1"/>
  <c r="K68" i="8"/>
  <c r="K137" i="8" s="1"/>
  <c r="R64" i="13"/>
  <c r="R133" i="13" s="1"/>
  <c r="T66" i="7"/>
  <c r="T135" i="7" s="1"/>
  <c r="R65" i="13"/>
  <c r="R134" i="13" s="1"/>
  <c r="S65" i="11"/>
  <c r="S134" i="11" s="1"/>
  <c r="G64" i="8"/>
  <c r="G133" i="8" s="1"/>
  <c r="S64" i="11"/>
  <c r="S133" i="11" s="1"/>
  <c r="W66" i="7"/>
  <c r="W135" i="7" s="1"/>
  <c r="U68" i="9"/>
  <c r="U137" i="9" s="1"/>
  <c r="I65" i="13"/>
  <c r="I134" i="13" s="1"/>
  <c r="V67" i="7"/>
  <c r="V136" i="7" s="1"/>
  <c r="N67" i="13"/>
  <c r="N136" i="13" s="1"/>
  <c r="U66" i="9"/>
  <c r="V65" i="8"/>
  <c r="V134" i="8" s="1"/>
  <c r="T66" i="13"/>
  <c r="T135" i="13" s="1"/>
  <c r="X66" i="6"/>
  <c r="X135" i="6" s="1"/>
  <c r="L64" i="8"/>
  <c r="L133" i="8" s="1"/>
  <c r="V64" i="7"/>
  <c r="V133" i="7" s="1"/>
  <c r="P66" i="9"/>
  <c r="P135" i="9" s="1"/>
  <c r="W68" i="7"/>
  <c r="W137" i="7" s="1"/>
  <c r="M67" i="8"/>
  <c r="M136" i="8" s="1"/>
  <c r="T65" i="11"/>
  <c r="T134" i="11" s="1"/>
  <c r="V65" i="7"/>
  <c r="V134" i="7" s="1"/>
  <c r="Z66" i="8"/>
  <c r="Z135" i="8" s="1"/>
  <c r="S64" i="6"/>
  <c r="S133" i="6" s="1"/>
  <c r="P65" i="12"/>
  <c r="P134" i="12" s="1"/>
  <c r="R65" i="6"/>
  <c r="R134" i="6" s="1"/>
  <c r="T65" i="9"/>
  <c r="T134" i="9" s="1"/>
  <c r="AB65" i="7"/>
  <c r="AB134" i="7" s="1"/>
  <c r="U66" i="12"/>
  <c r="U135" i="12" s="1"/>
  <c r="W68" i="9"/>
  <c r="W137" i="9" s="1"/>
  <c r="Y65" i="6"/>
  <c r="Y134" i="6" s="1"/>
  <c r="AA66" i="12"/>
  <c r="AA135" i="12" s="1"/>
  <c r="Q64" i="8"/>
  <c r="Q133" i="8" s="1"/>
  <c r="T67" i="10"/>
  <c r="T136" i="10" s="1"/>
  <c r="Z68" i="11"/>
  <c r="Z137" i="11" s="1"/>
  <c r="R65" i="7"/>
  <c r="R134" i="7" s="1"/>
  <c r="S65" i="10"/>
  <c r="S134" i="10" s="1"/>
  <c r="P64" i="12"/>
  <c r="P133" i="12" s="1"/>
  <c r="P66" i="13"/>
  <c r="P135" i="13" s="1"/>
  <c r="X67" i="6"/>
  <c r="X136" i="6" s="1"/>
  <c r="T65" i="7"/>
  <c r="T134" i="7" s="1"/>
  <c r="X66" i="11"/>
  <c r="X135" i="11" s="1"/>
  <c r="AA67" i="13"/>
  <c r="AA136" i="13" s="1"/>
  <c r="N66" i="8"/>
  <c r="N135" i="8" s="1"/>
  <c r="X66" i="7"/>
  <c r="X135" i="7" s="1"/>
  <c r="W66" i="11"/>
  <c r="W135" i="11" s="1"/>
  <c r="P64" i="13"/>
  <c r="P133" i="13" s="1"/>
  <c r="R67" i="7"/>
  <c r="R136" i="7" s="1"/>
  <c r="AB68" i="7"/>
  <c r="AB137" i="7" s="1"/>
  <c r="U65" i="9"/>
  <c r="R67" i="8"/>
  <c r="R136" i="8" s="1"/>
  <c r="S67" i="9"/>
  <c r="S136" i="9" s="1"/>
  <c r="M68" i="13"/>
  <c r="M137" i="13" s="1"/>
  <c r="W67" i="11"/>
  <c r="W136" i="11" s="1"/>
  <c r="O66" i="13"/>
  <c r="O135" i="13" s="1"/>
  <c r="U129" i="9"/>
  <c r="Y66" i="12"/>
  <c r="Y135" i="12" s="1"/>
  <c r="Y65" i="12"/>
  <c r="Y134" i="12" s="1"/>
  <c r="O65" i="13"/>
  <c r="O134" i="13" s="1"/>
  <c r="J65" i="13"/>
  <c r="J134" i="13" s="1"/>
  <c r="O64" i="13"/>
  <c r="O133" i="13" s="1"/>
  <c r="AA65" i="7"/>
  <c r="AA134" i="7" s="1"/>
  <c r="Q66" i="12"/>
  <c r="Q135" i="12" s="1"/>
  <c r="Y64" i="6"/>
  <c r="Y133" i="6" s="1"/>
  <c r="Y64" i="7"/>
  <c r="Y133" i="7" s="1"/>
  <c r="U66" i="6"/>
  <c r="U135" i="6" s="1"/>
  <c r="Y66" i="11"/>
  <c r="Y135" i="11" s="1"/>
  <c r="R64" i="6"/>
  <c r="R133" i="6" s="1"/>
  <c r="P67" i="11"/>
  <c r="P136" i="11" s="1"/>
  <c r="V66" i="8"/>
  <c r="V135" i="8" s="1"/>
  <c r="R66" i="12"/>
  <c r="R135" i="12" s="1"/>
  <c r="W65" i="7"/>
  <c r="W134" i="7" s="1"/>
  <c r="P67" i="7"/>
  <c r="P136" i="7" s="1"/>
  <c r="X67" i="7"/>
  <c r="X136" i="7" s="1"/>
  <c r="J66" i="8"/>
  <c r="J135" i="8" s="1"/>
  <c r="X65" i="7"/>
  <c r="X134" i="7" s="1"/>
  <c r="X65" i="6"/>
  <c r="X134" i="6" s="1"/>
  <c r="Q67" i="12"/>
  <c r="Q136" i="12" s="1"/>
  <c r="V134" i="11"/>
  <c r="V69" i="11"/>
  <c r="V138" i="11" s="1"/>
  <c r="T65" i="6"/>
  <c r="T134" i="6" s="1"/>
  <c r="E68" i="8"/>
  <c r="E137" i="8" s="1"/>
  <c r="O67" i="8"/>
  <c r="O136" i="8" s="1"/>
  <c r="J68" i="13"/>
  <c r="J137" i="13" s="1"/>
  <c r="S66" i="13"/>
  <c r="S135" i="13" s="1"/>
  <c r="Y65" i="13"/>
  <c r="Y134" i="13" s="1"/>
  <c r="P64" i="6"/>
  <c r="P133" i="6" s="1"/>
  <c r="AB68" i="6"/>
  <c r="AB137" i="6" s="1"/>
  <c r="K67" i="8"/>
  <c r="K136" i="8" s="1"/>
  <c r="U68" i="12"/>
  <c r="U137" i="12" s="1"/>
  <c r="M68" i="8"/>
  <c r="M137" i="8" s="1"/>
  <c r="Q64" i="6"/>
  <c r="R65" i="10"/>
  <c r="R134" i="10" s="1"/>
  <c r="P65" i="13"/>
  <c r="P134" i="13" s="1"/>
  <c r="V68" i="8"/>
  <c r="V137" i="8" s="1"/>
  <c r="W69" i="10"/>
  <c r="W138" i="10" s="1"/>
  <c r="Z68" i="13"/>
  <c r="Z137" i="13" s="1"/>
  <c r="S65" i="6"/>
  <c r="Q67" i="7"/>
  <c r="Q136" i="7" s="1"/>
  <c r="S66" i="11"/>
  <c r="S135" i="11" s="1"/>
  <c r="S66" i="12"/>
  <c r="S135" i="12" s="1"/>
  <c r="AB66" i="11"/>
  <c r="AB135" i="11" s="1"/>
  <c r="T66" i="10"/>
  <c r="T135" i="10" s="1"/>
  <c r="AB67" i="6"/>
  <c r="AB136" i="6" s="1"/>
  <c r="V68" i="11"/>
  <c r="V137" i="11" s="1"/>
  <c r="V68" i="12"/>
  <c r="V137" i="12" s="1"/>
  <c r="AB64" i="11"/>
  <c r="AB133" i="11" s="1"/>
  <c r="S66" i="6"/>
  <c r="S135" i="6" s="1"/>
  <c r="C128" i="8"/>
  <c r="R66" i="7"/>
  <c r="H66" i="13"/>
  <c r="H135" i="13" s="1"/>
  <c r="R67" i="10"/>
  <c r="R136" i="10" s="1"/>
  <c r="N67" i="8"/>
  <c r="N136" i="8" s="1"/>
  <c r="AA65" i="13"/>
  <c r="AA134" i="13" s="1"/>
  <c r="X65" i="13"/>
  <c r="X134" i="13" s="1"/>
  <c r="P67" i="12"/>
  <c r="P136" i="12" s="1"/>
  <c r="U68" i="6"/>
  <c r="U137" i="6" s="1"/>
  <c r="V67" i="9"/>
  <c r="V136" i="9" s="1"/>
  <c r="P66" i="11"/>
  <c r="P135" i="11" s="1"/>
  <c r="AA67" i="7"/>
  <c r="AA136" i="7" s="1"/>
  <c r="AA67" i="11"/>
  <c r="AA136" i="11" s="1"/>
  <c r="N68" i="13"/>
  <c r="N137" i="13" s="1"/>
  <c r="AA65" i="11"/>
  <c r="AA134" i="11" s="1"/>
  <c r="AA67" i="12"/>
  <c r="AA136" i="12" s="1"/>
  <c r="N65" i="13"/>
  <c r="N134" i="13" s="1"/>
  <c r="AB64" i="10"/>
  <c r="AB133" i="10" s="1"/>
  <c r="Z68" i="12"/>
  <c r="Z137" i="12" s="1"/>
  <c r="K65" i="8"/>
  <c r="K134" i="8" s="1"/>
  <c r="I65" i="8"/>
  <c r="I134" i="8" s="1"/>
  <c r="U68" i="13"/>
  <c r="U137" i="13" s="1"/>
  <c r="U67" i="13"/>
  <c r="U136" i="13" s="1"/>
  <c r="W129" i="13"/>
  <c r="W65" i="13"/>
  <c r="W134" i="13" s="1"/>
  <c r="Z133" i="8"/>
  <c r="Y133" i="9"/>
  <c r="Y68" i="9"/>
  <c r="Y137" i="9" s="1"/>
  <c r="S130" i="7"/>
  <c r="Z132" i="11"/>
  <c r="Z67" i="11"/>
  <c r="Z136" i="11" s="1"/>
  <c r="H46" i="1"/>
  <c r="H43" i="1"/>
  <c r="H45" i="1"/>
  <c r="H44" i="1"/>
  <c r="AB130" i="8"/>
  <c r="AB69" i="6"/>
  <c r="AB138" i="6" s="1"/>
  <c r="Q66" i="6"/>
  <c r="Q135" i="6" s="1"/>
  <c r="X68" i="7"/>
  <c r="X137" i="7" s="1"/>
  <c r="AB66" i="10"/>
  <c r="W66" i="10"/>
  <c r="W135" i="10" s="1"/>
  <c r="S65" i="7"/>
  <c r="S134" i="7" s="1"/>
  <c r="H129" i="8"/>
  <c r="H65" i="8"/>
  <c r="H134" i="8" s="1"/>
  <c r="H67" i="8"/>
  <c r="H136" i="8" s="1"/>
  <c r="P132" i="6"/>
  <c r="Y130" i="7"/>
  <c r="Y65" i="7"/>
  <c r="X129" i="6"/>
  <c r="X64" i="6"/>
  <c r="U66" i="7"/>
  <c r="U135" i="7" s="1"/>
  <c r="J67" i="8"/>
  <c r="J136" i="8" s="1"/>
  <c r="Y66" i="8"/>
  <c r="Y135" i="8" s="1"/>
  <c r="X129" i="10"/>
  <c r="X65" i="10"/>
  <c r="X134" i="10" s="1"/>
  <c r="X67" i="10"/>
  <c r="X136" i="10" s="1"/>
  <c r="X66" i="10"/>
  <c r="X135" i="10" s="1"/>
  <c r="F66" i="8"/>
  <c r="F135" i="8" s="1"/>
  <c r="F68" i="8"/>
  <c r="F137" i="8" s="1"/>
  <c r="S68" i="7"/>
  <c r="S137" i="7" s="1"/>
  <c r="K132" i="8"/>
  <c r="AA130" i="7"/>
  <c r="R132" i="7"/>
  <c r="R68" i="7"/>
  <c r="AB65" i="8"/>
  <c r="AA129" i="8"/>
  <c r="AA64" i="8"/>
  <c r="AA133" i="8" s="1"/>
  <c r="AA65" i="8"/>
  <c r="AA134" i="8" s="1"/>
  <c r="X133" i="7"/>
  <c r="AA130" i="9"/>
  <c r="AA66" i="9"/>
  <c r="AA135" i="9" s="1"/>
  <c r="AA67" i="9"/>
  <c r="AA136" i="9" s="1"/>
  <c r="AA65" i="9"/>
  <c r="S132" i="6"/>
  <c r="T67" i="7"/>
  <c r="W131" i="7"/>
  <c r="V68" i="6"/>
  <c r="V137" i="6" s="1"/>
  <c r="AA66" i="8"/>
  <c r="AA135" i="8" s="1"/>
  <c r="V69" i="10"/>
  <c r="V138" i="10" s="1"/>
  <c r="P129" i="8"/>
  <c r="P66" i="8"/>
  <c r="P135" i="8" s="1"/>
  <c r="P64" i="8"/>
  <c r="P65" i="8"/>
  <c r="P134" i="8" s="1"/>
  <c r="F129" i="8"/>
  <c r="C60" i="8"/>
  <c r="AC60" i="8" s="1"/>
  <c r="F65" i="8"/>
  <c r="V131" i="7"/>
  <c r="V66" i="7"/>
  <c r="AB129" i="9"/>
  <c r="AB66" i="9"/>
  <c r="AB135" i="9" s="1"/>
  <c r="Q65" i="6"/>
  <c r="Q67" i="6"/>
  <c r="Q136" i="6" s="1"/>
  <c r="Q131" i="9"/>
  <c r="Q67" i="9"/>
  <c r="Q136" i="9" s="1"/>
  <c r="Q68" i="9"/>
  <c r="Q137" i="9" s="1"/>
  <c r="V69" i="6"/>
  <c r="V138" i="6" s="1"/>
  <c r="T130" i="7"/>
  <c r="S67" i="6"/>
  <c r="AA67" i="8"/>
  <c r="AA136" i="8" s="1"/>
  <c r="T68" i="6"/>
  <c r="I131" i="8"/>
  <c r="I67" i="8"/>
  <c r="I136" i="8" s="1"/>
  <c r="Z129" i="8"/>
  <c r="Z65" i="8"/>
  <c r="Z134" i="8" s="1"/>
  <c r="Z67" i="8"/>
  <c r="Z136" i="8" s="1"/>
  <c r="U135" i="9"/>
  <c r="F67" i="8"/>
  <c r="F136" i="8" s="1"/>
  <c r="B44" i="1"/>
  <c r="B45" i="1"/>
  <c r="L36" i="1"/>
  <c r="B43" i="1"/>
  <c r="B46" i="1"/>
  <c r="M130" i="8"/>
  <c r="M66" i="8"/>
  <c r="M135" i="8" s="1"/>
  <c r="M65" i="8"/>
  <c r="M134" i="8" s="1"/>
  <c r="P130" i="9"/>
  <c r="P67" i="9"/>
  <c r="P136" i="9" s="1"/>
  <c r="P68" i="9"/>
  <c r="P137" i="9" s="1"/>
  <c r="U13" i="14"/>
  <c r="T13" i="14"/>
  <c r="S13" i="14"/>
  <c r="R13" i="14"/>
  <c r="Q13" i="14"/>
  <c r="P13" i="14"/>
  <c r="O13" i="14"/>
  <c r="N13" i="14"/>
  <c r="D44" i="1"/>
  <c r="D45" i="1"/>
  <c r="D46" i="1"/>
  <c r="D43" i="1"/>
  <c r="T66" i="6"/>
  <c r="U67" i="8"/>
  <c r="U136" i="8" s="1"/>
  <c r="R68" i="11"/>
  <c r="R137" i="11" s="1"/>
  <c r="Z68" i="8"/>
  <c r="Z137" i="8" s="1"/>
  <c r="I66" i="8"/>
  <c r="Z132" i="10"/>
  <c r="Z68" i="10"/>
  <c r="Z137" i="10" s="1"/>
  <c r="U20" i="14"/>
  <c r="T20" i="14"/>
  <c r="S20" i="14"/>
  <c r="R20" i="14"/>
  <c r="Q20" i="14"/>
  <c r="P20" i="14"/>
  <c r="O20" i="14"/>
  <c r="N20" i="14"/>
  <c r="E44" i="1"/>
  <c r="E45" i="1"/>
  <c r="E46" i="1"/>
  <c r="E43" i="1"/>
  <c r="Y65" i="8"/>
  <c r="Y134" i="8" s="1"/>
  <c r="AB68" i="8"/>
  <c r="AB137" i="8" s="1"/>
  <c r="W67" i="10"/>
  <c r="W136" i="10" s="1"/>
  <c r="S66" i="7"/>
  <c r="S135" i="7" s="1"/>
  <c r="U65" i="8"/>
  <c r="Y131" i="11"/>
  <c r="S129" i="9"/>
  <c r="S66" i="9"/>
  <c r="S135" i="9" s="1"/>
  <c r="S65" i="9"/>
  <c r="S64" i="9"/>
  <c r="H64" i="8"/>
  <c r="AB132" i="7"/>
  <c r="P67" i="8"/>
  <c r="P136" i="8" s="1"/>
  <c r="Y66" i="10"/>
  <c r="Y135" i="10" s="1"/>
  <c r="P66" i="7"/>
  <c r="P135" i="7" s="1"/>
  <c r="O68" i="8"/>
  <c r="O137" i="8" s="1"/>
  <c r="P131" i="11"/>
  <c r="AA65" i="6"/>
  <c r="AA134" i="6" s="1"/>
  <c r="H66" i="8"/>
  <c r="H135" i="8" s="1"/>
  <c r="Y131" i="10"/>
  <c r="Y67" i="10"/>
  <c r="Y136" i="10" s="1"/>
  <c r="Y67" i="7"/>
  <c r="Y136" i="7" s="1"/>
  <c r="P65" i="9"/>
  <c r="Y64" i="8"/>
  <c r="Y68" i="8" s="1"/>
  <c r="Y137" i="8" s="1"/>
  <c r="U65" i="7"/>
  <c r="U134" i="7" s="1"/>
  <c r="U130" i="8"/>
  <c r="AB130" i="6"/>
  <c r="AB66" i="6"/>
  <c r="AB67" i="8"/>
  <c r="AB136" i="8" s="1"/>
  <c r="T130" i="8"/>
  <c r="T65" i="8"/>
  <c r="T69" i="8" s="1"/>
  <c r="T138" i="8" s="1"/>
  <c r="T68" i="8"/>
  <c r="T137" i="8" s="1"/>
  <c r="T66" i="8"/>
  <c r="W129" i="8"/>
  <c r="W65" i="8"/>
  <c r="W69" i="8" s="1"/>
  <c r="W138" i="8" s="1"/>
  <c r="W66" i="8"/>
  <c r="W67" i="8"/>
  <c r="W136" i="8" s="1"/>
  <c r="W68" i="8"/>
  <c r="W137" i="8" s="1"/>
  <c r="P65" i="7"/>
  <c r="P134" i="7" s="1"/>
  <c r="AB64" i="9"/>
  <c r="X67" i="11"/>
  <c r="X136" i="11" s="1"/>
  <c r="Y129" i="6"/>
  <c r="Y66" i="6"/>
  <c r="Y67" i="6"/>
  <c r="Y136" i="6" s="1"/>
  <c r="X131" i="13"/>
  <c r="X67" i="13"/>
  <c r="X136" i="13" s="1"/>
  <c r="X66" i="13"/>
  <c r="T129" i="13"/>
  <c r="T65" i="13"/>
  <c r="T134" i="13" s="1"/>
  <c r="T64" i="13"/>
  <c r="T133" i="13" s="1"/>
  <c r="T67" i="13"/>
  <c r="X129" i="8"/>
  <c r="X67" i="8"/>
  <c r="X136" i="8" s="1"/>
  <c r="X68" i="8"/>
  <c r="X137" i="8" s="1"/>
  <c r="X65" i="8"/>
  <c r="L130" i="8"/>
  <c r="L67" i="8"/>
  <c r="L136" i="8" s="1"/>
  <c r="L68" i="8"/>
  <c r="L137" i="8" s="1"/>
  <c r="L65" i="8"/>
  <c r="L69" i="8" s="1"/>
  <c r="L138" i="8" s="1"/>
  <c r="L66" i="8"/>
  <c r="L135" i="8" s="1"/>
  <c r="AB66" i="8"/>
  <c r="U131" i="10"/>
  <c r="U66" i="10"/>
  <c r="U135" i="10" s="1"/>
  <c r="T129" i="6"/>
  <c r="T68" i="9"/>
  <c r="T137" i="9" s="1"/>
  <c r="O131" i="8"/>
  <c r="O66" i="8"/>
  <c r="P129" i="10"/>
  <c r="P65" i="10"/>
  <c r="P134" i="10" s="1"/>
  <c r="P67" i="10"/>
  <c r="P136" i="10" s="1"/>
  <c r="J129" i="8"/>
  <c r="J64" i="8"/>
  <c r="J65" i="8"/>
  <c r="J134" i="8" s="1"/>
  <c r="C10" i="13"/>
  <c r="C10" i="12"/>
  <c r="C10" i="11"/>
  <c r="P64" i="10"/>
  <c r="AB67" i="9"/>
  <c r="AB136" i="9" s="1"/>
  <c r="Z131" i="6"/>
  <c r="Z68" i="6"/>
  <c r="Z137" i="6" s="1"/>
  <c r="Z67" i="6"/>
  <c r="Z136" i="6" s="1"/>
  <c r="X132" i="9"/>
  <c r="X67" i="9"/>
  <c r="X136" i="9" s="1"/>
  <c r="X69" i="9"/>
  <c r="X138" i="9" s="1"/>
  <c r="U68" i="7"/>
  <c r="U137" i="7" s="1"/>
  <c r="X66" i="8"/>
  <c r="X135" i="8" s="1"/>
  <c r="Q66" i="9"/>
  <c r="U130" i="6"/>
  <c r="U67" i="6"/>
  <c r="U136" i="6" s="1"/>
  <c r="U65" i="6"/>
  <c r="V130" i="6"/>
  <c r="V67" i="6"/>
  <c r="V66" i="6"/>
  <c r="V70" i="6" s="1"/>
  <c r="V139" i="6" s="1"/>
  <c r="U68" i="8"/>
  <c r="U137" i="8" s="1"/>
  <c r="T68" i="7"/>
  <c r="T137" i="7" s="1"/>
  <c r="Q130" i="7"/>
  <c r="Q68" i="7"/>
  <c r="Q65" i="7"/>
  <c r="R129" i="8"/>
  <c r="R64" i="8"/>
  <c r="R133" i="8" s="1"/>
  <c r="R65" i="8"/>
  <c r="T67" i="6"/>
  <c r="T136" i="6" s="1"/>
  <c r="S132" i="11"/>
  <c r="S67" i="11"/>
  <c r="AB131" i="12"/>
  <c r="AB66" i="12"/>
  <c r="AB69" i="12"/>
  <c r="AB138" i="12" s="1"/>
  <c r="AB67" i="12"/>
  <c r="AB136" i="12" s="1"/>
  <c r="AB68" i="12"/>
  <c r="AB137" i="12" s="1"/>
  <c r="X64" i="10"/>
  <c r="S129" i="8"/>
  <c r="S66" i="8"/>
  <c r="S135" i="8" s="1"/>
  <c r="S67" i="8"/>
  <c r="S136" i="8" s="1"/>
  <c r="S65" i="8"/>
  <c r="S134" i="8" s="1"/>
  <c r="S64" i="8"/>
  <c r="Y129" i="8"/>
  <c r="Y67" i="8"/>
  <c r="Y136" i="8" s="1"/>
  <c r="P66" i="10"/>
  <c r="P135" i="10" s="1"/>
  <c r="U130" i="7"/>
  <c r="U67" i="7"/>
  <c r="R66" i="8"/>
  <c r="R135" i="8" s="1"/>
  <c r="P129" i="7"/>
  <c r="P64" i="7"/>
  <c r="P68" i="7" s="1"/>
  <c r="P137" i="7" s="1"/>
  <c r="S67" i="7"/>
  <c r="S136" i="7" s="1"/>
  <c r="AA129" i="6"/>
  <c r="AA67" i="6"/>
  <c r="AA136" i="6" s="1"/>
  <c r="AA66" i="6"/>
  <c r="AA68" i="6"/>
  <c r="AA137" i="6" s="1"/>
  <c r="X129" i="11"/>
  <c r="X64" i="11"/>
  <c r="X65" i="11"/>
  <c r="E131" i="8"/>
  <c r="E69" i="8"/>
  <c r="E138" i="8" s="1"/>
  <c r="E67" i="8"/>
  <c r="T133" i="11"/>
  <c r="AB65" i="9"/>
  <c r="AB134" i="9" s="1"/>
  <c r="E66" i="8"/>
  <c r="S132" i="13"/>
  <c r="S67" i="13"/>
  <c r="S136" i="13" s="1"/>
  <c r="Y133" i="12"/>
  <c r="Y68" i="12"/>
  <c r="Y137" i="12" s="1"/>
  <c r="V129" i="9"/>
  <c r="V64" i="9"/>
  <c r="V133" i="9" s="1"/>
  <c r="U129" i="11"/>
  <c r="U67" i="11"/>
  <c r="U136" i="11" s="1"/>
  <c r="U64" i="11"/>
  <c r="U133" i="11" s="1"/>
  <c r="U65" i="11"/>
  <c r="U66" i="11"/>
  <c r="U135" i="11" s="1"/>
  <c r="AB131" i="10"/>
  <c r="G45" i="1"/>
  <c r="G46" i="1"/>
  <c r="G43" i="1"/>
  <c r="G44" i="1"/>
  <c r="R131" i="11"/>
  <c r="R67" i="11"/>
  <c r="R136" i="11" s="1"/>
  <c r="R69" i="11"/>
  <c r="R138" i="11" s="1"/>
  <c r="R66" i="11"/>
  <c r="L131" i="13"/>
  <c r="Y66" i="7"/>
  <c r="Y135" i="7" s="1"/>
  <c r="AA68" i="9"/>
  <c r="Y129" i="9"/>
  <c r="Y65" i="9"/>
  <c r="Y69" i="9" s="1"/>
  <c r="Y138" i="9" s="1"/>
  <c r="Y66" i="9"/>
  <c r="Y135" i="9" s="1"/>
  <c r="Y67" i="9"/>
  <c r="Y136" i="9" s="1"/>
  <c r="T67" i="8"/>
  <c r="T136" i="8" s="1"/>
  <c r="V66" i="9"/>
  <c r="V135" i="9" s="1"/>
  <c r="U130" i="12"/>
  <c r="U67" i="12"/>
  <c r="U136" i="12" s="1"/>
  <c r="U65" i="12"/>
  <c r="V65" i="9"/>
  <c r="V134" i="9" s="1"/>
  <c r="W131" i="9"/>
  <c r="AA130" i="10"/>
  <c r="C125" i="8"/>
  <c r="Q65" i="10"/>
  <c r="Q134" i="10" s="1"/>
  <c r="W66" i="6"/>
  <c r="W135" i="6" s="1"/>
  <c r="W64" i="12"/>
  <c r="W68" i="12" s="1"/>
  <c r="W137" i="12" s="1"/>
  <c r="W66" i="12"/>
  <c r="W135" i="12" s="1"/>
  <c r="T130" i="9"/>
  <c r="Y129" i="11"/>
  <c r="Y64" i="11"/>
  <c r="Y68" i="11" s="1"/>
  <c r="Y137" i="11" s="1"/>
  <c r="Y67" i="11"/>
  <c r="Y136" i="11" s="1"/>
  <c r="U129" i="10"/>
  <c r="Y65" i="11"/>
  <c r="Y134" i="11" s="1"/>
  <c r="AB130" i="7"/>
  <c r="S27" i="14"/>
  <c r="Q27" i="14"/>
  <c r="P27" i="14"/>
  <c r="O27" i="14"/>
  <c r="T27" i="14"/>
  <c r="U27" i="14"/>
  <c r="R27" i="14"/>
  <c r="N27" i="14"/>
  <c r="C44" i="1"/>
  <c r="C45" i="1"/>
  <c r="C46" i="1"/>
  <c r="C43" i="1"/>
  <c r="E130" i="8"/>
  <c r="X67" i="12"/>
  <c r="X136" i="12" s="1"/>
  <c r="W66" i="9"/>
  <c r="W70" i="9" s="1"/>
  <c r="W139" i="9" s="1"/>
  <c r="W68" i="13"/>
  <c r="W137" i="13" s="1"/>
  <c r="AB66" i="13"/>
  <c r="AB135" i="13" s="1"/>
  <c r="AA65" i="10"/>
  <c r="Q69" i="13"/>
  <c r="Q138" i="13" s="1"/>
  <c r="C127" i="8"/>
  <c r="AA64" i="7"/>
  <c r="G67" i="8"/>
  <c r="G136" i="8" s="1"/>
  <c r="Y67" i="12"/>
  <c r="Y136" i="12" s="1"/>
  <c r="P67" i="13"/>
  <c r="P136" i="13" s="1"/>
  <c r="F45" i="1"/>
  <c r="F46" i="1"/>
  <c r="F43" i="1"/>
  <c r="F44" i="1"/>
  <c r="Z130" i="13"/>
  <c r="Z69" i="13"/>
  <c r="Z138" i="13" s="1"/>
  <c r="N65" i="8"/>
  <c r="N134" i="8" s="1"/>
  <c r="D130" i="8"/>
  <c r="C61" i="8"/>
  <c r="AC61" i="8" s="1"/>
  <c r="D67" i="8"/>
  <c r="R129" i="12"/>
  <c r="R65" i="12"/>
  <c r="R134" i="12" s="1"/>
  <c r="I68" i="13"/>
  <c r="I137" i="13" s="1"/>
  <c r="R69" i="13"/>
  <c r="R138" i="13" s="1"/>
  <c r="AA129" i="13"/>
  <c r="R66" i="13"/>
  <c r="R70" i="13" s="1"/>
  <c r="R139" i="13" s="1"/>
  <c r="W131" i="13"/>
  <c r="W66" i="13"/>
  <c r="Z67" i="13"/>
  <c r="Z136" i="13" s="1"/>
  <c r="X68" i="13"/>
  <c r="X137" i="13" s="1"/>
  <c r="J37" i="5"/>
  <c r="G37" i="5"/>
  <c r="H37" i="5"/>
  <c r="C37" i="5"/>
  <c r="B37" i="5"/>
  <c r="E37" i="5"/>
  <c r="D37" i="5"/>
  <c r="F37" i="5"/>
  <c r="I37" i="5"/>
  <c r="AB67" i="13"/>
  <c r="AB136" i="13" s="1"/>
  <c r="AB64" i="13"/>
  <c r="W69" i="9"/>
  <c r="W138" i="9" s="1"/>
  <c r="R129" i="9"/>
  <c r="R66" i="9"/>
  <c r="R135" i="9" s="1"/>
  <c r="R67" i="9"/>
  <c r="R136" i="9" s="1"/>
  <c r="Y130" i="10"/>
  <c r="D65" i="8"/>
  <c r="D69" i="8" s="1"/>
  <c r="S129" i="13"/>
  <c r="Z66" i="12"/>
  <c r="M65" i="13"/>
  <c r="U64" i="10"/>
  <c r="C62" i="8"/>
  <c r="AC62" i="8" s="1"/>
  <c r="D131" i="8"/>
  <c r="Z129" i="9"/>
  <c r="AB129" i="13"/>
  <c r="AB65" i="13"/>
  <c r="AB134" i="13" s="1"/>
  <c r="Q67" i="11"/>
  <c r="Q136" i="11" s="1"/>
  <c r="Y67" i="13"/>
  <c r="Y136" i="13" s="1"/>
  <c r="AB67" i="11"/>
  <c r="AB136" i="11" s="1"/>
  <c r="V130" i="10"/>
  <c r="V67" i="10"/>
  <c r="V136" i="10" s="1"/>
  <c r="V66" i="10"/>
  <c r="V68" i="10"/>
  <c r="V137" i="10" s="1"/>
  <c r="Z129" i="10"/>
  <c r="Z66" i="10"/>
  <c r="O132" i="13"/>
  <c r="O67" i="13"/>
  <c r="K67" i="13"/>
  <c r="K136" i="13" s="1"/>
  <c r="P68" i="13"/>
  <c r="R65" i="9"/>
  <c r="Y68" i="10"/>
  <c r="Y137" i="10" s="1"/>
  <c r="L130" i="13"/>
  <c r="T66" i="12"/>
  <c r="T135" i="12" s="1"/>
  <c r="Q67" i="13"/>
  <c r="Q136" i="13" s="1"/>
  <c r="X66" i="12"/>
  <c r="X135" i="12" s="1"/>
  <c r="R129" i="10"/>
  <c r="R64" i="10"/>
  <c r="R68" i="10" s="1"/>
  <c r="R137" i="10" s="1"/>
  <c r="U67" i="10"/>
  <c r="U136" i="10" s="1"/>
  <c r="V65" i="13"/>
  <c r="V134" i="13" s="1"/>
  <c r="S65" i="12"/>
  <c r="W67" i="13"/>
  <c r="W136" i="13" s="1"/>
  <c r="Z68" i="7"/>
  <c r="Z137" i="7" s="1"/>
  <c r="AA66" i="13"/>
  <c r="AA135" i="13" s="1"/>
  <c r="Q67" i="10"/>
  <c r="Q136" i="10" s="1"/>
  <c r="R67" i="6"/>
  <c r="R136" i="6" s="1"/>
  <c r="M67" i="13"/>
  <c r="M136" i="13" s="1"/>
  <c r="W68" i="11"/>
  <c r="W137" i="11" s="1"/>
  <c r="Q69" i="12"/>
  <c r="Q138" i="12" s="1"/>
  <c r="AA67" i="10"/>
  <c r="AA136" i="10" s="1"/>
  <c r="L67" i="13"/>
  <c r="L136" i="13" s="1"/>
  <c r="D68" i="8"/>
  <c r="Z65" i="7"/>
  <c r="Z66" i="7"/>
  <c r="Z135" i="7" s="1"/>
  <c r="M66" i="13"/>
  <c r="M135" i="13" s="1"/>
  <c r="I131" i="13"/>
  <c r="U66" i="13"/>
  <c r="V67" i="11"/>
  <c r="V136" i="11" s="1"/>
  <c r="AA68" i="12"/>
  <c r="AA137" i="12" s="1"/>
  <c r="R67" i="13"/>
  <c r="AA66" i="10"/>
  <c r="AA135" i="10" s="1"/>
  <c r="S68" i="13"/>
  <c r="S137" i="13" s="1"/>
  <c r="R64" i="12"/>
  <c r="D66" i="8"/>
  <c r="G65" i="8"/>
  <c r="V130" i="12"/>
  <c r="U69" i="13"/>
  <c r="U138" i="13" s="1"/>
  <c r="W130" i="10"/>
  <c r="Q132" i="12"/>
  <c r="Q68" i="12"/>
  <c r="H129" i="13"/>
  <c r="H67" i="13"/>
  <c r="H136" i="13" s="1"/>
  <c r="H64" i="13"/>
  <c r="W68" i="10"/>
  <c r="N68" i="8"/>
  <c r="N137" i="8" s="1"/>
  <c r="T65" i="12"/>
  <c r="T134" i="12" s="1"/>
  <c r="X129" i="12"/>
  <c r="Z129" i="12"/>
  <c r="Q68" i="13"/>
  <c r="Q137" i="13" s="1"/>
  <c r="P66" i="12"/>
  <c r="G66" i="8"/>
  <c r="G135" i="8" s="1"/>
  <c r="Z65" i="12"/>
  <c r="Z134" i="12" s="1"/>
  <c r="Q130" i="13"/>
  <c r="Q66" i="13"/>
  <c r="Q70" i="13" s="1"/>
  <c r="Z66" i="9"/>
  <c r="Z135" i="9" s="1"/>
  <c r="Q64" i="10"/>
  <c r="Q66" i="10"/>
  <c r="Q135" i="10" s="1"/>
  <c r="L65" i="13"/>
  <c r="W64" i="6"/>
  <c r="K65" i="13"/>
  <c r="X65" i="12"/>
  <c r="K66" i="13"/>
  <c r="K135" i="13" s="1"/>
  <c r="V130" i="11"/>
  <c r="T67" i="9"/>
  <c r="U132" i="9"/>
  <c r="R66" i="6"/>
  <c r="P130" i="11"/>
  <c r="P68" i="11"/>
  <c r="P137" i="11" s="1"/>
  <c r="P65" i="11"/>
  <c r="AA130" i="12"/>
  <c r="Y69" i="10"/>
  <c r="Y138" i="10" s="1"/>
  <c r="S65" i="13"/>
  <c r="Y64" i="13"/>
  <c r="Y133" i="13" s="1"/>
  <c r="X130" i="9"/>
  <c r="X66" i="9"/>
  <c r="X68" i="9"/>
  <c r="X137" i="9" s="1"/>
  <c r="T67" i="11"/>
  <c r="Q65" i="8"/>
  <c r="AB65" i="11"/>
  <c r="Z67" i="12"/>
  <c r="Z136" i="12" s="1"/>
  <c r="L68" i="13"/>
  <c r="L137" i="13" s="1"/>
  <c r="W65" i="6"/>
  <c r="W134" i="6" s="1"/>
  <c r="K68" i="13"/>
  <c r="K137" i="13" s="1"/>
  <c r="J66" i="13"/>
  <c r="AA66" i="11"/>
  <c r="AA135" i="11" s="1"/>
  <c r="R68" i="9"/>
  <c r="R137" i="9" s="1"/>
  <c r="T67" i="12"/>
  <c r="T136" i="12" s="1"/>
  <c r="Q129" i="11"/>
  <c r="Q66" i="11"/>
  <c r="Q135" i="11" s="1"/>
  <c r="Q65" i="11"/>
  <c r="Q69" i="11" s="1"/>
  <c r="Q138" i="11" s="1"/>
  <c r="Z67" i="9"/>
  <c r="Z136" i="9" s="1"/>
  <c r="S129" i="12"/>
  <c r="S68" i="12"/>
  <c r="S137" i="12" s="1"/>
  <c r="S67" i="12"/>
  <c r="S136" i="12" s="1"/>
  <c r="P129" i="12"/>
  <c r="W65" i="12"/>
  <c r="W134" i="12" s="1"/>
  <c r="Y129" i="12"/>
  <c r="L66" i="13"/>
  <c r="L135" i="13" s="1"/>
  <c r="W67" i="6"/>
  <c r="W136" i="6" s="1"/>
  <c r="C63" i="8"/>
  <c r="AC63" i="8" s="1"/>
  <c r="D132" i="8"/>
  <c r="R66" i="10"/>
  <c r="R135" i="10" s="1"/>
  <c r="I68" i="8"/>
  <c r="P67" i="6"/>
  <c r="P136" i="6" s="1"/>
  <c r="AA129" i="7"/>
  <c r="AA66" i="7"/>
  <c r="AA135" i="7" s="1"/>
  <c r="K46" i="1"/>
  <c r="K43" i="1"/>
  <c r="K44" i="1"/>
  <c r="K45" i="1"/>
  <c r="AA129" i="11"/>
  <c r="AA64" i="11"/>
  <c r="W69" i="11"/>
  <c r="W138" i="11" s="1"/>
  <c r="R130" i="13"/>
  <c r="V66" i="13"/>
  <c r="V135" i="13" s="1"/>
  <c r="AA64" i="13"/>
  <c r="Z67" i="7"/>
  <c r="Z136" i="7" s="1"/>
  <c r="Q66" i="8"/>
  <c r="Q135" i="8" s="1"/>
  <c r="AB129" i="11"/>
  <c r="AC57" i="8"/>
  <c r="J45" i="1"/>
  <c r="J46" i="1"/>
  <c r="J43" i="1"/>
  <c r="J44" i="1"/>
  <c r="R67" i="12"/>
  <c r="R136" i="12" s="1"/>
  <c r="D133" i="8"/>
  <c r="Y66" i="13"/>
  <c r="AA65" i="12"/>
  <c r="I67" i="13"/>
  <c r="J67" i="13"/>
  <c r="J136" i="13" s="1"/>
  <c r="W67" i="12"/>
  <c r="W136" i="12" s="1"/>
  <c r="Q67" i="8"/>
  <c r="Q136" i="8" s="1"/>
  <c r="U67" i="9"/>
  <c r="V64" i="13"/>
  <c r="Z65" i="9"/>
  <c r="Z134" i="9" s="1"/>
  <c r="T65" i="10"/>
  <c r="T134" i="10" s="1"/>
  <c r="Z65" i="11"/>
  <c r="C126" i="8"/>
  <c r="V66" i="11"/>
  <c r="V70" i="11" s="1"/>
  <c r="W67" i="9"/>
  <c r="W132" i="11"/>
  <c r="X68" i="12"/>
  <c r="X137" i="12" s="1"/>
  <c r="T129" i="12"/>
  <c r="T64" i="12"/>
  <c r="Q68" i="11"/>
  <c r="Q137" i="11" s="1"/>
  <c r="H65" i="13"/>
  <c r="H134" i="13" s="1"/>
  <c r="T131" i="11"/>
  <c r="Z64" i="9"/>
  <c r="V65" i="12"/>
  <c r="V67" i="13"/>
  <c r="V136" i="13" s="1"/>
  <c r="P129" i="6"/>
  <c r="P66" i="6"/>
  <c r="AB67" i="7"/>
  <c r="Q3" i="14"/>
  <c r="P3" i="14"/>
  <c r="O3" i="14"/>
  <c r="N3" i="14"/>
  <c r="N4" i="14" s="1"/>
  <c r="U3" i="14"/>
  <c r="T3" i="14"/>
  <c r="S3" i="14"/>
  <c r="R3" i="14"/>
  <c r="I45" i="1"/>
  <c r="I46" i="1"/>
  <c r="I43" i="1"/>
  <c r="I44" i="1"/>
  <c r="S129" i="10"/>
  <c r="S67" i="10"/>
  <c r="S136" i="10" s="1"/>
  <c r="S64" i="10"/>
  <c r="S66" i="10"/>
  <c r="S135" i="10" s="1"/>
  <c r="Z66" i="6"/>
  <c r="Z67" i="10"/>
  <c r="Z136" i="10" s="1"/>
  <c r="E70" i="8"/>
  <c r="E139" i="8" s="1"/>
  <c r="Z130" i="11"/>
  <c r="V129" i="8"/>
  <c r="V69" i="8"/>
  <c r="V138" i="8" s="1"/>
  <c r="V67" i="8"/>
  <c r="N129" i="8"/>
  <c r="Z66" i="13"/>
  <c r="AA68" i="10"/>
  <c r="AA137" i="10" s="1"/>
  <c r="N130" i="13"/>
  <c r="N66" i="13"/>
  <c r="T68" i="11"/>
  <c r="T137" i="11" s="1"/>
  <c r="U69" i="9"/>
  <c r="U138" i="9" s="1"/>
  <c r="T64" i="10"/>
  <c r="R68" i="6" l="1"/>
  <c r="R137" i="6" s="1"/>
  <c r="R69" i="6"/>
  <c r="R138" i="6" s="1"/>
  <c r="Z69" i="10"/>
  <c r="Z138" i="10" s="1"/>
  <c r="T69" i="9"/>
  <c r="T138" i="9" s="1"/>
  <c r="Z69" i="6"/>
  <c r="Z138" i="6" s="1"/>
  <c r="Q69" i="9"/>
  <c r="Q138" i="9" s="1"/>
  <c r="P69" i="13"/>
  <c r="P138" i="13" s="1"/>
  <c r="Y69" i="12"/>
  <c r="R68" i="13"/>
  <c r="R137" i="13" s="1"/>
  <c r="AB70" i="7"/>
  <c r="AB139" i="7" s="1"/>
  <c r="Q70" i="12"/>
  <c r="W70" i="13"/>
  <c r="W139" i="13" s="1"/>
  <c r="G68" i="8"/>
  <c r="G137" i="8" s="1"/>
  <c r="G69" i="8"/>
  <c r="G138" i="8" s="1"/>
  <c r="T70" i="9"/>
  <c r="T139" i="9" s="1"/>
  <c r="T70" i="11"/>
  <c r="T139" i="11" s="1"/>
  <c r="T69" i="11"/>
  <c r="T138" i="11" s="1"/>
  <c r="W69" i="13"/>
  <c r="W138" i="13" s="1"/>
  <c r="R70" i="7"/>
  <c r="V70" i="8"/>
  <c r="V139" i="8" s="1"/>
  <c r="S68" i="11"/>
  <c r="S72" i="11" s="1"/>
  <c r="S141" i="11" s="1"/>
  <c r="P68" i="12"/>
  <c r="P137" i="12" s="1"/>
  <c r="O69" i="13"/>
  <c r="O138" i="13" s="1"/>
  <c r="O69" i="8"/>
  <c r="O138" i="8" s="1"/>
  <c r="AB70" i="11"/>
  <c r="AB139" i="11" s="1"/>
  <c r="P68" i="6"/>
  <c r="P137" i="6" s="1"/>
  <c r="P70" i="12"/>
  <c r="P139" i="12" s="1"/>
  <c r="AB69" i="7"/>
  <c r="AB138" i="7" s="1"/>
  <c r="P70" i="13"/>
  <c r="P139" i="13" s="1"/>
  <c r="S4" i="14"/>
  <c r="S6" i="14" s="1"/>
  <c r="S7" i="14" s="1"/>
  <c r="S69" i="6"/>
  <c r="S138" i="6" s="1"/>
  <c r="O4" i="14"/>
  <c r="O6" i="14" s="1"/>
  <c r="O7" i="14" s="1"/>
  <c r="Q4" i="14"/>
  <c r="F17" i="14" s="1"/>
  <c r="Q68" i="8"/>
  <c r="Q137" i="8" s="1"/>
  <c r="O71" i="8"/>
  <c r="O140" i="8" s="1"/>
  <c r="J69" i="13"/>
  <c r="J138" i="13" s="1"/>
  <c r="W71" i="7"/>
  <c r="W140" i="7" s="1"/>
  <c r="V69" i="7"/>
  <c r="V138" i="7" s="1"/>
  <c r="N28" i="14"/>
  <c r="R4" i="14"/>
  <c r="G17" i="14" s="1"/>
  <c r="T4" i="14"/>
  <c r="T6" i="14" s="1"/>
  <c r="T7" i="14" s="1"/>
  <c r="O70" i="13"/>
  <c r="O139" i="13" s="1"/>
  <c r="W72" i="9"/>
  <c r="W141" i="9" s="1"/>
  <c r="W70" i="10"/>
  <c r="W139" i="10" s="1"/>
  <c r="W70" i="7"/>
  <c r="W139" i="7" s="1"/>
  <c r="X69" i="13"/>
  <c r="X138" i="13" s="1"/>
  <c r="T70" i="7"/>
  <c r="T139" i="7" s="1"/>
  <c r="I71" i="13"/>
  <c r="I140" i="13" s="1"/>
  <c r="P69" i="12"/>
  <c r="P138" i="12" s="1"/>
  <c r="I70" i="13"/>
  <c r="I139" i="13" s="1"/>
  <c r="S70" i="11"/>
  <c r="S139" i="11" s="1"/>
  <c r="D70" i="8"/>
  <c r="M71" i="8"/>
  <c r="M140" i="8" s="1"/>
  <c r="R28" i="14"/>
  <c r="R30" i="14" s="1"/>
  <c r="R31" i="14" s="1"/>
  <c r="P21" i="14"/>
  <c r="U28" i="14"/>
  <c r="U32" i="14" s="1"/>
  <c r="U4" i="14"/>
  <c r="N70" i="8"/>
  <c r="N139" i="8" s="1"/>
  <c r="O14" i="14"/>
  <c r="O18" i="14" s="1"/>
  <c r="N6" i="14"/>
  <c r="N7" i="14" s="1"/>
  <c r="C17" i="14"/>
  <c r="O28" i="14"/>
  <c r="O32" i="14" s="1"/>
  <c r="P28" i="14"/>
  <c r="P32" i="14" s="1"/>
  <c r="P4" i="14"/>
  <c r="Q28" i="14"/>
  <c r="Q32" i="14" s="1"/>
  <c r="S28" i="14"/>
  <c r="T69" i="7"/>
  <c r="T138" i="7" s="1"/>
  <c r="I69" i="13"/>
  <c r="I138" i="13" s="1"/>
  <c r="X71" i="9"/>
  <c r="X140" i="9" s="1"/>
  <c r="I71" i="8"/>
  <c r="I140" i="8" s="1"/>
  <c r="V71" i="7"/>
  <c r="V140" i="7" s="1"/>
  <c r="V68" i="7"/>
  <c r="V137" i="7" s="1"/>
  <c r="I69" i="8"/>
  <c r="I138" i="8" s="1"/>
  <c r="AB70" i="10"/>
  <c r="AB139" i="10" s="1"/>
  <c r="R72" i="7"/>
  <c r="R141" i="7" s="1"/>
  <c r="AB68" i="11"/>
  <c r="AB137" i="11" s="1"/>
  <c r="U71" i="10"/>
  <c r="U140" i="10" s="1"/>
  <c r="O68" i="13"/>
  <c r="O137" i="13" s="1"/>
  <c r="Y69" i="6"/>
  <c r="Y138" i="6" s="1"/>
  <c r="P71" i="13"/>
  <c r="P140" i="13" s="1"/>
  <c r="Y70" i="6"/>
  <c r="Y139" i="6" s="1"/>
  <c r="W70" i="11"/>
  <c r="W74" i="11" s="1"/>
  <c r="W143" i="11" s="1"/>
  <c r="W71" i="11"/>
  <c r="W140" i="11" s="1"/>
  <c r="X71" i="6"/>
  <c r="X140" i="6" s="1"/>
  <c r="Q71" i="12"/>
  <c r="Q140" i="12" s="1"/>
  <c r="W71" i="10"/>
  <c r="W140" i="10" s="1"/>
  <c r="R71" i="13"/>
  <c r="R140" i="13" s="1"/>
  <c r="Y70" i="12"/>
  <c r="Y139" i="12" s="1"/>
  <c r="X71" i="7"/>
  <c r="X140" i="7" s="1"/>
  <c r="X71" i="10"/>
  <c r="X140" i="10" s="1"/>
  <c r="W69" i="7"/>
  <c r="W138" i="7" s="1"/>
  <c r="T68" i="13"/>
  <c r="T137" i="13" s="1"/>
  <c r="P69" i="6"/>
  <c r="P138" i="6" s="1"/>
  <c r="S69" i="11"/>
  <c r="S138" i="11" s="1"/>
  <c r="AB69" i="10"/>
  <c r="AB138" i="10" s="1"/>
  <c r="D72" i="8"/>
  <c r="D141" i="8" s="1"/>
  <c r="V72" i="10"/>
  <c r="V141" i="10" s="1"/>
  <c r="X72" i="8"/>
  <c r="X141" i="8" s="1"/>
  <c r="X69" i="7"/>
  <c r="X70" i="7"/>
  <c r="X139" i="7" s="1"/>
  <c r="Q73" i="12"/>
  <c r="Q142" i="12" s="1"/>
  <c r="U72" i="13"/>
  <c r="U141" i="13" s="1"/>
  <c r="AB71" i="12"/>
  <c r="I72" i="8"/>
  <c r="I141" i="8" s="1"/>
  <c r="L70" i="8"/>
  <c r="L139" i="8" s="1"/>
  <c r="R69" i="10"/>
  <c r="R138" i="10" s="1"/>
  <c r="K69" i="8"/>
  <c r="K138" i="8" s="1"/>
  <c r="AA68" i="8"/>
  <c r="AA137" i="8" s="1"/>
  <c r="K72" i="8"/>
  <c r="K141" i="8" s="1"/>
  <c r="W72" i="7"/>
  <c r="W141" i="7" s="1"/>
  <c r="R69" i="7"/>
  <c r="R138" i="7" s="1"/>
  <c r="T71" i="6"/>
  <c r="T140" i="6" s="1"/>
  <c r="K71" i="8"/>
  <c r="K140" i="8" s="1"/>
  <c r="T70" i="6"/>
  <c r="T139" i="6" s="1"/>
  <c r="Y69" i="13"/>
  <c r="Y138" i="13" s="1"/>
  <c r="N70" i="13"/>
  <c r="N139" i="13" s="1"/>
  <c r="K72" i="13"/>
  <c r="K141" i="13" s="1"/>
  <c r="W71" i="6"/>
  <c r="W140" i="6" s="1"/>
  <c r="Q72" i="9"/>
  <c r="Q141" i="9" s="1"/>
  <c r="D71" i="8"/>
  <c r="D76" i="8" s="1"/>
  <c r="S68" i="6"/>
  <c r="S137" i="6" s="1"/>
  <c r="J72" i="13"/>
  <c r="J141" i="13" s="1"/>
  <c r="Y71" i="10"/>
  <c r="Y140" i="10" s="1"/>
  <c r="L71" i="13"/>
  <c r="L140" i="13" s="1"/>
  <c r="Y70" i="10"/>
  <c r="Y139" i="10" s="1"/>
  <c r="R71" i="9"/>
  <c r="R140" i="9" s="1"/>
  <c r="V68" i="9"/>
  <c r="V137" i="9" s="1"/>
  <c r="I70" i="8"/>
  <c r="I139" i="8" s="1"/>
  <c r="AA71" i="6"/>
  <c r="AA140" i="6" s="1"/>
  <c r="R73" i="6"/>
  <c r="R142" i="6" s="1"/>
  <c r="AB69" i="13"/>
  <c r="AB138" i="13" s="1"/>
  <c r="K70" i="8"/>
  <c r="K139" i="8" s="1"/>
  <c r="T71" i="12"/>
  <c r="T140" i="12" s="1"/>
  <c r="Z71" i="13"/>
  <c r="Z140" i="13" s="1"/>
  <c r="R68" i="8"/>
  <c r="R137" i="8" s="1"/>
  <c r="Z71" i="7"/>
  <c r="Z140" i="7" s="1"/>
  <c r="V71" i="9"/>
  <c r="V140" i="9" s="1"/>
  <c r="W73" i="11"/>
  <c r="W142" i="11" s="1"/>
  <c r="Z69" i="9"/>
  <c r="Z138" i="9" s="1"/>
  <c r="N69" i="13"/>
  <c r="N138" i="13" s="1"/>
  <c r="U134" i="9"/>
  <c r="U70" i="9"/>
  <c r="U139" i="9" s="1"/>
  <c r="Y71" i="6"/>
  <c r="Y140" i="6" s="1"/>
  <c r="P70" i="8"/>
  <c r="P139" i="8" s="1"/>
  <c r="Y68" i="6"/>
  <c r="Y137" i="6" s="1"/>
  <c r="U72" i="8"/>
  <c r="U141" i="8" s="1"/>
  <c r="AB73" i="12"/>
  <c r="AB142" i="12" s="1"/>
  <c r="M72" i="8"/>
  <c r="M141" i="8" s="1"/>
  <c r="Y73" i="9"/>
  <c r="Y142" i="9" s="1"/>
  <c r="C64" i="8"/>
  <c r="AC64" i="8" s="1"/>
  <c r="M69" i="8"/>
  <c r="M75" i="8" s="1"/>
  <c r="N71" i="13"/>
  <c r="N140" i="13" s="1"/>
  <c r="X71" i="11"/>
  <c r="X140" i="11" s="1"/>
  <c r="V70" i="9"/>
  <c r="V139" i="9" s="1"/>
  <c r="Y68" i="7"/>
  <c r="Y137" i="7" s="1"/>
  <c r="AB68" i="10"/>
  <c r="G73" i="8"/>
  <c r="G142" i="8" s="1"/>
  <c r="C129" i="8"/>
  <c r="AB70" i="12"/>
  <c r="AB139" i="12" s="1"/>
  <c r="Q133" i="6"/>
  <c r="Q68" i="6"/>
  <c r="Q137" i="6" s="1"/>
  <c r="Q68" i="10"/>
  <c r="Q137" i="10" s="1"/>
  <c r="P69" i="7"/>
  <c r="P138" i="7" s="1"/>
  <c r="P68" i="8"/>
  <c r="P137" i="8" s="1"/>
  <c r="X69" i="10"/>
  <c r="X138" i="10" s="1"/>
  <c r="Z71" i="9"/>
  <c r="Z140" i="9" s="1"/>
  <c r="U70" i="8"/>
  <c r="U139" i="8" s="1"/>
  <c r="P71" i="8"/>
  <c r="P140" i="8" s="1"/>
  <c r="U70" i="7"/>
  <c r="U139" i="7" s="1"/>
  <c r="Y72" i="12"/>
  <c r="Y141" i="12" s="1"/>
  <c r="G70" i="8"/>
  <c r="G139" i="8" s="1"/>
  <c r="N72" i="13"/>
  <c r="N141" i="13" s="1"/>
  <c r="N69" i="8"/>
  <c r="N138" i="8" s="1"/>
  <c r="N71" i="8"/>
  <c r="N140" i="8" s="1"/>
  <c r="AA69" i="6"/>
  <c r="AA138" i="6" s="1"/>
  <c r="U69" i="8"/>
  <c r="U138" i="8" s="1"/>
  <c r="P72" i="9"/>
  <c r="P141" i="9" s="1"/>
  <c r="U71" i="12"/>
  <c r="U140" i="12" s="1"/>
  <c r="R70" i="10"/>
  <c r="R139" i="10" s="1"/>
  <c r="Q72" i="12"/>
  <c r="Q141" i="12" s="1"/>
  <c r="P71" i="7"/>
  <c r="P140" i="7" s="1"/>
  <c r="U71" i="8"/>
  <c r="U140" i="8" s="1"/>
  <c r="S70" i="7"/>
  <c r="S139" i="7" s="1"/>
  <c r="M70" i="8"/>
  <c r="M139" i="8" s="1"/>
  <c r="W71" i="12"/>
  <c r="W140" i="12" s="1"/>
  <c r="S72" i="13"/>
  <c r="S141" i="13" s="1"/>
  <c r="J70" i="13"/>
  <c r="J139" i="13" s="1"/>
  <c r="Q73" i="13"/>
  <c r="Q142" i="13" s="1"/>
  <c r="O72" i="8"/>
  <c r="O141" i="8" s="1"/>
  <c r="S134" i="6"/>
  <c r="S70" i="6"/>
  <c r="Z69" i="12"/>
  <c r="AA72" i="12"/>
  <c r="AA141" i="12" s="1"/>
  <c r="Y71" i="12"/>
  <c r="Y140" i="12" s="1"/>
  <c r="W72" i="11"/>
  <c r="W141" i="11" s="1"/>
  <c r="X72" i="7"/>
  <c r="X141" i="7" s="1"/>
  <c r="R135" i="7"/>
  <c r="R71" i="7"/>
  <c r="R140" i="7" s="1"/>
  <c r="T69" i="6"/>
  <c r="T138" i="6" s="1"/>
  <c r="AA70" i="8"/>
  <c r="AA139" i="8" s="1"/>
  <c r="AA70" i="11"/>
  <c r="AA139" i="11" s="1"/>
  <c r="Z72" i="12"/>
  <c r="Z141" i="12" s="1"/>
  <c r="U72" i="6"/>
  <c r="U141" i="6" s="1"/>
  <c r="Z70" i="12"/>
  <c r="Z139" i="12" s="1"/>
  <c r="O71" i="13"/>
  <c r="O140" i="13" s="1"/>
  <c r="S71" i="7"/>
  <c r="S140" i="7" s="1"/>
  <c r="U71" i="6"/>
  <c r="U140" i="6" s="1"/>
  <c r="Z69" i="8"/>
  <c r="Z138" i="8" s="1"/>
  <c r="Q139" i="13"/>
  <c r="Q74" i="13"/>
  <c r="V139" i="11"/>
  <c r="Z134" i="11"/>
  <c r="Z72" i="11"/>
  <c r="Z141" i="11" s="1"/>
  <c r="Z71" i="11"/>
  <c r="Z140" i="11" s="1"/>
  <c r="Z69" i="11"/>
  <c r="Z138" i="11" s="1"/>
  <c r="H69" i="13"/>
  <c r="H138" i="13" s="1"/>
  <c r="T133" i="10"/>
  <c r="T68" i="10"/>
  <c r="T137" i="10" s="1"/>
  <c r="U136" i="9"/>
  <c r="U72" i="9"/>
  <c r="U141" i="9" s="1"/>
  <c r="U71" i="9"/>
  <c r="U140" i="9" s="1"/>
  <c r="U73" i="9"/>
  <c r="U142" i="9" s="1"/>
  <c r="S134" i="12"/>
  <c r="S69" i="12"/>
  <c r="S71" i="12"/>
  <c r="S140" i="12" s="1"/>
  <c r="Y133" i="11"/>
  <c r="Y70" i="11"/>
  <c r="Y139" i="11" s="1"/>
  <c r="Y69" i="11"/>
  <c r="Y138" i="11" s="1"/>
  <c r="Y71" i="11"/>
  <c r="Y140" i="11" s="1"/>
  <c r="T136" i="13"/>
  <c r="T137" i="6"/>
  <c r="T72" i="6"/>
  <c r="T141" i="6" s="1"/>
  <c r="D138" i="8"/>
  <c r="V136" i="8"/>
  <c r="V71" i="8"/>
  <c r="V140" i="8" s="1"/>
  <c r="V73" i="8"/>
  <c r="V142" i="8" s="1"/>
  <c r="V72" i="8"/>
  <c r="V141" i="8" s="1"/>
  <c r="V74" i="8"/>
  <c r="Q135" i="13"/>
  <c r="AA69" i="12"/>
  <c r="AA138" i="12" s="1"/>
  <c r="T136" i="9"/>
  <c r="T73" i="9"/>
  <c r="T142" i="9" s="1"/>
  <c r="W133" i="6"/>
  <c r="W69" i="6"/>
  <c r="W138" i="6" s="1"/>
  <c r="W68" i="6"/>
  <c r="Q72" i="13"/>
  <c r="Q141" i="13" s="1"/>
  <c r="W74" i="9"/>
  <c r="X69" i="12"/>
  <c r="X73" i="12" s="1"/>
  <c r="X142" i="12" s="1"/>
  <c r="Q70" i="8"/>
  <c r="Q139" i="8" s="1"/>
  <c r="AB71" i="13"/>
  <c r="AB140" i="13" s="1"/>
  <c r="W135" i="8"/>
  <c r="W72" i="8"/>
  <c r="W141" i="8" s="1"/>
  <c r="W73" i="8"/>
  <c r="W142" i="8" s="1"/>
  <c r="T72" i="9"/>
  <c r="T141" i="9" s="1"/>
  <c r="X133" i="6"/>
  <c r="X70" i="6"/>
  <c r="X139" i="6" s="1"/>
  <c r="X69" i="6"/>
  <c r="X138" i="6" s="1"/>
  <c r="X68" i="6"/>
  <c r="X72" i="6" s="1"/>
  <c r="X141" i="6" s="1"/>
  <c r="AB135" i="10"/>
  <c r="AB71" i="10"/>
  <c r="AB136" i="7"/>
  <c r="AB71" i="7"/>
  <c r="AB140" i="7" s="1"/>
  <c r="AB72" i="7"/>
  <c r="AB141" i="7" s="1"/>
  <c r="S72" i="12"/>
  <c r="S141" i="12" s="1"/>
  <c r="T68" i="12"/>
  <c r="W136" i="9"/>
  <c r="W71" i="9"/>
  <c r="T71" i="10"/>
  <c r="T140" i="10" s="1"/>
  <c r="M69" i="13"/>
  <c r="AA71" i="12"/>
  <c r="AA140" i="12" s="1"/>
  <c r="W70" i="6"/>
  <c r="W139" i="6" s="1"/>
  <c r="Q71" i="13"/>
  <c r="Q140" i="13" s="1"/>
  <c r="W69" i="12"/>
  <c r="R136" i="13"/>
  <c r="Z69" i="7"/>
  <c r="Q71" i="8"/>
  <c r="Q140" i="8" s="1"/>
  <c r="T71" i="9"/>
  <c r="T140" i="9" s="1"/>
  <c r="P135" i="6"/>
  <c r="P72" i="6"/>
  <c r="P141" i="6" s="1"/>
  <c r="P70" i="6"/>
  <c r="P71" i="6"/>
  <c r="P140" i="6" s="1"/>
  <c r="G15" i="5"/>
  <c r="F15" i="5"/>
  <c r="E15" i="5"/>
  <c r="C15" i="5"/>
  <c r="B15" i="5"/>
  <c r="H15" i="5"/>
  <c r="I15" i="5"/>
  <c r="D15" i="5"/>
  <c r="W135" i="13"/>
  <c r="W72" i="13"/>
  <c r="W141" i="13" s="1"/>
  <c r="U136" i="7"/>
  <c r="U71" i="7"/>
  <c r="U140" i="7" s="1"/>
  <c r="U72" i="12"/>
  <c r="U141" i="12" s="1"/>
  <c r="V136" i="6"/>
  <c r="V71" i="6"/>
  <c r="V140" i="6" s="1"/>
  <c r="V72" i="6"/>
  <c r="V141" i="6" s="1"/>
  <c r="V73" i="6"/>
  <c r="V142" i="6" s="1"/>
  <c r="V74" i="6"/>
  <c r="P133" i="10"/>
  <c r="P71" i="10"/>
  <c r="P140" i="10" s="1"/>
  <c r="P70" i="10"/>
  <c r="P139" i="10" s="1"/>
  <c r="P68" i="10"/>
  <c r="P72" i="10" s="1"/>
  <c r="P141" i="10" s="1"/>
  <c r="T136" i="7"/>
  <c r="T72" i="7"/>
  <c r="T141" i="7" s="1"/>
  <c r="T71" i="7"/>
  <c r="T140" i="7" s="1"/>
  <c r="T73" i="7"/>
  <c r="T142" i="7" s="1"/>
  <c r="T74" i="7"/>
  <c r="D139" i="8"/>
  <c r="T133" i="12"/>
  <c r="T69" i="12"/>
  <c r="T138" i="12" s="1"/>
  <c r="T136" i="11"/>
  <c r="T71" i="11"/>
  <c r="T140" i="11" s="1"/>
  <c r="L134" i="13"/>
  <c r="L70" i="13"/>
  <c r="L139" i="13" s="1"/>
  <c r="L69" i="13"/>
  <c r="N72" i="8"/>
  <c r="P73" i="13"/>
  <c r="P142" i="13" s="1"/>
  <c r="Z70" i="11"/>
  <c r="Z139" i="11" s="1"/>
  <c r="Z72" i="7"/>
  <c r="Z141" i="7" s="1"/>
  <c r="AA133" i="11"/>
  <c r="AA68" i="11"/>
  <c r="AA69" i="11"/>
  <c r="AA138" i="11" s="1"/>
  <c r="AA71" i="11"/>
  <c r="AA140" i="11" s="1"/>
  <c r="AA70" i="7"/>
  <c r="AA139" i="7" s="1"/>
  <c r="K71" i="13"/>
  <c r="K140" i="13" s="1"/>
  <c r="P135" i="12"/>
  <c r="P71" i="12"/>
  <c r="AA72" i="10"/>
  <c r="AA141" i="10" s="1"/>
  <c r="T70" i="10"/>
  <c r="T139" i="10" s="1"/>
  <c r="G134" i="8"/>
  <c r="G72" i="8"/>
  <c r="G141" i="8" s="1"/>
  <c r="D135" i="8"/>
  <c r="C66" i="8"/>
  <c r="AC66" i="8" s="1"/>
  <c r="D73" i="8"/>
  <c r="D74" i="8"/>
  <c r="X71" i="12"/>
  <c r="X140" i="12" s="1"/>
  <c r="R72" i="13"/>
  <c r="R141" i="13" s="1"/>
  <c r="R134" i="9"/>
  <c r="R72" i="9"/>
  <c r="R141" i="9" s="1"/>
  <c r="I16" i="5"/>
  <c r="B16" i="5"/>
  <c r="E16" i="5"/>
  <c r="F16" i="5"/>
  <c r="D16" i="5"/>
  <c r="G16" i="5"/>
  <c r="H16" i="5"/>
  <c r="C16" i="5"/>
  <c r="Z72" i="13"/>
  <c r="Z141" i="13" s="1"/>
  <c r="E73" i="8"/>
  <c r="E142" i="8" s="1"/>
  <c r="AA135" i="6"/>
  <c r="AA70" i="6"/>
  <c r="AA72" i="6"/>
  <c r="AA141" i="6" s="1"/>
  <c r="X73" i="9"/>
  <c r="X142" i="9" s="1"/>
  <c r="AB133" i="9"/>
  <c r="AB69" i="9"/>
  <c r="AB138" i="9" s="1"/>
  <c r="AB71" i="9"/>
  <c r="AB140" i="9" s="1"/>
  <c r="AB68" i="9"/>
  <c r="AB70" i="9"/>
  <c r="AB139" i="9" s="1"/>
  <c r="T73" i="8"/>
  <c r="T142" i="8" s="1"/>
  <c r="AA70" i="10"/>
  <c r="AA139" i="10" s="1"/>
  <c r="Q134" i="11"/>
  <c r="W73" i="13"/>
  <c r="W142" i="13" s="1"/>
  <c r="S134" i="13"/>
  <c r="S69" i="13"/>
  <c r="S71" i="13"/>
  <c r="S140" i="13" s="1"/>
  <c r="Q139" i="12"/>
  <c r="Q74" i="12"/>
  <c r="W72" i="10"/>
  <c r="W76" i="10" s="1"/>
  <c r="W145" i="10" s="1"/>
  <c r="S137" i="11"/>
  <c r="Q72" i="8"/>
  <c r="Q141" i="8" s="1"/>
  <c r="W70" i="12"/>
  <c r="W139" i="12" s="1"/>
  <c r="Q69" i="8"/>
  <c r="W71" i="13"/>
  <c r="E72" i="8"/>
  <c r="E141" i="8" s="1"/>
  <c r="U69" i="10"/>
  <c r="U138" i="10" s="1"/>
  <c r="T135" i="8"/>
  <c r="T72" i="8"/>
  <c r="T141" i="8" s="1"/>
  <c r="X138" i="7"/>
  <c r="X73" i="7"/>
  <c r="X142" i="7" s="1"/>
  <c r="P137" i="13"/>
  <c r="M134" i="13"/>
  <c r="M70" i="13"/>
  <c r="M139" i="13" s="1"/>
  <c r="M72" i="13"/>
  <c r="M141" i="13" s="1"/>
  <c r="AA134" i="10"/>
  <c r="E136" i="8"/>
  <c r="V72" i="11"/>
  <c r="V141" i="11" s="1"/>
  <c r="J135" i="13"/>
  <c r="J71" i="13"/>
  <c r="J140" i="13" s="1"/>
  <c r="V71" i="13"/>
  <c r="V140" i="13" s="1"/>
  <c r="X135" i="9"/>
  <c r="X70" i="9"/>
  <c r="X74" i="9" s="1"/>
  <c r="X72" i="9"/>
  <c r="X141" i="9" s="1"/>
  <c r="T70" i="12"/>
  <c r="T139" i="12" s="1"/>
  <c r="R139" i="7"/>
  <c r="H70" i="13"/>
  <c r="H139" i="13" s="1"/>
  <c r="AA69" i="10"/>
  <c r="AA73" i="10" s="1"/>
  <c r="AA142" i="10" s="1"/>
  <c r="G19" i="5"/>
  <c r="F19" i="5"/>
  <c r="E19" i="5"/>
  <c r="C19" i="5"/>
  <c r="B19" i="5"/>
  <c r="H19" i="5"/>
  <c r="I19" i="5"/>
  <c r="D19" i="5"/>
  <c r="S70" i="13"/>
  <c r="S139" i="13" s="1"/>
  <c r="R69" i="9"/>
  <c r="R73" i="9" s="1"/>
  <c r="R142" i="9" s="1"/>
  <c r="AA133" i="13"/>
  <c r="AA71" i="13"/>
  <c r="AA140" i="13" s="1"/>
  <c r="AA69" i="13"/>
  <c r="AA138" i="13" s="1"/>
  <c r="AA68" i="13"/>
  <c r="AA70" i="13"/>
  <c r="AA139" i="13" s="1"/>
  <c r="R135" i="6"/>
  <c r="R71" i="6"/>
  <c r="R140" i="6" s="1"/>
  <c r="R72" i="6"/>
  <c r="R141" i="6" s="1"/>
  <c r="V71" i="10"/>
  <c r="V140" i="10" s="1"/>
  <c r="AB68" i="13"/>
  <c r="AB73" i="13" s="1"/>
  <c r="AB142" i="13" s="1"/>
  <c r="C18" i="5"/>
  <c r="B18" i="5"/>
  <c r="E18" i="5"/>
  <c r="F18" i="5"/>
  <c r="D18" i="5"/>
  <c r="G18" i="5"/>
  <c r="H18" i="5"/>
  <c r="I18" i="5"/>
  <c r="R74" i="13"/>
  <c r="U134" i="12"/>
  <c r="U69" i="12"/>
  <c r="U73" i="12" s="1"/>
  <c r="U70" i="12"/>
  <c r="U139" i="12" s="1"/>
  <c r="P72" i="13"/>
  <c r="P141" i="13" s="1"/>
  <c r="AA134" i="12"/>
  <c r="AA70" i="12"/>
  <c r="AA139" i="12" s="1"/>
  <c r="Q70" i="11"/>
  <c r="Q139" i="11" s="1"/>
  <c r="Q137" i="12"/>
  <c r="I72" i="13"/>
  <c r="G71" i="8"/>
  <c r="G140" i="8" s="1"/>
  <c r="W72" i="12"/>
  <c r="W141" i="12" s="1"/>
  <c r="S32" i="14"/>
  <c r="S30" i="14"/>
  <c r="S31" i="14" s="1"/>
  <c r="W73" i="9"/>
  <c r="W142" i="9" s="1"/>
  <c r="AA137" i="9"/>
  <c r="AA72" i="9"/>
  <c r="AA141" i="9" s="1"/>
  <c r="R135" i="11"/>
  <c r="R72" i="11"/>
  <c r="R141" i="11" s="1"/>
  <c r="R73" i="11"/>
  <c r="R142" i="11" s="1"/>
  <c r="X134" i="11"/>
  <c r="X69" i="11"/>
  <c r="X138" i="11" s="1"/>
  <c r="S133" i="8"/>
  <c r="S70" i="8"/>
  <c r="S139" i="8" s="1"/>
  <c r="S68" i="8"/>
  <c r="S72" i="8" s="1"/>
  <c r="S141" i="8" s="1"/>
  <c r="S71" i="8"/>
  <c r="S140" i="8" s="1"/>
  <c r="S69" i="8"/>
  <c r="S138" i="8" s="1"/>
  <c r="X135" i="13"/>
  <c r="X71" i="13"/>
  <c r="X140" i="13" s="1"/>
  <c r="X70" i="13"/>
  <c r="X139" i="13" s="1"/>
  <c r="P25" i="14"/>
  <c r="P23" i="14"/>
  <c r="P24" i="14" s="1"/>
  <c r="F134" i="8"/>
  <c r="F72" i="8"/>
  <c r="F141" i="8" s="1"/>
  <c r="F71" i="8"/>
  <c r="F140" i="8" s="1"/>
  <c r="F69" i="8"/>
  <c r="F138" i="8" s="1"/>
  <c r="F70" i="8"/>
  <c r="F139" i="8" s="1"/>
  <c r="R133" i="12"/>
  <c r="R70" i="12"/>
  <c r="R139" i="12" s="1"/>
  <c r="R69" i="12"/>
  <c r="R138" i="12" s="1"/>
  <c r="R71" i="12"/>
  <c r="R140" i="12" s="1"/>
  <c r="I137" i="8"/>
  <c r="T69" i="10"/>
  <c r="T138" i="10" s="1"/>
  <c r="X134" i="12"/>
  <c r="X72" i="12"/>
  <c r="X141" i="12" s="1"/>
  <c r="X72" i="13"/>
  <c r="X141" i="13" s="1"/>
  <c r="H133" i="8"/>
  <c r="H70" i="8"/>
  <c r="H139" i="8" s="1"/>
  <c r="H69" i="8"/>
  <c r="H138" i="8" s="1"/>
  <c r="H68" i="8"/>
  <c r="H71" i="8"/>
  <c r="H140" i="8" s="1"/>
  <c r="Z135" i="6"/>
  <c r="Z70" i="6"/>
  <c r="Z71" i="6"/>
  <c r="Z140" i="6" s="1"/>
  <c r="Z72" i="6"/>
  <c r="Z141" i="6" s="1"/>
  <c r="Z73" i="6"/>
  <c r="Z142" i="6" s="1"/>
  <c r="Q72" i="11"/>
  <c r="Q141" i="11" s="1"/>
  <c r="Q71" i="11"/>
  <c r="Q140" i="11" s="1"/>
  <c r="W139" i="11"/>
  <c r="AB133" i="13"/>
  <c r="Y70" i="13"/>
  <c r="Y139" i="13" s="1"/>
  <c r="S69" i="10"/>
  <c r="Z133" i="9"/>
  <c r="Z70" i="9"/>
  <c r="Z139" i="9" s="1"/>
  <c r="T72" i="11"/>
  <c r="T141" i="11" s="1"/>
  <c r="H71" i="13"/>
  <c r="H140" i="13" s="1"/>
  <c r="V133" i="13"/>
  <c r="V69" i="13"/>
  <c r="V138" i="13" s="1"/>
  <c r="V68" i="13"/>
  <c r="V137" i="13" s="1"/>
  <c r="R71" i="10"/>
  <c r="V71" i="11"/>
  <c r="V140" i="11" s="1"/>
  <c r="AB134" i="11"/>
  <c r="AB69" i="11"/>
  <c r="AB71" i="11"/>
  <c r="AB140" i="11" s="1"/>
  <c r="Q133" i="10"/>
  <c r="Q69" i="10"/>
  <c r="Q71" i="10"/>
  <c r="Q140" i="10" s="1"/>
  <c r="R70" i="6"/>
  <c r="Z134" i="7"/>
  <c r="Z70" i="7"/>
  <c r="Z139" i="7" s="1"/>
  <c r="R68" i="12"/>
  <c r="R137" i="12" s="1"/>
  <c r="Z68" i="9"/>
  <c r="AB70" i="13"/>
  <c r="AB139" i="13" s="1"/>
  <c r="S70" i="12"/>
  <c r="S139" i="12" s="1"/>
  <c r="AA133" i="7"/>
  <c r="AA69" i="7"/>
  <c r="AA138" i="7" s="1"/>
  <c r="AA71" i="7"/>
  <c r="AA140" i="7" s="1"/>
  <c r="AA68" i="7"/>
  <c r="Q137" i="7"/>
  <c r="P69" i="10"/>
  <c r="P138" i="10" s="1"/>
  <c r="L72" i="8"/>
  <c r="L141" i="8" s="1"/>
  <c r="V71" i="12"/>
  <c r="V140" i="12" s="1"/>
  <c r="U135" i="13"/>
  <c r="U71" i="13"/>
  <c r="U140" i="13" s="1"/>
  <c r="J73" i="13"/>
  <c r="J142" i="13" s="1"/>
  <c r="R133" i="10"/>
  <c r="R73" i="10"/>
  <c r="R142" i="10" s="1"/>
  <c r="R72" i="10"/>
  <c r="R141" i="10" s="1"/>
  <c r="V135" i="10"/>
  <c r="V70" i="10"/>
  <c r="V74" i="10" s="1"/>
  <c r="M71" i="13"/>
  <c r="M140" i="13" s="1"/>
  <c r="U70" i="13"/>
  <c r="U74" i="13" s="1"/>
  <c r="Y134" i="9"/>
  <c r="Y70" i="9"/>
  <c r="Y74" i="9" s="1"/>
  <c r="Y71" i="9"/>
  <c r="Y140" i="9" s="1"/>
  <c r="Y72" i="9"/>
  <c r="Y141" i="9" s="1"/>
  <c r="R71" i="11"/>
  <c r="R140" i="11" s="1"/>
  <c r="Q135" i="9"/>
  <c r="Q71" i="9"/>
  <c r="Q140" i="9" s="1"/>
  <c r="Q70" i="9"/>
  <c r="Q74" i="9" s="1"/>
  <c r="Q73" i="9"/>
  <c r="Q142" i="9" s="1"/>
  <c r="J133" i="8"/>
  <c r="J68" i="8"/>
  <c r="J137" i="8" s="1"/>
  <c r="J70" i="8"/>
  <c r="J139" i="8" s="1"/>
  <c r="J69" i="8"/>
  <c r="J138" i="8" s="1"/>
  <c r="S134" i="9"/>
  <c r="S71" i="9"/>
  <c r="S140" i="9" s="1"/>
  <c r="V135" i="11"/>
  <c r="V74" i="11"/>
  <c r="V73" i="11"/>
  <c r="V142" i="11" s="1"/>
  <c r="Y135" i="13"/>
  <c r="Y71" i="13"/>
  <c r="Y140" i="13" s="1"/>
  <c r="Y72" i="11"/>
  <c r="Y141" i="11" s="1"/>
  <c r="P134" i="11"/>
  <c r="P69" i="11"/>
  <c r="P71" i="11"/>
  <c r="P140" i="11" s="1"/>
  <c r="P70" i="11"/>
  <c r="P139" i="11" s="1"/>
  <c r="P72" i="11"/>
  <c r="P141" i="11" s="1"/>
  <c r="U74" i="9"/>
  <c r="H133" i="13"/>
  <c r="N135" i="13"/>
  <c r="Z135" i="13"/>
  <c r="Z70" i="13"/>
  <c r="Z74" i="13" s="1"/>
  <c r="S133" i="10"/>
  <c r="S71" i="10"/>
  <c r="S140" i="10" s="1"/>
  <c r="S70" i="10"/>
  <c r="S139" i="10" s="1"/>
  <c r="S68" i="10"/>
  <c r="S137" i="10" s="1"/>
  <c r="Y73" i="12"/>
  <c r="K134" i="13"/>
  <c r="K69" i="13"/>
  <c r="K70" i="13"/>
  <c r="K139" i="13" s="1"/>
  <c r="U73" i="13"/>
  <c r="U142" i="13" s="1"/>
  <c r="U133" i="10"/>
  <c r="U68" i="10"/>
  <c r="U70" i="10"/>
  <c r="U139" i="10" s="1"/>
  <c r="D136" i="8"/>
  <c r="C67" i="8"/>
  <c r="AC67" i="8" s="1"/>
  <c r="Y72" i="10"/>
  <c r="Y141" i="10" s="1"/>
  <c r="V70" i="13"/>
  <c r="V139" i="13" s="1"/>
  <c r="X70" i="12"/>
  <c r="X139" i="12" s="1"/>
  <c r="X73" i="13"/>
  <c r="X142" i="13" s="1"/>
  <c r="W71" i="8"/>
  <c r="W140" i="8" s="1"/>
  <c r="V134" i="12"/>
  <c r="V70" i="12"/>
  <c r="V139" i="12" s="1"/>
  <c r="V69" i="12"/>
  <c r="V138" i="12" s="1"/>
  <c r="V72" i="12"/>
  <c r="V141" i="12" s="1"/>
  <c r="Y138" i="12"/>
  <c r="Q134" i="8"/>
  <c r="AA71" i="10"/>
  <c r="AA140" i="10" s="1"/>
  <c r="Z73" i="13"/>
  <c r="Z142" i="13" s="1"/>
  <c r="W137" i="10"/>
  <c r="W73" i="10"/>
  <c r="W142" i="10" s="1"/>
  <c r="H68" i="13"/>
  <c r="Q73" i="11"/>
  <c r="Q142" i="11" s="1"/>
  <c r="L72" i="13"/>
  <c r="L141" i="13" s="1"/>
  <c r="O136" i="13"/>
  <c r="O72" i="13"/>
  <c r="V73" i="10"/>
  <c r="V142" i="10" s="1"/>
  <c r="R70" i="9"/>
  <c r="R139" i="9" s="1"/>
  <c r="R70" i="11"/>
  <c r="R139" i="11" s="1"/>
  <c r="R134" i="8"/>
  <c r="R70" i="8"/>
  <c r="R139" i="8" s="1"/>
  <c r="E74" i="8"/>
  <c r="AB135" i="8"/>
  <c r="AB71" i="8"/>
  <c r="AB140" i="8" s="1"/>
  <c r="AB70" i="8"/>
  <c r="AB139" i="8" s="1"/>
  <c r="P70" i="7"/>
  <c r="P139" i="7" s="1"/>
  <c r="Y134" i="7"/>
  <c r="Y71" i="7"/>
  <c r="Y140" i="7" s="1"/>
  <c r="Y69" i="7"/>
  <c r="Y70" i="7"/>
  <c r="Y139" i="7" s="1"/>
  <c r="Z135" i="12"/>
  <c r="Z71" i="12"/>
  <c r="Z75" i="12" s="1"/>
  <c r="Q70" i="10"/>
  <c r="Q139" i="10" s="1"/>
  <c r="U134" i="11"/>
  <c r="U70" i="11"/>
  <c r="U139" i="11" s="1"/>
  <c r="AB140" i="12"/>
  <c r="L73" i="8"/>
  <c r="L142" i="8" s="1"/>
  <c r="J71" i="8"/>
  <c r="J140" i="8" s="1"/>
  <c r="B14" i="5"/>
  <c r="E14" i="5"/>
  <c r="F14" i="5"/>
  <c r="D14" i="5"/>
  <c r="G14" i="5"/>
  <c r="H14" i="5"/>
  <c r="C14" i="5"/>
  <c r="I14" i="5"/>
  <c r="N30" i="14"/>
  <c r="N31" i="14" s="1"/>
  <c r="N32" i="14"/>
  <c r="U71" i="11"/>
  <c r="U140" i="11" s="1"/>
  <c r="O21" i="14"/>
  <c r="I135" i="8"/>
  <c r="Y70" i="8"/>
  <c r="Y139" i="8" s="1"/>
  <c r="AB72" i="6"/>
  <c r="AB141" i="6" s="1"/>
  <c r="S68" i="9"/>
  <c r="S137" i="9" s="1"/>
  <c r="U134" i="8"/>
  <c r="Q21" i="14"/>
  <c r="L46" i="1"/>
  <c r="AB134" i="8"/>
  <c r="AB69" i="8"/>
  <c r="AB138" i="8" s="1"/>
  <c r="R137" i="7"/>
  <c r="U69" i="7"/>
  <c r="D137" i="8"/>
  <c r="D134" i="8"/>
  <c r="C65" i="8"/>
  <c r="AC65" i="8" s="1"/>
  <c r="Y68" i="13"/>
  <c r="Y72" i="13" s="1"/>
  <c r="Y141" i="13" s="1"/>
  <c r="G21" i="5"/>
  <c r="F21" i="5"/>
  <c r="E21" i="5"/>
  <c r="C21" i="5"/>
  <c r="H21" i="5"/>
  <c r="B21" i="5"/>
  <c r="I21" i="5"/>
  <c r="D21" i="5"/>
  <c r="T28" i="14"/>
  <c r="E135" i="8"/>
  <c r="Q134" i="7"/>
  <c r="Q70" i="7"/>
  <c r="Q139" i="7" s="1"/>
  <c r="Q69" i="7"/>
  <c r="Q73" i="7" s="1"/>
  <c r="Q142" i="7" s="1"/>
  <c r="Q71" i="7"/>
  <c r="Q140" i="7" s="1"/>
  <c r="W134" i="8"/>
  <c r="W70" i="8"/>
  <c r="W139" i="8" s="1"/>
  <c r="U73" i="8"/>
  <c r="E71" i="8"/>
  <c r="E140" i="8" s="1"/>
  <c r="R21" i="14"/>
  <c r="Y72" i="8"/>
  <c r="Y141" i="8" s="1"/>
  <c r="L43" i="1"/>
  <c r="S136" i="6"/>
  <c r="Q134" i="6"/>
  <c r="Q70" i="6"/>
  <c r="Q139" i="6" s="1"/>
  <c r="Q69" i="6"/>
  <c r="Q71" i="6"/>
  <c r="Q140" i="6" s="1"/>
  <c r="V135" i="7"/>
  <c r="K74" i="8"/>
  <c r="V69" i="9"/>
  <c r="AB72" i="12"/>
  <c r="AB141" i="12" s="1"/>
  <c r="U134" i="6"/>
  <c r="U70" i="6"/>
  <c r="U139" i="6" s="1"/>
  <c r="L71" i="8"/>
  <c r="L140" i="8" s="1"/>
  <c r="X69" i="8"/>
  <c r="T69" i="13"/>
  <c r="S69" i="9"/>
  <c r="S138" i="9" s="1"/>
  <c r="S21" i="14"/>
  <c r="V70" i="7"/>
  <c r="AA69" i="8"/>
  <c r="AA74" i="8" s="1"/>
  <c r="X68" i="10"/>
  <c r="X73" i="10" s="1"/>
  <c r="T21" i="14"/>
  <c r="L45" i="1"/>
  <c r="X70" i="8"/>
  <c r="X139" i="8" s="1"/>
  <c r="R71" i="8"/>
  <c r="R140" i="8" s="1"/>
  <c r="AB73" i="6"/>
  <c r="AB142" i="6" s="1"/>
  <c r="U68" i="11"/>
  <c r="X133" i="10"/>
  <c r="T70" i="13"/>
  <c r="T139" i="13" s="1"/>
  <c r="Y135" i="6"/>
  <c r="V73" i="7"/>
  <c r="V142" i="7" s="1"/>
  <c r="U69" i="6"/>
  <c r="U21" i="14"/>
  <c r="AA71" i="8"/>
  <c r="AA140" i="8" s="1"/>
  <c r="N14" i="14"/>
  <c r="L44" i="1"/>
  <c r="I74" i="8"/>
  <c r="AB72" i="8"/>
  <c r="AB141" i="8" s="1"/>
  <c r="Z70" i="8"/>
  <c r="Z72" i="8"/>
  <c r="Z141" i="8" s="1"/>
  <c r="I136" i="13"/>
  <c r="I73" i="13"/>
  <c r="I142" i="13" s="1"/>
  <c r="C132" i="8"/>
  <c r="Y73" i="10"/>
  <c r="Y142" i="10" s="1"/>
  <c r="W135" i="9"/>
  <c r="X133" i="11"/>
  <c r="X70" i="11"/>
  <c r="X139" i="11" s="1"/>
  <c r="AB135" i="12"/>
  <c r="AB74" i="12"/>
  <c r="O135" i="8"/>
  <c r="O70" i="8"/>
  <c r="T71" i="8"/>
  <c r="T140" i="8" s="1"/>
  <c r="Y133" i="8"/>
  <c r="Y71" i="8"/>
  <c r="Y140" i="8" s="1"/>
  <c r="P14" i="14"/>
  <c r="P133" i="8"/>
  <c r="P72" i="8"/>
  <c r="P141" i="8" s="1"/>
  <c r="U72" i="7"/>
  <c r="U141" i="7" s="1"/>
  <c r="Q72" i="7"/>
  <c r="Q141" i="7" s="1"/>
  <c r="S72" i="7"/>
  <c r="S141" i="7" s="1"/>
  <c r="P134" i="9"/>
  <c r="P70" i="9"/>
  <c r="P139" i="9" s="1"/>
  <c r="Q14" i="14"/>
  <c r="P69" i="9"/>
  <c r="AA134" i="9"/>
  <c r="AA70" i="9"/>
  <c r="AA139" i="9" s="1"/>
  <c r="AA69" i="9"/>
  <c r="AA138" i="9" s="1"/>
  <c r="Z73" i="8"/>
  <c r="Z142" i="8" s="1"/>
  <c r="R14" i="14"/>
  <c r="AA71" i="9"/>
  <c r="AA140" i="9" s="1"/>
  <c r="Q72" i="6"/>
  <c r="Q141" i="6" s="1"/>
  <c r="I76" i="8"/>
  <c r="I145" i="8" s="1"/>
  <c r="Z135" i="10"/>
  <c r="Z73" i="10"/>
  <c r="Z142" i="10" s="1"/>
  <c r="Z72" i="10"/>
  <c r="Z141" i="10" s="1"/>
  <c r="Z71" i="10"/>
  <c r="Z140" i="10" s="1"/>
  <c r="H20" i="5"/>
  <c r="H26" i="5" s="1"/>
  <c r="C20" i="5"/>
  <c r="B20" i="5"/>
  <c r="E20" i="5"/>
  <c r="F20" i="5"/>
  <c r="D20" i="5"/>
  <c r="G20" i="5"/>
  <c r="I20" i="5"/>
  <c r="I26" i="5" s="1"/>
  <c r="C130" i="8"/>
  <c r="P133" i="7"/>
  <c r="P72" i="7"/>
  <c r="P141" i="7" s="1"/>
  <c r="U69" i="11"/>
  <c r="U138" i="11" s="1"/>
  <c r="T134" i="8"/>
  <c r="AB71" i="6"/>
  <c r="AB140" i="6" s="1"/>
  <c r="S14" i="14"/>
  <c r="I75" i="8"/>
  <c r="AA72" i="8"/>
  <c r="AA141" i="8" s="1"/>
  <c r="X68" i="11"/>
  <c r="G17" i="5"/>
  <c r="F17" i="5"/>
  <c r="E17" i="5"/>
  <c r="C17" i="5"/>
  <c r="I17" i="5"/>
  <c r="B17" i="5"/>
  <c r="H17" i="5"/>
  <c r="D17" i="5"/>
  <c r="R135" i="13"/>
  <c r="R75" i="13"/>
  <c r="R73" i="13"/>
  <c r="R142" i="13" s="1"/>
  <c r="S136" i="11"/>
  <c r="S71" i="11"/>
  <c r="T70" i="8"/>
  <c r="T139" i="8" s="1"/>
  <c r="T74" i="6"/>
  <c r="T135" i="6"/>
  <c r="T75" i="6"/>
  <c r="T14" i="14"/>
  <c r="S71" i="6"/>
  <c r="S69" i="7"/>
  <c r="AB135" i="6"/>
  <c r="AB70" i="6"/>
  <c r="Z70" i="10"/>
  <c r="U14" i="14"/>
  <c r="X70" i="10"/>
  <c r="X139" i="10" s="1"/>
  <c r="Z71" i="8"/>
  <c r="Z140" i="8" s="1"/>
  <c r="L134" i="8"/>
  <c r="R69" i="8"/>
  <c r="R73" i="8" s="1"/>
  <c r="R142" i="8" s="1"/>
  <c r="P71" i="9"/>
  <c r="P140" i="9" s="1"/>
  <c r="L74" i="8"/>
  <c r="P69" i="8"/>
  <c r="P74" i="8" s="1"/>
  <c r="C131" i="8"/>
  <c r="G13" i="5"/>
  <c r="F13" i="5"/>
  <c r="E13" i="5"/>
  <c r="C13" i="5"/>
  <c r="K37" i="5"/>
  <c r="B13" i="5"/>
  <c r="H13" i="5"/>
  <c r="I13" i="5"/>
  <c r="D13" i="5"/>
  <c r="W133" i="12"/>
  <c r="V135" i="6"/>
  <c r="X134" i="8"/>
  <c r="X71" i="8"/>
  <c r="X140" i="8" s="1"/>
  <c r="T71" i="13"/>
  <c r="T140" i="13" s="1"/>
  <c r="S133" i="9"/>
  <c r="S70" i="9"/>
  <c r="S139" i="9" s="1"/>
  <c r="N21" i="14"/>
  <c r="Y69" i="8"/>
  <c r="Y73" i="7" l="1"/>
  <c r="Y142" i="7" s="1"/>
  <c r="Y72" i="7"/>
  <c r="Y141" i="7" s="1"/>
  <c r="S73" i="6"/>
  <c r="S142" i="6" s="1"/>
  <c r="O73" i="8"/>
  <c r="O142" i="8" s="1"/>
  <c r="M74" i="8"/>
  <c r="T73" i="11"/>
  <c r="T142" i="11" s="1"/>
  <c r="T72" i="13"/>
  <c r="T141" i="13" s="1"/>
  <c r="K75" i="8"/>
  <c r="O16" i="14"/>
  <c r="O17" i="14" s="1"/>
  <c r="R32" i="14"/>
  <c r="AB74" i="7"/>
  <c r="K76" i="8"/>
  <c r="K145" i="8" s="1"/>
  <c r="U30" i="14"/>
  <c r="U31" i="14" s="1"/>
  <c r="AB73" i="7"/>
  <c r="AB142" i="7" s="1"/>
  <c r="P30" i="14"/>
  <c r="P31" i="14" s="1"/>
  <c r="W74" i="13"/>
  <c r="W78" i="13" s="1"/>
  <c r="P73" i="12"/>
  <c r="P142" i="12" s="1"/>
  <c r="S72" i="6"/>
  <c r="S141" i="6" s="1"/>
  <c r="O75" i="8"/>
  <c r="V72" i="9"/>
  <c r="V141" i="9" s="1"/>
  <c r="I73" i="8"/>
  <c r="I142" i="8" s="1"/>
  <c r="T74" i="9"/>
  <c r="T143" i="9" s="1"/>
  <c r="T74" i="11"/>
  <c r="T78" i="11" s="1"/>
  <c r="O30" i="14"/>
  <c r="O31" i="14" s="1"/>
  <c r="W75" i="11"/>
  <c r="W79" i="11" s="1"/>
  <c r="W148" i="11" s="1"/>
  <c r="P74" i="13"/>
  <c r="P79" i="13" s="1"/>
  <c r="P148" i="13" s="1"/>
  <c r="Y74" i="10"/>
  <c r="Y79" i="10" s="1"/>
  <c r="Y148" i="10" s="1"/>
  <c r="S76" i="11"/>
  <c r="S145" i="11" s="1"/>
  <c r="I74" i="13"/>
  <c r="I78" i="13" s="1"/>
  <c r="P74" i="12"/>
  <c r="P143" i="12" s="1"/>
  <c r="N73" i="13"/>
  <c r="N142" i="13" s="1"/>
  <c r="AB73" i="10"/>
  <c r="AB142" i="10" s="1"/>
  <c r="D17" i="14"/>
  <c r="X75" i="7"/>
  <c r="Q75" i="12"/>
  <c r="Q144" i="12" s="1"/>
  <c r="Q6" i="14"/>
  <c r="Q7" i="14" s="1"/>
  <c r="P72" i="12"/>
  <c r="P141" i="12" s="1"/>
  <c r="S73" i="11"/>
  <c r="S142" i="11" s="1"/>
  <c r="Q30" i="14"/>
  <c r="Q31" i="14" s="1"/>
  <c r="R73" i="7"/>
  <c r="R142" i="7" s="1"/>
  <c r="S74" i="11"/>
  <c r="P73" i="6"/>
  <c r="P142" i="6" s="1"/>
  <c r="W76" i="9"/>
  <c r="Y74" i="12"/>
  <c r="Y143" i="12" s="1"/>
  <c r="H17" i="14"/>
  <c r="D75" i="8"/>
  <c r="D80" i="8" s="1"/>
  <c r="D149" i="8" s="1"/>
  <c r="R72" i="8"/>
  <c r="R141" i="8" s="1"/>
  <c r="R74" i="7"/>
  <c r="R143" i="7" s="1"/>
  <c r="Y75" i="6"/>
  <c r="Y144" i="6" s="1"/>
  <c r="W74" i="10"/>
  <c r="W143" i="10" s="1"/>
  <c r="N76" i="13"/>
  <c r="N145" i="13" s="1"/>
  <c r="Y74" i="6"/>
  <c r="Y143" i="6" s="1"/>
  <c r="P75" i="13"/>
  <c r="P86" i="13" s="1"/>
  <c r="V75" i="6"/>
  <c r="V79" i="6" s="1"/>
  <c r="V148" i="6" s="1"/>
  <c r="P74" i="6"/>
  <c r="P143" i="6" s="1"/>
  <c r="W75" i="7"/>
  <c r="W76" i="7"/>
  <c r="W145" i="7" s="1"/>
  <c r="R74" i="10"/>
  <c r="R143" i="10" s="1"/>
  <c r="N76" i="8"/>
  <c r="N145" i="8" s="1"/>
  <c r="V76" i="6"/>
  <c r="V145" i="6" s="1"/>
  <c r="P73" i="7"/>
  <c r="P142" i="7" s="1"/>
  <c r="I75" i="13"/>
  <c r="R6" i="14"/>
  <c r="R7" i="14" s="1"/>
  <c r="G74" i="8"/>
  <c r="G78" i="8" s="1"/>
  <c r="X74" i="7"/>
  <c r="X79" i="7" s="1"/>
  <c r="X148" i="7" s="1"/>
  <c r="I17" i="14"/>
  <c r="AB72" i="11"/>
  <c r="AB141" i="11" s="1"/>
  <c r="O75" i="13"/>
  <c r="Y75" i="10"/>
  <c r="O74" i="13"/>
  <c r="O143" i="13" s="1"/>
  <c r="V72" i="7"/>
  <c r="V141" i="7" s="1"/>
  <c r="Q72" i="10"/>
  <c r="Q141" i="10" s="1"/>
  <c r="N73" i="8"/>
  <c r="N142" i="8" s="1"/>
  <c r="W78" i="11"/>
  <c r="AA74" i="13"/>
  <c r="O77" i="8"/>
  <c r="O146" i="8" s="1"/>
  <c r="R75" i="7"/>
  <c r="R144" i="7" s="1"/>
  <c r="W76" i="11"/>
  <c r="W145" i="11" s="1"/>
  <c r="W77" i="11"/>
  <c r="W146" i="11" s="1"/>
  <c r="X77" i="7"/>
  <c r="X146" i="7" s="1"/>
  <c r="X76" i="7"/>
  <c r="X145" i="7" s="1"/>
  <c r="U6" i="14"/>
  <c r="U7" i="14" s="1"/>
  <c r="J17" i="14"/>
  <c r="P6" i="14"/>
  <c r="P7" i="14" s="1"/>
  <c r="E17" i="14"/>
  <c r="D140" i="8"/>
  <c r="C140" i="8" s="1"/>
  <c r="M76" i="8"/>
  <c r="M145" i="8" s="1"/>
  <c r="R76" i="7"/>
  <c r="R145" i="7" s="1"/>
  <c r="W74" i="12"/>
  <c r="W143" i="12" s="1"/>
  <c r="Z76" i="13"/>
  <c r="Z145" i="13" s="1"/>
  <c r="Q76" i="12"/>
  <c r="Q145" i="12" s="1"/>
  <c r="L74" i="13"/>
  <c r="L143" i="13" s="1"/>
  <c r="Y76" i="12"/>
  <c r="Y145" i="12" s="1"/>
  <c r="AB74" i="10"/>
  <c r="AB143" i="10" s="1"/>
  <c r="O73" i="13"/>
  <c r="O142" i="13" s="1"/>
  <c r="W77" i="9"/>
  <c r="W146" i="9" s="1"/>
  <c r="T76" i="7"/>
  <c r="T145" i="7" s="1"/>
  <c r="W73" i="7"/>
  <c r="W73" i="12"/>
  <c r="W142" i="12" s="1"/>
  <c r="V77" i="6"/>
  <c r="V146" i="6" s="1"/>
  <c r="AA75" i="6"/>
  <c r="W75" i="10"/>
  <c r="W74" i="7"/>
  <c r="W143" i="7" s="1"/>
  <c r="T75" i="9"/>
  <c r="T86" i="9" s="1"/>
  <c r="P75" i="6"/>
  <c r="Q76" i="8"/>
  <c r="Q145" i="8" s="1"/>
  <c r="AA73" i="6"/>
  <c r="AA142" i="6" s="1"/>
  <c r="M74" i="13"/>
  <c r="M143" i="13" s="1"/>
  <c r="AB75" i="10"/>
  <c r="AB144" i="10" s="1"/>
  <c r="V74" i="7"/>
  <c r="AA73" i="12"/>
  <c r="AA142" i="12" s="1"/>
  <c r="K73" i="8"/>
  <c r="K78" i="8" s="1"/>
  <c r="P74" i="9"/>
  <c r="P143" i="9" s="1"/>
  <c r="P73" i="8"/>
  <c r="P142" i="8" s="1"/>
  <c r="N75" i="8"/>
  <c r="T76" i="13"/>
  <c r="T145" i="13" s="1"/>
  <c r="X75" i="8"/>
  <c r="X144" i="8" s="1"/>
  <c r="D25" i="5"/>
  <c r="U74" i="6"/>
  <c r="U143" i="6" s="1"/>
  <c r="N74" i="8"/>
  <c r="N143" i="8" s="1"/>
  <c r="D78" i="8"/>
  <c r="H16" i="16" s="1"/>
  <c r="AB75" i="11"/>
  <c r="AB144" i="11" s="1"/>
  <c r="N74" i="13"/>
  <c r="Z75" i="13"/>
  <c r="Z79" i="13" s="1"/>
  <c r="Z148" i="13" s="1"/>
  <c r="U75" i="7"/>
  <c r="U144" i="7" s="1"/>
  <c r="D79" i="8"/>
  <c r="D148" i="8" s="1"/>
  <c r="Q75" i="8"/>
  <c r="Q86" i="8" s="1"/>
  <c r="C136" i="8"/>
  <c r="R79" i="13"/>
  <c r="R148" i="13" s="1"/>
  <c r="T77" i="8"/>
  <c r="T146" i="8" s="1"/>
  <c r="J76" i="13"/>
  <c r="J145" i="13" s="1"/>
  <c r="I25" i="5"/>
  <c r="W78" i="9"/>
  <c r="I35" i="16" s="1"/>
  <c r="Y73" i="6"/>
  <c r="Y142" i="6" s="1"/>
  <c r="N75" i="13"/>
  <c r="N144" i="13" s="1"/>
  <c r="AB75" i="12"/>
  <c r="AB79" i="12" s="1"/>
  <c r="AB148" i="12" s="1"/>
  <c r="J74" i="13"/>
  <c r="J78" i="13" s="1"/>
  <c r="U74" i="7"/>
  <c r="U143" i="7" s="1"/>
  <c r="Q77" i="12"/>
  <c r="Q146" i="12" s="1"/>
  <c r="Y72" i="6"/>
  <c r="Y141" i="6" s="1"/>
  <c r="P75" i="7"/>
  <c r="U74" i="11"/>
  <c r="U143" i="11" s="1"/>
  <c r="U76" i="7"/>
  <c r="U145" i="7" s="1"/>
  <c r="X72" i="10"/>
  <c r="X141" i="10" s="1"/>
  <c r="U76" i="12"/>
  <c r="U145" i="12" s="1"/>
  <c r="T73" i="6"/>
  <c r="T78" i="6" s="1"/>
  <c r="T147" i="6" s="1"/>
  <c r="AB137" i="10"/>
  <c r="AB72" i="10"/>
  <c r="W74" i="6"/>
  <c r="W143" i="6" s="1"/>
  <c r="Z75" i="7"/>
  <c r="Z86" i="7" s="1"/>
  <c r="P77" i="13"/>
  <c r="P146" i="13" s="1"/>
  <c r="H22" i="5"/>
  <c r="Q78" i="13"/>
  <c r="Q147" i="13" s="1"/>
  <c r="Q76" i="13"/>
  <c r="Q145" i="13" s="1"/>
  <c r="P74" i="7"/>
  <c r="P143" i="7" s="1"/>
  <c r="S78" i="11"/>
  <c r="S147" i="11" s="1"/>
  <c r="U74" i="10"/>
  <c r="U143" i="10" s="1"/>
  <c r="AB74" i="9"/>
  <c r="AB143" i="9" s="1"/>
  <c r="AA73" i="9"/>
  <c r="AA142" i="9" s="1"/>
  <c r="AA73" i="13"/>
  <c r="AA142" i="13" s="1"/>
  <c r="Y73" i="11"/>
  <c r="Y142" i="11" s="1"/>
  <c r="M138" i="8"/>
  <c r="M73" i="8"/>
  <c r="Z74" i="7"/>
  <c r="Z143" i="7" s="1"/>
  <c r="Q75" i="7"/>
  <c r="Q144" i="7" s="1"/>
  <c r="AA74" i="7"/>
  <c r="AA143" i="7" s="1"/>
  <c r="Y74" i="11"/>
  <c r="Y143" i="11" s="1"/>
  <c r="V78" i="6"/>
  <c r="V147" i="6" s="1"/>
  <c r="W75" i="9"/>
  <c r="W79" i="9" s="1"/>
  <c r="W148" i="9" s="1"/>
  <c r="H25" i="5"/>
  <c r="P76" i="13"/>
  <c r="P145" i="13" s="1"/>
  <c r="AA74" i="12"/>
  <c r="X74" i="13"/>
  <c r="X78" i="13" s="1"/>
  <c r="Z76" i="8"/>
  <c r="Z145" i="8" s="1"/>
  <c r="S72" i="9"/>
  <c r="S141" i="9" s="1"/>
  <c r="B25" i="5"/>
  <c r="E78" i="8"/>
  <c r="E147" i="8" s="1"/>
  <c r="Q76" i="9"/>
  <c r="Q145" i="9" s="1"/>
  <c r="V75" i="8"/>
  <c r="V79" i="8" s="1"/>
  <c r="V148" i="8" s="1"/>
  <c r="Y75" i="11"/>
  <c r="D23" i="5"/>
  <c r="U77" i="13"/>
  <c r="U146" i="13" s="1"/>
  <c r="L77" i="8"/>
  <c r="L146" i="8" s="1"/>
  <c r="Y77" i="12"/>
  <c r="Y146" i="12" s="1"/>
  <c r="Z74" i="12"/>
  <c r="Z143" i="12" s="1"/>
  <c r="P78" i="6"/>
  <c r="F28" i="16" s="1"/>
  <c r="E77" i="8"/>
  <c r="E146" i="8" s="1"/>
  <c r="R76" i="13"/>
  <c r="R145" i="13" s="1"/>
  <c r="W72" i="6"/>
  <c r="W141" i="6" s="1"/>
  <c r="C25" i="5"/>
  <c r="X74" i="10"/>
  <c r="X78" i="10" s="1"/>
  <c r="U73" i="7"/>
  <c r="U142" i="7" s="1"/>
  <c r="B22" i="5"/>
  <c r="V72" i="13"/>
  <c r="V141" i="13" s="1"/>
  <c r="Z138" i="12"/>
  <c r="Z73" i="12"/>
  <c r="Z142" i="12" s="1"/>
  <c r="L73" i="13"/>
  <c r="L142" i="13" s="1"/>
  <c r="U72" i="10"/>
  <c r="U141" i="10" s="1"/>
  <c r="V78" i="11"/>
  <c r="V147" i="11" s="1"/>
  <c r="S139" i="6"/>
  <c r="S74" i="6"/>
  <c r="S143" i="6" s="1"/>
  <c r="U76" i="8"/>
  <c r="U145" i="8" s="1"/>
  <c r="G25" i="5"/>
  <c r="V76" i="11"/>
  <c r="V145" i="11" s="1"/>
  <c r="T75" i="11"/>
  <c r="T144" i="11" s="1"/>
  <c r="G24" i="5"/>
  <c r="F25" i="5"/>
  <c r="E23" i="5"/>
  <c r="U75" i="10"/>
  <c r="U144" i="10" s="1"/>
  <c r="G22" i="5"/>
  <c r="AA77" i="10"/>
  <c r="AA146" i="10" s="1"/>
  <c r="C23" i="5"/>
  <c r="L76" i="8"/>
  <c r="L145" i="8" s="1"/>
  <c r="U75" i="8"/>
  <c r="U144" i="8" s="1"/>
  <c r="AA74" i="10"/>
  <c r="AA78" i="10" s="1"/>
  <c r="AA147" i="10" s="1"/>
  <c r="AA72" i="7"/>
  <c r="AA141" i="7" s="1"/>
  <c r="Y75" i="12"/>
  <c r="Y144" i="12" s="1"/>
  <c r="AA75" i="12"/>
  <c r="AA144" i="12" s="1"/>
  <c r="T76" i="6"/>
  <c r="T145" i="6" s="1"/>
  <c r="F23" i="5"/>
  <c r="G23" i="5"/>
  <c r="U74" i="8"/>
  <c r="U78" i="8" s="1"/>
  <c r="R77" i="11"/>
  <c r="R146" i="11" s="1"/>
  <c r="J74" i="8"/>
  <c r="J143" i="8" s="1"/>
  <c r="AA76" i="12"/>
  <c r="AA145" i="12" s="1"/>
  <c r="R77" i="6"/>
  <c r="R146" i="6" s="1"/>
  <c r="T74" i="12"/>
  <c r="T143" i="12" s="1"/>
  <c r="V78" i="8"/>
  <c r="Z76" i="12"/>
  <c r="Z145" i="12" s="1"/>
  <c r="Z77" i="8"/>
  <c r="Z146" i="8" s="1"/>
  <c r="I22" i="5"/>
  <c r="P76" i="6"/>
  <c r="P145" i="6" s="1"/>
  <c r="X73" i="6"/>
  <c r="X142" i="6" s="1"/>
  <c r="J75" i="8"/>
  <c r="J144" i="8" s="1"/>
  <c r="U74" i="12"/>
  <c r="J77" i="13"/>
  <c r="J146" i="13" s="1"/>
  <c r="W77" i="10"/>
  <c r="W146" i="10" s="1"/>
  <c r="U76" i="9"/>
  <c r="U145" i="9" s="1"/>
  <c r="U142" i="12"/>
  <c r="W145" i="9"/>
  <c r="U143" i="13"/>
  <c r="X142" i="10"/>
  <c r="Z144" i="12"/>
  <c r="Z86" i="12"/>
  <c r="Y77" i="10"/>
  <c r="Y146" i="10" s="1"/>
  <c r="E143" i="8"/>
  <c r="W78" i="10"/>
  <c r="V76" i="12"/>
  <c r="V145" i="12" s="1"/>
  <c r="X75" i="11"/>
  <c r="R75" i="12"/>
  <c r="Q77" i="11"/>
  <c r="Q146" i="11" s="1"/>
  <c r="R139" i="6"/>
  <c r="R74" i="6"/>
  <c r="V76" i="10"/>
  <c r="V145" i="10" s="1"/>
  <c r="D24" i="5"/>
  <c r="X143" i="9"/>
  <c r="E76" i="8"/>
  <c r="E145" i="8" s="1"/>
  <c r="M76" i="13"/>
  <c r="M145" i="13" s="1"/>
  <c r="T75" i="8"/>
  <c r="C135" i="8"/>
  <c r="AA75" i="11"/>
  <c r="P75" i="10"/>
  <c r="Z138" i="7"/>
  <c r="AB75" i="7"/>
  <c r="AB79" i="7" s="1"/>
  <c r="AB148" i="7" s="1"/>
  <c r="X75" i="6"/>
  <c r="S72" i="10"/>
  <c r="S76" i="10" s="1"/>
  <c r="S145" i="10" s="1"/>
  <c r="D77" i="8"/>
  <c r="S140" i="6"/>
  <c r="S75" i="6"/>
  <c r="AA75" i="9"/>
  <c r="F5" i="8"/>
  <c r="D26" i="5"/>
  <c r="C9" i="8"/>
  <c r="Q18" i="14"/>
  <c r="Q16" i="14"/>
  <c r="Q17" i="14" s="1"/>
  <c r="AB143" i="12"/>
  <c r="AA138" i="8"/>
  <c r="AA75" i="8"/>
  <c r="AA73" i="8"/>
  <c r="AA78" i="8" s="1"/>
  <c r="R76" i="8"/>
  <c r="R145" i="8" s="1"/>
  <c r="P138" i="8"/>
  <c r="T16" i="14"/>
  <c r="T17" i="14" s="1"/>
  <c r="T18" i="14"/>
  <c r="R78" i="13"/>
  <c r="I144" i="8"/>
  <c r="I86" i="8"/>
  <c r="F5" i="10"/>
  <c r="F26" i="5"/>
  <c r="C9" i="10"/>
  <c r="S76" i="7"/>
  <c r="S145" i="7" s="1"/>
  <c r="P18" i="14"/>
  <c r="P16" i="14"/>
  <c r="P17" i="14" s="1"/>
  <c r="V73" i="9"/>
  <c r="M144" i="8"/>
  <c r="M86" i="8"/>
  <c r="C22" i="5"/>
  <c r="Y138" i="7"/>
  <c r="Y74" i="7"/>
  <c r="V75" i="12"/>
  <c r="V77" i="11"/>
  <c r="V146" i="11" s="1"/>
  <c r="R76" i="9"/>
  <c r="R145" i="9" s="1"/>
  <c r="U75" i="12"/>
  <c r="F24" i="5"/>
  <c r="W140" i="13"/>
  <c r="W77" i="13"/>
  <c r="W146" i="13" s="1"/>
  <c r="Z76" i="7"/>
  <c r="Z145" i="7" s="1"/>
  <c r="AA137" i="11"/>
  <c r="AA72" i="11"/>
  <c r="AA76" i="11" s="1"/>
  <c r="AA145" i="11" s="1"/>
  <c r="AA74" i="11"/>
  <c r="Z75" i="9"/>
  <c r="Q73" i="10"/>
  <c r="Q142" i="10" s="1"/>
  <c r="S75" i="10"/>
  <c r="X76" i="6"/>
  <c r="X145" i="6" s="1"/>
  <c r="Q77" i="13"/>
  <c r="Q146" i="13" s="1"/>
  <c r="R76" i="6"/>
  <c r="R145" i="6" s="1"/>
  <c r="Z73" i="7"/>
  <c r="I23" i="5"/>
  <c r="K138" i="13"/>
  <c r="K74" i="13"/>
  <c r="V143" i="10"/>
  <c r="Z139" i="6"/>
  <c r="Z77" i="6"/>
  <c r="Z146" i="6" s="1"/>
  <c r="I141" i="13"/>
  <c r="I76" i="13"/>
  <c r="E24" i="5"/>
  <c r="Q138" i="8"/>
  <c r="Q74" i="8"/>
  <c r="Q143" i="12"/>
  <c r="G77" i="8"/>
  <c r="G146" i="8" s="1"/>
  <c r="G76" i="8"/>
  <c r="G145" i="8" s="1"/>
  <c r="R72" i="12"/>
  <c r="R141" i="12" s="1"/>
  <c r="AB78" i="7"/>
  <c r="V75" i="11"/>
  <c r="T77" i="9"/>
  <c r="T146" i="9" s="1"/>
  <c r="Z75" i="11"/>
  <c r="AB74" i="8"/>
  <c r="L143" i="8"/>
  <c r="X137" i="11"/>
  <c r="X73" i="11"/>
  <c r="X142" i="11" s="1"/>
  <c r="I143" i="8"/>
  <c r="I83" i="8"/>
  <c r="P76" i="8"/>
  <c r="P145" i="8" s="1"/>
  <c r="V77" i="7"/>
  <c r="V146" i="7" s="1"/>
  <c r="Q138" i="7"/>
  <c r="T32" i="14"/>
  <c r="T30" i="14"/>
  <c r="T31" i="14" s="1"/>
  <c r="AB86" i="12"/>
  <c r="Y76" i="7"/>
  <c r="Y145" i="7" s="1"/>
  <c r="X77" i="12"/>
  <c r="K73" i="13"/>
  <c r="K142" i="13" s="1"/>
  <c r="U143" i="9"/>
  <c r="S76" i="8"/>
  <c r="S145" i="8" s="1"/>
  <c r="Q76" i="7"/>
  <c r="Q145" i="7" s="1"/>
  <c r="C71" i="8"/>
  <c r="AC71" i="8" s="1"/>
  <c r="AB138" i="11"/>
  <c r="AB73" i="11"/>
  <c r="H74" i="13"/>
  <c r="B24" i="5"/>
  <c r="N141" i="8"/>
  <c r="S75" i="12"/>
  <c r="S73" i="13"/>
  <c r="S77" i="13" s="1"/>
  <c r="S146" i="13" s="1"/>
  <c r="F5" i="13"/>
  <c r="F5" i="12"/>
  <c r="F5" i="11"/>
  <c r="G26" i="5"/>
  <c r="C9" i="13"/>
  <c r="C9" i="12"/>
  <c r="C9" i="11"/>
  <c r="M143" i="8"/>
  <c r="K144" i="8"/>
  <c r="K86" i="8"/>
  <c r="Q77" i="7"/>
  <c r="Q146" i="7" s="1"/>
  <c r="H23" i="5"/>
  <c r="AA74" i="9"/>
  <c r="AB77" i="6"/>
  <c r="AB146" i="6" s="1"/>
  <c r="AA76" i="8"/>
  <c r="AA145" i="8" s="1"/>
  <c r="R144" i="13"/>
  <c r="R86" i="13"/>
  <c r="F5" i="6"/>
  <c r="B26" i="5"/>
  <c r="C9" i="6"/>
  <c r="P76" i="7"/>
  <c r="P145" i="7" s="1"/>
  <c r="B23" i="5"/>
  <c r="AB139" i="6"/>
  <c r="AB74" i="6"/>
  <c r="AB78" i="6" s="1"/>
  <c r="T143" i="6"/>
  <c r="S18" i="14"/>
  <c r="S16" i="14"/>
  <c r="S17" i="14" s="1"/>
  <c r="F5" i="7"/>
  <c r="C26" i="5"/>
  <c r="C9" i="7"/>
  <c r="W83" i="7"/>
  <c r="O23" i="14"/>
  <c r="O24" i="14" s="1"/>
  <c r="O25" i="14"/>
  <c r="D22" i="5"/>
  <c r="AB72" i="13"/>
  <c r="AB77" i="13" s="1"/>
  <c r="AB146" i="13" s="1"/>
  <c r="T74" i="10"/>
  <c r="P74" i="10"/>
  <c r="V139" i="10"/>
  <c r="Q74" i="7"/>
  <c r="Z144" i="7"/>
  <c r="V75" i="13"/>
  <c r="F74" i="8"/>
  <c r="X74" i="11"/>
  <c r="V73" i="12"/>
  <c r="V142" i="12" s="1"/>
  <c r="C24" i="5"/>
  <c r="T73" i="13"/>
  <c r="T142" i="13" s="1"/>
  <c r="Y76" i="11"/>
  <c r="Y145" i="11" s="1"/>
  <c r="Q76" i="11"/>
  <c r="Q145" i="11" s="1"/>
  <c r="T75" i="7"/>
  <c r="D144" i="8"/>
  <c r="R75" i="6"/>
  <c r="T76" i="11"/>
  <c r="T145" i="11" s="1"/>
  <c r="AB76" i="7"/>
  <c r="AB145" i="7" s="1"/>
  <c r="AB140" i="10"/>
  <c r="Y73" i="13"/>
  <c r="Y142" i="13" s="1"/>
  <c r="J75" i="13"/>
  <c r="H73" i="13"/>
  <c r="H142" i="13" s="1"/>
  <c r="Z77" i="10"/>
  <c r="Z146" i="10" s="1"/>
  <c r="S140" i="11"/>
  <c r="R18" i="14"/>
  <c r="R16" i="14"/>
  <c r="R17" i="14" s="1"/>
  <c r="V139" i="7"/>
  <c r="V75" i="7"/>
  <c r="V79" i="7" s="1"/>
  <c r="V148" i="7" s="1"/>
  <c r="C68" i="8"/>
  <c r="AC68" i="8" s="1"/>
  <c r="F22" i="5"/>
  <c r="V75" i="9"/>
  <c r="K75" i="13"/>
  <c r="P74" i="11"/>
  <c r="X72" i="11"/>
  <c r="X141" i="11" s="1"/>
  <c r="V75" i="10"/>
  <c r="Q75" i="11"/>
  <c r="F76" i="8"/>
  <c r="F145" i="8" s="1"/>
  <c r="V74" i="12"/>
  <c r="S74" i="12"/>
  <c r="R138" i="9"/>
  <c r="R74" i="9"/>
  <c r="R78" i="9" s="1"/>
  <c r="W76" i="12"/>
  <c r="W145" i="12" s="1"/>
  <c r="P76" i="10"/>
  <c r="P145" i="10" s="1"/>
  <c r="W74" i="8"/>
  <c r="X75" i="12"/>
  <c r="Z76" i="11"/>
  <c r="Z145" i="11" s="1"/>
  <c r="AB74" i="13"/>
  <c r="X78" i="9"/>
  <c r="Z75" i="10"/>
  <c r="Z139" i="8"/>
  <c r="Z75" i="8"/>
  <c r="N18" i="14"/>
  <c r="N16" i="14"/>
  <c r="N17" i="14" s="1"/>
  <c r="AA143" i="8"/>
  <c r="T138" i="13"/>
  <c r="R25" i="14"/>
  <c r="R23" i="14"/>
  <c r="R24" i="14" s="1"/>
  <c r="E22" i="5"/>
  <c r="R77" i="9"/>
  <c r="R146" i="9" s="1"/>
  <c r="AB73" i="8"/>
  <c r="AB142" i="8" s="1"/>
  <c r="X143" i="13"/>
  <c r="S75" i="8"/>
  <c r="U138" i="12"/>
  <c r="U77" i="12"/>
  <c r="U146" i="12" s="1"/>
  <c r="M75" i="13"/>
  <c r="X144" i="7"/>
  <c r="X86" i="7"/>
  <c r="S138" i="13"/>
  <c r="S76" i="13"/>
  <c r="S145" i="13" s="1"/>
  <c r="S74" i="13"/>
  <c r="T73" i="10"/>
  <c r="T75" i="13"/>
  <c r="M138" i="13"/>
  <c r="M73" i="13"/>
  <c r="W143" i="9"/>
  <c r="W83" i="9"/>
  <c r="C69" i="8"/>
  <c r="AC69" i="8" s="1"/>
  <c r="Q25" i="14"/>
  <c r="Q23" i="14"/>
  <c r="Q24" i="14" s="1"/>
  <c r="AB75" i="8"/>
  <c r="Z76" i="6"/>
  <c r="Z143" i="13"/>
  <c r="P75" i="11"/>
  <c r="Q138" i="10"/>
  <c r="Q75" i="10"/>
  <c r="R140" i="10"/>
  <c r="S138" i="10"/>
  <c r="S73" i="10"/>
  <c r="X76" i="12"/>
  <c r="X145" i="12" s="1"/>
  <c r="F73" i="8"/>
  <c r="X77" i="13"/>
  <c r="R77" i="7"/>
  <c r="X80" i="7"/>
  <c r="X149" i="7" s="1"/>
  <c r="S75" i="13"/>
  <c r="AB75" i="9"/>
  <c r="Y77" i="9"/>
  <c r="Y146" i="9" s="1"/>
  <c r="AB75" i="13"/>
  <c r="C70" i="8"/>
  <c r="AC70" i="8" s="1"/>
  <c r="V143" i="6"/>
  <c r="X137" i="6"/>
  <c r="W75" i="13"/>
  <c r="T76" i="9"/>
  <c r="V77" i="8"/>
  <c r="V146" i="8" s="1"/>
  <c r="R77" i="10"/>
  <c r="R146" i="10" s="1"/>
  <c r="AB78" i="12"/>
  <c r="AA76" i="9"/>
  <c r="AA145" i="9" s="1"/>
  <c r="P138" i="9"/>
  <c r="P75" i="9"/>
  <c r="P73" i="9"/>
  <c r="Y138" i="8"/>
  <c r="Y76" i="8"/>
  <c r="Y73" i="8"/>
  <c r="Y142" i="8" s="1"/>
  <c r="Y74" i="8"/>
  <c r="P143" i="8"/>
  <c r="O139" i="8"/>
  <c r="O74" i="8"/>
  <c r="O76" i="8"/>
  <c r="O145" i="8" s="1"/>
  <c r="Z76" i="10"/>
  <c r="Z145" i="10" s="1"/>
  <c r="R77" i="8"/>
  <c r="R146" i="8" s="1"/>
  <c r="X138" i="8"/>
  <c r="X74" i="8"/>
  <c r="X73" i="8"/>
  <c r="X77" i="8" s="1"/>
  <c r="X146" i="8" s="1"/>
  <c r="Y75" i="8"/>
  <c r="K83" i="8"/>
  <c r="K143" i="8"/>
  <c r="Q138" i="6"/>
  <c r="Q73" i="6"/>
  <c r="Q142" i="6" s="1"/>
  <c r="Q76" i="6"/>
  <c r="Q145" i="6" s="1"/>
  <c r="U72" i="11"/>
  <c r="U76" i="11" s="1"/>
  <c r="Y75" i="7"/>
  <c r="S75" i="9"/>
  <c r="Q77" i="9"/>
  <c r="Q146" i="9" s="1"/>
  <c r="AA137" i="7"/>
  <c r="AA75" i="7"/>
  <c r="Q76" i="10"/>
  <c r="Q145" i="10" s="1"/>
  <c r="H74" i="8"/>
  <c r="S73" i="8"/>
  <c r="S142" i="8" s="1"/>
  <c r="R78" i="7"/>
  <c r="AA76" i="10"/>
  <c r="AA145" i="10" s="1"/>
  <c r="AB137" i="9"/>
  <c r="P76" i="12"/>
  <c r="P145" i="12" s="1"/>
  <c r="Q79" i="12"/>
  <c r="Q148" i="12" s="1"/>
  <c r="P86" i="6"/>
  <c r="P144" i="6"/>
  <c r="X74" i="12"/>
  <c r="C133" i="8"/>
  <c r="V143" i="8"/>
  <c r="T79" i="6"/>
  <c r="T148" i="6" s="1"/>
  <c r="S76" i="12"/>
  <c r="S145" i="12" s="1"/>
  <c r="U78" i="9"/>
  <c r="U73" i="11"/>
  <c r="U142" i="11" s="1"/>
  <c r="Q143" i="13"/>
  <c r="T144" i="6"/>
  <c r="T86" i="6"/>
  <c r="P76" i="9"/>
  <c r="P145" i="9" s="1"/>
  <c r="S75" i="7"/>
  <c r="AB76" i="12"/>
  <c r="AB145" i="12" s="1"/>
  <c r="R75" i="9"/>
  <c r="Q78" i="9"/>
  <c r="U139" i="13"/>
  <c r="U76" i="13"/>
  <c r="U145" i="13" s="1"/>
  <c r="U78" i="13"/>
  <c r="Q74" i="10"/>
  <c r="X76" i="13"/>
  <c r="X145" i="13" s="1"/>
  <c r="D147" i="8"/>
  <c r="AA75" i="13"/>
  <c r="AB72" i="9"/>
  <c r="AA76" i="6"/>
  <c r="AA145" i="6" s="1"/>
  <c r="Q73" i="8"/>
  <c r="Q142" i="8" s="1"/>
  <c r="W143" i="13"/>
  <c r="AB143" i="7"/>
  <c r="AB74" i="11"/>
  <c r="S138" i="12"/>
  <c r="S73" i="12"/>
  <c r="U75" i="9"/>
  <c r="U79" i="9" s="1"/>
  <c r="V78" i="10"/>
  <c r="O144" i="8"/>
  <c r="O86" i="8"/>
  <c r="X143" i="10"/>
  <c r="AB75" i="6"/>
  <c r="Z74" i="8"/>
  <c r="R77" i="13"/>
  <c r="R146" i="13" s="1"/>
  <c r="AB77" i="12"/>
  <c r="AB146" i="12" s="1"/>
  <c r="Q74" i="6"/>
  <c r="U75" i="11"/>
  <c r="E25" i="5"/>
  <c r="U138" i="6"/>
  <c r="U75" i="6"/>
  <c r="U76" i="6"/>
  <c r="U145" i="6" s="1"/>
  <c r="U73" i="6"/>
  <c r="X137" i="10"/>
  <c r="X75" i="10"/>
  <c r="V138" i="9"/>
  <c r="V74" i="9"/>
  <c r="W83" i="10"/>
  <c r="G75" i="8"/>
  <c r="Y144" i="10"/>
  <c r="Y86" i="10"/>
  <c r="Q139" i="9"/>
  <c r="Y78" i="9"/>
  <c r="W144" i="11"/>
  <c r="W86" i="11"/>
  <c r="R78" i="10"/>
  <c r="Z72" i="9"/>
  <c r="Z74" i="6"/>
  <c r="Z78" i="6" s="1"/>
  <c r="H72" i="8"/>
  <c r="X75" i="13"/>
  <c r="X79" i="13" s="1"/>
  <c r="X148" i="13" s="1"/>
  <c r="S137" i="8"/>
  <c r="Y75" i="13"/>
  <c r="AA138" i="10"/>
  <c r="X76" i="9"/>
  <c r="X145" i="9" s="1"/>
  <c r="Q78" i="12"/>
  <c r="P139" i="6"/>
  <c r="W138" i="12"/>
  <c r="W75" i="12"/>
  <c r="K76" i="13"/>
  <c r="W137" i="6"/>
  <c r="U77" i="9"/>
  <c r="U146" i="9" s="1"/>
  <c r="Z74" i="11"/>
  <c r="R75" i="10"/>
  <c r="U137" i="11"/>
  <c r="R138" i="8"/>
  <c r="R74" i="8"/>
  <c r="F5" i="9"/>
  <c r="E26" i="5"/>
  <c r="C9" i="9"/>
  <c r="L78" i="8"/>
  <c r="P144" i="7"/>
  <c r="P86" i="7"/>
  <c r="S76" i="6"/>
  <c r="U25" i="14"/>
  <c r="U23" i="14"/>
  <c r="U24" i="14" s="1"/>
  <c r="X76" i="10"/>
  <c r="X145" i="10" s="1"/>
  <c r="N25" i="14"/>
  <c r="N23" i="14"/>
  <c r="N24" i="14" s="1"/>
  <c r="X76" i="8"/>
  <c r="AB76" i="8"/>
  <c r="AB145" i="8" s="1"/>
  <c r="U138" i="7"/>
  <c r="R75" i="8"/>
  <c r="D145" i="8"/>
  <c r="P75" i="8"/>
  <c r="L75" i="8"/>
  <c r="U137" i="10"/>
  <c r="U73" i="10"/>
  <c r="T75" i="10"/>
  <c r="Z139" i="13"/>
  <c r="Z78" i="13"/>
  <c r="Q75" i="9"/>
  <c r="S74" i="9"/>
  <c r="AA73" i="7"/>
  <c r="AA142" i="7" s="1"/>
  <c r="F75" i="8"/>
  <c r="R143" i="13"/>
  <c r="AA75" i="10"/>
  <c r="T76" i="8"/>
  <c r="T145" i="8" s="1"/>
  <c r="AA144" i="6"/>
  <c r="AA86" i="6"/>
  <c r="T77" i="11"/>
  <c r="T146" i="11" s="1"/>
  <c r="T77" i="7"/>
  <c r="T146" i="7" s="1"/>
  <c r="W140" i="9"/>
  <c r="AB77" i="7"/>
  <c r="AB146" i="7" s="1"/>
  <c r="W77" i="8"/>
  <c r="W146" i="8" s="1"/>
  <c r="V76" i="8"/>
  <c r="T72" i="10"/>
  <c r="I77" i="13"/>
  <c r="I146" i="13" s="1"/>
  <c r="Q143" i="9"/>
  <c r="H137" i="8"/>
  <c r="H75" i="8"/>
  <c r="H73" i="8"/>
  <c r="H142" i="8" s="1"/>
  <c r="R74" i="12"/>
  <c r="Y143" i="9"/>
  <c r="AB137" i="13"/>
  <c r="AA137" i="13"/>
  <c r="N86" i="8"/>
  <c r="N144" i="8"/>
  <c r="W141" i="10"/>
  <c r="P140" i="12"/>
  <c r="P75" i="12"/>
  <c r="L138" i="13"/>
  <c r="P73" i="10"/>
  <c r="P142" i="10" s="1"/>
  <c r="S143" i="11"/>
  <c r="Y76" i="10"/>
  <c r="X74" i="6"/>
  <c r="W75" i="6"/>
  <c r="W81" i="11"/>
  <c r="Z73" i="11"/>
  <c r="Z77" i="13"/>
  <c r="Z146" i="13" s="1"/>
  <c r="U142" i="8"/>
  <c r="U77" i="8"/>
  <c r="U146" i="8" s="1"/>
  <c r="Z140" i="12"/>
  <c r="Z77" i="12"/>
  <c r="P138" i="11"/>
  <c r="P73" i="11"/>
  <c r="P142" i="11" s="1"/>
  <c r="P76" i="11"/>
  <c r="P145" i="11" s="1"/>
  <c r="S73" i="9"/>
  <c r="S142" i="9" s="1"/>
  <c r="J72" i="8"/>
  <c r="Y139" i="9"/>
  <c r="Y76" i="9"/>
  <c r="Y145" i="9" s="1"/>
  <c r="V73" i="13"/>
  <c r="V142" i="13" s="1"/>
  <c r="V74" i="13"/>
  <c r="R75" i="11"/>
  <c r="I24" i="5"/>
  <c r="X139" i="9"/>
  <c r="X77" i="9"/>
  <c r="D143" i="8"/>
  <c r="D83" i="8"/>
  <c r="L75" i="13"/>
  <c r="T75" i="12"/>
  <c r="T143" i="7"/>
  <c r="T83" i="7"/>
  <c r="Z74" i="9"/>
  <c r="T137" i="12"/>
  <c r="T72" i="12"/>
  <c r="W76" i="8"/>
  <c r="W145" i="8" s="1"/>
  <c r="W73" i="6"/>
  <c r="W83" i="11"/>
  <c r="W144" i="7"/>
  <c r="W86" i="7"/>
  <c r="U18" i="14"/>
  <c r="U16" i="14"/>
  <c r="U17" i="14" s="1"/>
  <c r="V143" i="7"/>
  <c r="Z139" i="10"/>
  <c r="Z74" i="10"/>
  <c r="Z78" i="10" s="1"/>
  <c r="S25" i="14"/>
  <c r="S23" i="14"/>
  <c r="S24" i="14" s="1"/>
  <c r="C134" i="8"/>
  <c r="T74" i="13"/>
  <c r="R73" i="12"/>
  <c r="R142" i="12" s="1"/>
  <c r="V77" i="10"/>
  <c r="V146" i="10" s="1"/>
  <c r="Y142" i="12"/>
  <c r="Y78" i="12"/>
  <c r="S74" i="10"/>
  <c r="H75" i="13"/>
  <c r="J73" i="8"/>
  <c r="J142" i="8" s="1"/>
  <c r="R76" i="10"/>
  <c r="R145" i="10" s="1"/>
  <c r="Z137" i="9"/>
  <c r="Z73" i="9"/>
  <c r="Z142" i="9" s="1"/>
  <c r="R74" i="11"/>
  <c r="R78" i="11" s="1"/>
  <c r="H24" i="5"/>
  <c r="AA72" i="13"/>
  <c r="E20" i="14"/>
  <c r="X75" i="9"/>
  <c r="W76" i="13"/>
  <c r="W145" i="13" s="1"/>
  <c r="E75" i="8"/>
  <c r="T74" i="8"/>
  <c r="AB73" i="9"/>
  <c r="AB142" i="9" s="1"/>
  <c r="AA139" i="6"/>
  <c r="AA74" i="6"/>
  <c r="D142" i="8"/>
  <c r="P77" i="12"/>
  <c r="P146" i="12" s="1"/>
  <c r="T78" i="7"/>
  <c r="U75" i="13"/>
  <c r="W75" i="8"/>
  <c r="X138" i="12"/>
  <c r="Q75" i="13"/>
  <c r="S74" i="8"/>
  <c r="Z75" i="6"/>
  <c r="S75" i="11"/>
  <c r="Y137" i="13"/>
  <c r="Y74" i="13"/>
  <c r="Y76" i="13"/>
  <c r="Y145" i="13" s="1"/>
  <c r="T25" i="14"/>
  <c r="T23" i="14"/>
  <c r="T24" i="14" s="1"/>
  <c r="S138" i="7"/>
  <c r="S73" i="7"/>
  <c r="S142" i="7" s="1"/>
  <c r="S74" i="7"/>
  <c r="AB76" i="6"/>
  <c r="AB145" i="6" s="1"/>
  <c r="S77" i="6"/>
  <c r="S146" i="6" s="1"/>
  <c r="O141" i="13"/>
  <c r="O76" i="13"/>
  <c r="H137" i="13"/>
  <c r="O144" i="13"/>
  <c r="O86" i="13"/>
  <c r="H72" i="13"/>
  <c r="H141" i="13" s="1"/>
  <c r="H34" i="16"/>
  <c r="V147" i="8"/>
  <c r="V143" i="11"/>
  <c r="Y75" i="9"/>
  <c r="Q74" i="11"/>
  <c r="Q78" i="11" s="1"/>
  <c r="AA143" i="13"/>
  <c r="Q75" i="6"/>
  <c r="R76" i="11"/>
  <c r="R145" i="11" s="1"/>
  <c r="L76" i="13"/>
  <c r="P137" i="10"/>
  <c r="AA73" i="11"/>
  <c r="AA142" i="11" s="1"/>
  <c r="T73" i="12"/>
  <c r="M35" i="16" l="1"/>
  <c r="W147" i="13"/>
  <c r="G143" i="8"/>
  <c r="O77" i="13"/>
  <c r="O146" i="13" s="1"/>
  <c r="Q83" i="12"/>
  <c r="Y78" i="7"/>
  <c r="Y83" i="10"/>
  <c r="I143" i="13"/>
  <c r="P143" i="13"/>
  <c r="D4" i="14"/>
  <c r="S83" i="11"/>
  <c r="P79" i="12"/>
  <c r="P148" i="12" s="1"/>
  <c r="Q80" i="12"/>
  <c r="Q149" i="12" s="1"/>
  <c r="P78" i="13"/>
  <c r="P147" i="13" s="1"/>
  <c r="P150" i="13" s="1"/>
  <c r="W16" i="16" s="1"/>
  <c r="N78" i="13"/>
  <c r="V144" i="6"/>
  <c r="I83" i="13"/>
  <c r="P144" i="13"/>
  <c r="P79" i="7"/>
  <c r="P148" i="7" s="1"/>
  <c r="T83" i="9"/>
  <c r="T143" i="11"/>
  <c r="N77" i="13"/>
  <c r="N146" i="13" s="1"/>
  <c r="T78" i="9"/>
  <c r="Y77" i="7"/>
  <c r="Y146" i="7" s="1"/>
  <c r="Y78" i="10"/>
  <c r="Q80" i="13"/>
  <c r="Q149" i="13" s="1"/>
  <c r="P78" i="12"/>
  <c r="X77" i="6"/>
  <c r="X146" i="6" s="1"/>
  <c r="X143" i="7"/>
  <c r="R79" i="7"/>
  <c r="R148" i="7" s="1"/>
  <c r="Y143" i="10"/>
  <c r="W76" i="6"/>
  <c r="W83" i="6" s="1"/>
  <c r="W81" i="9"/>
  <c r="Q144" i="8"/>
  <c r="Y86" i="6"/>
  <c r="L83" i="13"/>
  <c r="I79" i="8"/>
  <c r="I148" i="8" s="1"/>
  <c r="P77" i="6"/>
  <c r="P146" i="6" s="1"/>
  <c r="I77" i="8"/>
  <c r="Q83" i="9"/>
  <c r="V76" i="9"/>
  <c r="V145" i="9" s="1"/>
  <c r="I79" i="13"/>
  <c r="I148" i="13" s="1"/>
  <c r="AA77" i="9"/>
  <c r="AA146" i="9" s="1"/>
  <c r="V83" i="6"/>
  <c r="I80" i="8"/>
  <c r="I149" i="8" s="1"/>
  <c r="M80" i="8"/>
  <c r="M149" i="8" s="1"/>
  <c r="V144" i="8"/>
  <c r="V86" i="8"/>
  <c r="V91" i="8" s="1"/>
  <c r="V86" i="6"/>
  <c r="V108" i="6" s="1"/>
  <c r="I78" i="8"/>
  <c r="V83" i="11"/>
  <c r="V78" i="7"/>
  <c r="AA77" i="12"/>
  <c r="AA146" i="12" s="1"/>
  <c r="F34" i="16"/>
  <c r="L78" i="13"/>
  <c r="M24" i="16" s="1"/>
  <c r="AB77" i="10"/>
  <c r="AB146" i="10" s="1"/>
  <c r="AB86" i="10"/>
  <c r="AB95" i="10" s="1"/>
  <c r="P77" i="7"/>
  <c r="P146" i="7" s="1"/>
  <c r="P78" i="7"/>
  <c r="G28" i="16" s="1"/>
  <c r="K35" i="16"/>
  <c r="Q83" i="13"/>
  <c r="R86" i="7"/>
  <c r="R104" i="7" s="1"/>
  <c r="W144" i="9"/>
  <c r="W150" i="9" s="1"/>
  <c r="K31" i="16"/>
  <c r="AB86" i="11"/>
  <c r="AB112" i="11" s="1"/>
  <c r="X83" i="7"/>
  <c r="J83" i="13"/>
  <c r="S76" i="9"/>
  <c r="S145" i="9" s="1"/>
  <c r="Z80" i="13"/>
  <c r="Z149" i="13" s="1"/>
  <c r="N86" i="13"/>
  <c r="N83" i="8"/>
  <c r="U86" i="7"/>
  <c r="U103" i="7" s="1"/>
  <c r="V81" i="6"/>
  <c r="D86" i="8"/>
  <c r="X86" i="8"/>
  <c r="M83" i="8"/>
  <c r="S77" i="11"/>
  <c r="S146" i="11" s="1"/>
  <c r="Q86" i="12"/>
  <c r="X78" i="7"/>
  <c r="Y81" i="12"/>
  <c r="M29" i="16"/>
  <c r="T80" i="7"/>
  <c r="T149" i="7" s="1"/>
  <c r="P79" i="6"/>
  <c r="P148" i="6" s="1"/>
  <c r="X81" i="7"/>
  <c r="K79" i="8"/>
  <c r="K148" i="8" s="1"/>
  <c r="Y86" i="12"/>
  <c r="Y107" i="12" s="1"/>
  <c r="W77" i="12"/>
  <c r="W146" i="12" s="1"/>
  <c r="U83" i="12"/>
  <c r="P77" i="8"/>
  <c r="P146" i="8" s="1"/>
  <c r="Q81" i="12"/>
  <c r="Q82" i="12" s="1"/>
  <c r="Q84" i="12" s="1"/>
  <c r="V81" i="8"/>
  <c r="W86" i="9"/>
  <c r="W93" i="9" s="1"/>
  <c r="V80" i="6"/>
  <c r="V149" i="6" s="1"/>
  <c r="V150" i="6" s="1"/>
  <c r="W80" i="10"/>
  <c r="W149" i="10" s="1"/>
  <c r="P147" i="6"/>
  <c r="Z144" i="13"/>
  <c r="Z86" i="13"/>
  <c r="T79" i="9"/>
  <c r="T148" i="9" s="1"/>
  <c r="W78" i="12"/>
  <c r="W147" i="9"/>
  <c r="V76" i="7"/>
  <c r="V80" i="7" s="1"/>
  <c r="V149" i="7" s="1"/>
  <c r="O80" i="13"/>
  <c r="O149" i="13" s="1"/>
  <c r="U143" i="12"/>
  <c r="Y77" i="11"/>
  <c r="Y146" i="11" s="1"/>
  <c r="H17" i="16"/>
  <c r="W79" i="10"/>
  <c r="W148" i="10" s="1"/>
  <c r="S80" i="8"/>
  <c r="S149" i="8" s="1"/>
  <c r="AA86" i="12"/>
  <c r="Y78" i="11"/>
  <c r="U78" i="12"/>
  <c r="N77" i="8"/>
  <c r="N146" i="8" s="1"/>
  <c r="U80" i="12"/>
  <c r="U149" i="12" s="1"/>
  <c r="T80" i="6"/>
  <c r="T149" i="6" s="1"/>
  <c r="T86" i="11"/>
  <c r="T111" i="11" s="1"/>
  <c r="T79" i="11"/>
  <c r="T148" i="11" s="1"/>
  <c r="O79" i="13"/>
  <c r="O148" i="13" s="1"/>
  <c r="W79" i="8"/>
  <c r="W148" i="8" s="1"/>
  <c r="W79" i="12"/>
  <c r="W148" i="12" s="1"/>
  <c r="P78" i="8"/>
  <c r="P147" i="8" s="1"/>
  <c r="U78" i="7"/>
  <c r="R80" i="7"/>
  <c r="R149" i="7" s="1"/>
  <c r="R83" i="7"/>
  <c r="N79" i="8"/>
  <c r="N148" i="8" s="1"/>
  <c r="N78" i="8"/>
  <c r="N147" i="8" s="1"/>
  <c r="N150" i="8" s="1"/>
  <c r="R14" i="16" s="1"/>
  <c r="AB76" i="11"/>
  <c r="AB145" i="11" s="1"/>
  <c r="E4" i="14"/>
  <c r="E9" i="14" s="1"/>
  <c r="F6" i="16" s="1"/>
  <c r="M78" i="8"/>
  <c r="M147" i="8" s="1"/>
  <c r="Q80" i="9"/>
  <c r="Q149" i="9" s="1"/>
  <c r="W80" i="7"/>
  <c r="W149" i="7" s="1"/>
  <c r="AA78" i="6"/>
  <c r="AA147" i="6" s="1"/>
  <c r="AA77" i="6"/>
  <c r="AA146" i="6" s="1"/>
  <c r="J79" i="13"/>
  <c r="J148" i="13" s="1"/>
  <c r="X77" i="10"/>
  <c r="X146" i="10" s="1"/>
  <c r="N83" i="13"/>
  <c r="J143" i="13"/>
  <c r="N143" i="13"/>
  <c r="AA78" i="9"/>
  <c r="Y83" i="12"/>
  <c r="B30" i="5"/>
  <c r="P83" i="6"/>
  <c r="W147" i="11"/>
  <c r="AA78" i="13"/>
  <c r="Z83" i="13"/>
  <c r="H33" i="16"/>
  <c r="Y79" i="11"/>
  <c r="Y148" i="11" s="1"/>
  <c r="N79" i="13"/>
  <c r="N148" i="13" s="1"/>
  <c r="I144" i="13"/>
  <c r="I86" i="13"/>
  <c r="N80" i="13"/>
  <c r="N149" i="13" s="1"/>
  <c r="R76" i="12"/>
  <c r="R145" i="12" s="1"/>
  <c r="L77" i="13"/>
  <c r="L146" i="13" s="1"/>
  <c r="U86" i="8"/>
  <c r="U111" i="8" s="1"/>
  <c r="N80" i="8"/>
  <c r="N149" i="8" s="1"/>
  <c r="AB144" i="12"/>
  <c r="V80" i="11"/>
  <c r="V149" i="11" s="1"/>
  <c r="P81" i="6"/>
  <c r="T144" i="9"/>
  <c r="Q78" i="10"/>
  <c r="J29" i="16" s="1"/>
  <c r="Y79" i="7"/>
  <c r="Y148" i="7" s="1"/>
  <c r="M83" i="13"/>
  <c r="Z79" i="12"/>
  <c r="Z148" i="12" s="1"/>
  <c r="T83" i="6"/>
  <c r="W79" i="7"/>
  <c r="W148" i="7" s="1"/>
  <c r="Y80" i="12"/>
  <c r="Y149" i="12" s="1"/>
  <c r="U79" i="7"/>
  <c r="U148" i="7" s="1"/>
  <c r="AA80" i="12"/>
  <c r="AA149" i="12" s="1"/>
  <c r="W80" i="11"/>
  <c r="W149" i="11" s="1"/>
  <c r="Y78" i="13"/>
  <c r="Q80" i="8"/>
  <c r="Q149" i="8" s="1"/>
  <c r="S79" i="6"/>
  <c r="S148" i="6" s="1"/>
  <c r="Z79" i="7"/>
  <c r="Z148" i="7" s="1"/>
  <c r="U83" i="7"/>
  <c r="V77" i="12"/>
  <c r="Y86" i="11"/>
  <c r="Y144" i="11"/>
  <c r="AA143" i="10"/>
  <c r="S80" i="6"/>
  <c r="S149" i="6" s="1"/>
  <c r="U80" i="7"/>
  <c r="U149" i="7" s="1"/>
  <c r="U79" i="6"/>
  <c r="U148" i="6" s="1"/>
  <c r="R83" i="13"/>
  <c r="U83" i="11"/>
  <c r="G83" i="8"/>
  <c r="H21" i="16"/>
  <c r="H23" i="16"/>
  <c r="K147" i="8"/>
  <c r="C139" i="8"/>
  <c r="U77" i="7"/>
  <c r="U146" i="7" s="1"/>
  <c r="J39" i="16"/>
  <c r="K80" i="8"/>
  <c r="K149" i="8" s="1"/>
  <c r="U76" i="10"/>
  <c r="U145" i="10" s="1"/>
  <c r="J86" i="8"/>
  <c r="J107" i="8" s="1"/>
  <c r="Z83" i="12"/>
  <c r="O78" i="13"/>
  <c r="Q79" i="9"/>
  <c r="Q148" i="9" s="1"/>
  <c r="Y77" i="13"/>
  <c r="Y146" i="13" s="1"/>
  <c r="Q79" i="10"/>
  <c r="Q148" i="10" s="1"/>
  <c r="P80" i="7"/>
  <c r="P149" i="7" s="1"/>
  <c r="O80" i="8"/>
  <c r="O149" i="8" s="1"/>
  <c r="Z83" i="7"/>
  <c r="W86" i="10"/>
  <c r="W144" i="10"/>
  <c r="Q81" i="9"/>
  <c r="V80" i="10"/>
  <c r="V149" i="10" s="1"/>
  <c r="I147" i="8"/>
  <c r="W142" i="7"/>
  <c r="W78" i="7"/>
  <c r="W77" i="7"/>
  <c r="B27" i="5"/>
  <c r="J147" i="13"/>
  <c r="M22" i="16"/>
  <c r="K34" i="16"/>
  <c r="J4" i="14"/>
  <c r="J80" i="13"/>
  <c r="J149" i="13" s="1"/>
  <c r="S79" i="13"/>
  <c r="S148" i="13" s="1"/>
  <c r="AA78" i="12"/>
  <c r="L39" i="16" s="1"/>
  <c r="V80" i="9"/>
  <c r="V149" i="9" s="1"/>
  <c r="P83" i="13"/>
  <c r="K78" i="13"/>
  <c r="K142" i="8"/>
  <c r="K77" i="8"/>
  <c r="P81" i="13"/>
  <c r="AA76" i="13"/>
  <c r="AA145" i="13" s="1"/>
  <c r="N81" i="13"/>
  <c r="R81" i="6"/>
  <c r="E80" i="8"/>
  <c r="E149" i="8" s="1"/>
  <c r="P80" i="13"/>
  <c r="P149" i="13" s="1"/>
  <c r="U79" i="8"/>
  <c r="U148" i="8" s="1"/>
  <c r="U143" i="8"/>
  <c r="AA79" i="12"/>
  <c r="AA148" i="12" s="1"/>
  <c r="U83" i="8"/>
  <c r="U80" i="8"/>
  <c r="U149" i="8" s="1"/>
  <c r="Q80" i="7"/>
  <c r="Q149" i="7" s="1"/>
  <c r="S78" i="13"/>
  <c r="W80" i="9"/>
  <c r="W149" i="9" s="1"/>
  <c r="Y79" i="6"/>
  <c r="Y148" i="6" s="1"/>
  <c r="L83" i="8"/>
  <c r="AB78" i="13"/>
  <c r="M40" i="16" s="1"/>
  <c r="AA83" i="12"/>
  <c r="S78" i="6"/>
  <c r="F31" i="16" s="1"/>
  <c r="R79" i="6"/>
  <c r="R148" i="6" s="1"/>
  <c r="R80" i="6"/>
  <c r="R149" i="6" s="1"/>
  <c r="T83" i="11"/>
  <c r="AA143" i="12"/>
  <c r="V81" i="11"/>
  <c r="W81" i="10"/>
  <c r="AB77" i="8"/>
  <c r="AB146" i="8" s="1"/>
  <c r="Y81" i="10"/>
  <c r="V76" i="13"/>
  <c r="V83" i="13" s="1"/>
  <c r="U147" i="8"/>
  <c r="F32" i="16"/>
  <c r="J81" i="13"/>
  <c r="Z79" i="11"/>
  <c r="Z148" i="11" s="1"/>
  <c r="Y76" i="6"/>
  <c r="K77" i="13"/>
  <c r="K146" i="13" s="1"/>
  <c r="R80" i="8"/>
  <c r="R149" i="8" s="1"/>
  <c r="H79" i="13"/>
  <c r="H148" i="13" s="1"/>
  <c r="C138" i="8"/>
  <c r="T81" i="8"/>
  <c r="K79" i="13"/>
  <c r="K148" i="13" s="1"/>
  <c r="Q77" i="10"/>
  <c r="Q146" i="10" s="1"/>
  <c r="T80" i="11"/>
  <c r="T149" i="11" s="1"/>
  <c r="U86" i="10"/>
  <c r="U99" i="10" s="1"/>
  <c r="R80" i="13"/>
  <c r="R149" i="13" s="1"/>
  <c r="Y77" i="6"/>
  <c r="Y146" i="6" s="1"/>
  <c r="AA80" i="10"/>
  <c r="AA149" i="10" s="1"/>
  <c r="C72" i="8"/>
  <c r="AC72" i="8" s="1"/>
  <c r="O81" i="8"/>
  <c r="Y78" i="6"/>
  <c r="AA83" i="10"/>
  <c r="V78" i="13"/>
  <c r="M34" i="16" s="1"/>
  <c r="O79" i="8"/>
  <c r="O148" i="8" s="1"/>
  <c r="V83" i="10"/>
  <c r="O78" i="8"/>
  <c r="H27" i="16" s="1"/>
  <c r="R81" i="10"/>
  <c r="Q79" i="6"/>
  <c r="Q148" i="6" s="1"/>
  <c r="F79" i="8"/>
  <c r="F148" i="8" s="1"/>
  <c r="M142" i="8"/>
  <c r="M77" i="8"/>
  <c r="M79" i="8"/>
  <c r="M148" i="8" s="1"/>
  <c r="R83" i="10"/>
  <c r="T79" i="10"/>
  <c r="T148" i="10" s="1"/>
  <c r="AB141" i="10"/>
  <c r="AB76" i="10"/>
  <c r="AB81" i="10" s="1"/>
  <c r="X81" i="6"/>
  <c r="AB79" i="13"/>
  <c r="AB148" i="13" s="1"/>
  <c r="AB78" i="10"/>
  <c r="T142" i="6"/>
  <c r="T77" i="6"/>
  <c r="Q86" i="7"/>
  <c r="Q101" i="7" s="1"/>
  <c r="Y80" i="7"/>
  <c r="Y149" i="7" s="1"/>
  <c r="Y79" i="12"/>
  <c r="Y148" i="12" s="1"/>
  <c r="P83" i="7"/>
  <c r="Q80" i="10"/>
  <c r="Q149" i="10" s="1"/>
  <c r="V78" i="12"/>
  <c r="V147" i="12" s="1"/>
  <c r="Q81" i="7"/>
  <c r="AA79" i="10"/>
  <c r="AA148" i="10" s="1"/>
  <c r="S81" i="13"/>
  <c r="R80" i="11"/>
  <c r="R149" i="11" s="1"/>
  <c r="C74" i="8"/>
  <c r="AC74" i="8" s="1"/>
  <c r="U83" i="9"/>
  <c r="AA79" i="8"/>
  <c r="AA148" i="8" s="1"/>
  <c r="AB79" i="10"/>
  <c r="AB148" i="10" s="1"/>
  <c r="AA80" i="8"/>
  <c r="AA149" i="8" s="1"/>
  <c r="Q79" i="7"/>
  <c r="Q148" i="7" s="1"/>
  <c r="Z81" i="13"/>
  <c r="Z82" i="13" s="1"/>
  <c r="Q77" i="6"/>
  <c r="Q146" i="6" s="1"/>
  <c r="K54" i="6"/>
  <c r="K123" i="6" s="1"/>
  <c r="E53" i="6"/>
  <c r="E122" i="6" s="1"/>
  <c r="O52" i="6"/>
  <c r="J54" i="6"/>
  <c r="J123" i="6" s="1"/>
  <c r="D53" i="6"/>
  <c r="N52" i="6"/>
  <c r="O55" i="6"/>
  <c r="O124" i="6" s="1"/>
  <c r="I54" i="6"/>
  <c r="I123" i="6" s="1"/>
  <c r="M52" i="6"/>
  <c r="N55" i="6"/>
  <c r="N124" i="6" s="1"/>
  <c r="H54" i="6"/>
  <c r="H123" i="6" s="1"/>
  <c r="L52" i="6"/>
  <c r="M55" i="6"/>
  <c r="M124" i="6" s="1"/>
  <c r="G54" i="6"/>
  <c r="G123" i="6" s="1"/>
  <c r="K52" i="6"/>
  <c r="L55" i="6"/>
  <c r="L124" i="6" s="1"/>
  <c r="F54" i="6"/>
  <c r="F123" i="6" s="1"/>
  <c r="J52" i="6"/>
  <c r="K55" i="6"/>
  <c r="K124" i="6" s="1"/>
  <c r="E54" i="6"/>
  <c r="E123" i="6" s="1"/>
  <c r="O53" i="6"/>
  <c r="O122" i="6" s="1"/>
  <c r="I52" i="6"/>
  <c r="J55" i="6"/>
  <c r="J124" i="6" s="1"/>
  <c r="D54" i="6"/>
  <c r="N53" i="6"/>
  <c r="N122" i="6" s="1"/>
  <c r="H52" i="6"/>
  <c r="I55" i="6"/>
  <c r="I124" i="6" s="1"/>
  <c r="M53" i="6"/>
  <c r="M122" i="6" s="1"/>
  <c r="G52" i="6"/>
  <c r="H55" i="6"/>
  <c r="H124" i="6" s="1"/>
  <c r="L53" i="6"/>
  <c r="L122" i="6" s="1"/>
  <c r="F52" i="6"/>
  <c r="G55" i="6"/>
  <c r="G124" i="6" s="1"/>
  <c r="K53" i="6"/>
  <c r="K122" i="6" s="1"/>
  <c r="E52" i="6"/>
  <c r="F55" i="6"/>
  <c r="F124" i="6" s="1"/>
  <c r="J53" i="6"/>
  <c r="J122" i="6" s="1"/>
  <c r="D52" i="6"/>
  <c r="E55" i="6"/>
  <c r="E124" i="6" s="1"/>
  <c r="O54" i="6"/>
  <c r="O123" i="6" s="1"/>
  <c r="I53" i="6"/>
  <c r="I122" i="6" s="1"/>
  <c r="D55" i="6"/>
  <c r="N54" i="6"/>
  <c r="N123" i="6" s="1"/>
  <c r="H53" i="6"/>
  <c r="H122" i="6" s="1"/>
  <c r="M54" i="6"/>
  <c r="M123" i="6" s="1"/>
  <c r="G53" i="6"/>
  <c r="G122" i="6" s="1"/>
  <c r="L54" i="6"/>
  <c r="L123" i="6" s="1"/>
  <c r="F53" i="6"/>
  <c r="F122" i="6" s="1"/>
  <c r="V79" i="12"/>
  <c r="V148" i="12" s="1"/>
  <c r="AA76" i="7"/>
  <c r="Y78" i="8"/>
  <c r="Y147" i="8" s="1"/>
  <c r="Y80" i="11"/>
  <c r="Y149" i="11" s="1"/>
  <c r="Z80" i="12"/>
  <c r="Z149" i="12" s="1"/>
  <c r="R81" i="11"/>
  <c r="Z79" i="8"/>
  <c r="Z148" i="8" s="1"/>
  <c r="W81" i="13"/>
  <c r="T78" i="10"/>
  <c r="T147" i="10" s="1"/>
  <c r="F78" i="8"/>
  <c r="H18" i="16" s="1"/>
  <c r="H79" i="8"/>
  <c r="H148" i="8" s="1"/>
  <c r="T79" i="13"/>
  <c r="T148" i="13" s="1"/>
  <c r="Q80" i="11"/>
  <c r="Q149" i="11" s="1"/>
  <c r="U78" i="11"/>
  <c r="K33" i="16" s="1"/>
  <c r="N55" i="7"/>
  <c r="N124" i="7" s="1"/>
  <c r="H54" i="7"/>
  <c r="H123" i="7" s="1"/>
  <c r="L52" i="7"/>
  <c r="M55" i="7"/>
  <c r="M124" i="7" s="1"/>
  <c r="G54" i="7"/>
  <c r="G123" i="7" s="1"/>
  <c r="K52" i="7"/>
  <c r="L55" i="7"/>
  <c r="L124" i="7" s="1"/>
  <c r="F54" i="7"/>
  <c r="F123" i="7" s="1"/>
  <c r="J52" i="7"/>
  <c r="K55" i="7"/>
  <c r="K124" i="7" s="1"/>
  <c r="E54" i="7"/>
  <c r="E123" i="7" s="1"/>
  <c r="O53" i="7"/>
  <c r="O122" i="7" s="1"/>
  <c r="I52" i="7"/>
  <c r="J55" i="7"/>
  <c r="J124" i="7" s="1"/>
  <c r="D54" i="7"/>
  <c r="N53" i="7"/>
  <c r="N122" i="7" s="1"/>
  <c r="H52" i="7"/>
  <c r="I55" i="7"/>
  <c r="I124" i="7" s="1"/>
  <c r="M53" i="7"/>
  <c r="M122" i="7" s="1"/>
  <c r="G52" i="7"/>
  <c r="H55" i="7"/>
  <c r="H124" i="7" s="1"/>
  <c r="L53" i="7"/>
  <c r="L122" i="7" s="1"/>
  <c r="F52" i="7"/>
  <c r="G55" i="7"/>
  <c r="G124" i="7" s="1"/>
  <c r="K53" i="7"/>
  <c r="K122" i="7" s="1"/>
  <c r="E52" i="7"/>
  <c r="F55" i="7"/>
  <c r="F124" i="7" s="1"/>
  <c r="J53" i="7"/>
  <c r="J122" i="7" s="1"/>
  <c r="D52" i="7"/>
  <c r="E55" i="7"/>
  <c r="E124" i="7" s="1"/>
  <c r="O54" i="7"/>
  <c r="O123" i="7" s="1"/>
  <c r="I53" i="7"/>
  <c r="I122" i="7" s="1"/>
  <c r="D55" i="7"/>
  <c r="N54" i="7"/>
  <c r="N123" i="7" s="1"/>
  <c r="H53" i="7"/>
  <c r="H122" i="7" s="1"/>
  <c r="M54" i="7"/>
  <c r="M123" i="7" s="1"/>
  <c r="G53" i="7"/>
  <c r="G122" i="7" s="1"/>
  <c r="L54" i="7"/>
  <c r="L123" i="7" s="1"/>
  <c r="F53" i="7"/>
  <c r="F122" i="7" s="1"/>
  <c r="K54" i="7"/>
  <c r="K123" i="7" s="1"/>
  <c r="E53" i="7"/>
  <c r="E122" i="7" s="1"/>
  <c r="O52" i="7"/>
  <c r="J54" i="7"/>
  <c r="J123" i="7" s="1"/>
  <c r="D53" i="7"/>
  <c r="N52" i="7"/>
  <c r="O55" i="7"/>
  <c r="O124" i="7" s="1"/>
  <c r="I54" i="7"/>
  <c r="I123" i="7" s="1"/>
  <c r="M52" i="7"/>
  <c r="Q78" i="7"/>
  <c r="Z81" i="10"/>
  <c r="T79" i="12"/>
  <c r="T148" i="12" s="1"/>
  <c r="C137" i="8"/>
  <c r="M55" i="11"/>
  <c r="M124" i="11" s="1"/>
  <c r="G54" i="11"/>
  <c r="G123" i="11" s="1"/>
  <c r="K52" i="11"/>
  <c r="L55" i="11"/>
  <c r="L124" i="11" s="1"/>
  <c r="F54" i="11"/>
  <c r="F123" i="11" s="1"/>
  <c r="J52" i="11"/>
  <c r="K55" i="11"/>
  <c r="K124" i="11" s="1"/>
  <c r="E54" i="11"/>
  <c r="E123" i="11" s="1"/>
  <c r="O53" i="11"/>
  <c r="O122" i="11" s="1"/>
  <c r="I52" i="11"/>
  <c r="J55" i="11"/>
  <c r="J124" i="11" s="1"/>
  <c r="D54" i="11"/>
  <c r="N53" i="11"/>
  <c r="N122" i="11" s="1"/>
  <c r="H52" i="11"/>
  <c r="I55" i="11"/>
  <c r="I124" i="11" s="1"/>
  <c r="M53" i="11"/>
  <c r="M122" i="11" s="1"/>
  <c r="G52" i="11"/>
  <c r="H55" i="11"/>
  <c r="H124" i="11" s="1"/>
  <c r="L53" i="11"/>
  <c r="L122" i="11" s="1"/>
  <c r="F52" i="11"/>
  <c r="G55" i="11"/>
  <c r="G124" i="11" s="1"/>
  <c r="K53" i="11"/>
  <c r="K122" i="11" s="1"/>
  <c r="E52" i="11"/>
  <c r="F55" i="11"/>
  <c r="F124" i="11" s="1"/>
  <c r="J53" i="11"/>
  <c r="J122" i="11" s="1"/>
  <c r="D52" i="11"/>
  <c r="E55" i="11"/>
  <c r="E124" i="11" s="1"/>
  <c r="O54" i="11"/>
  <c r="O123" i="11" s="1"/>
  <c r="I53" i="11"/>
  <c r="I122" i="11" s="1"/>
  <c r="D55" i="11"/>
  <c r="N54" i="11"/>
  <c r="N123" i="11" s="1"/>
  <c r="H53" i="11"/>
  <c r="H122" i="11" s="1"/>
  <c r="M54" i="11"/>
  <c r="M123" i="11" s="1"/>
  <c r="G53" i="11"/>
  <c r="G122" i="11" s="1"/>
  <c r="L54" i="11"/>
  <c r="L123" i="11" s="1"/>
  <c r="F53" i="11"/>
  <c r="F122" i="11" s="1"/>
  <c r="K54" i="11"/>
  <c r="K123" i="11" s="1"/>
  <c r="E53" i="11"/>
  <c r="E122" i="11" s="1"/>
  <c r="O52" i="11"/>
  <c r="J54" i="11"/>
  <c r="J123" i="11" s="1"/>
  <c r="D53" i="11"/>
  <c r="N52" i="11"/>
  <c r="O55" i="11"/>
  <c r="O124" i="11" s="1"/>
  <c r="I54" i="11"/>
  <c r="I123" i="11" s="1"/>
  <c r="M52" i="11"/>
  <c r="N55" i="11"/>
  <c r="N124" i="11" s="1"/>
  <c r="H54" i="11"/>
  <c r="H123" i="11" s="1"/>
  <c r="L52" i="11"/>
  <c r="K54" i="10"/>
  <c r="K123" i="10" s="1"/>
  <c r="E53" i="10"/>
  <c r="E122" i="10" s="1"/>
  <c r="O52" i="10"/>
  <c r="J54" i="10"/>
  <c r="J123" i="10" s="1"/>
  <c r="D53" i="10"/>
  <c r="N52" i="10"/>
  <c r="O55" i="10"/>
  <c r="O124" i="10" s="1"/>
  <c r="I54" i="10"/>
  <c r="I123" i="10" s="1"/>
  <c r="M52" i="10"/>
  <c r="N55" i="10"/>
  <c r="N124" i="10" s="1"/>
  <c r="H54" i="10"/>
  <c r="H123" i="10" s="1"/>
  <c r="L52" i="10"/>
  <c r="M55" i="10"/>
  <c r="M124" i="10" s="1"/>
  <c r="G54" i="10"/>
  <c r="G123" i="10" s="1"/>
  <c r="K52" i="10"/>
  <c r="L55" i="10"/>
  <c r="L124" i="10" s="1"/>
  <c r="F54" i="10"/>
  <c r="F123" i="10" s="1"/>
  <c r="J52" i="10"/>
  <c r="K55" i="10"/>
  <c r="K124" i="10" s="1"/>
  <c r="E54" i="10"/>
  <c r="E123" i="10" s="1"/>
  <c r="O53" i="10"/>
  <c r="O122" i="10" s="1"/>
  <c r="I52" i="10"/>
  <c r="J55" i="10"/>
  <c r="J124" i="10" s="1"/>
  <c r="D54" i="10"/>
  <c r="N53" i="10"/>
  <c r="N122" i="10" s="1"/>
  <c r="H52" i="10"/>
  <c r="I55" i="10"/>
  <c r="I124" i="10" s="1"/>
  <c r="M53" i="10"/>
  <c r="M122" i="10" s="1"/>
  <c r="G52" i="10"/>
  <c r="H55" i="10"/>
  <c r="H124" i="10" s="1"/>
  <c r="L53" i="10"/>
  <c r="L122" i="10" s="1"/>
  <c r="F52" i="10"/>
  <c r="G55" i="10"/>
  <c r="G124" i="10" s="1"/>
  <c r="K53" i="10"/>
  <c r="K122" i="10" s="1"/>
  <c r="E52" i="10"/>
  <c r="F55" i="10"/>
  <c r="F124" i="10" s="1"/>
  <c r="J53" i="10"/>
  <c r="J122" i="10" s="1"/>
  <c r="D52" i="10"/>
  <c r="E55" i="10"/>
  <c r="E124" i="10" s="1"/>
  <c r="O54" i="10"/>
  <c r="O123" i="10" s="1"/>
  <c r="I53" i="10"/>
  <c r="I122" i="10" s="1"/>
  <c r="D55" i="10"/>
  <c r="N54" i="10"/>
  <c r="N123" i="10" s="1"/>
  <c r="H53" i="10"/>
  <c r="H122" i="10" s="1"/>
  <c r="M54" i="10"/>
  <c r="M123" i="10" s="1"/>
  <c r="G53" i="10"/>
  <c r="G122" i="10" s="1"/>
  <c r="L54" i="10"/>
  <c r="L123" i="10" s="1"/>
  <c r="F53" i="10"/>
  <c r="F122" i="10" s="1"/>
  <c r="P80" i="6"/>
  <c r="AA77" i="13"/>
  <c r="AA146" i="13" s="1"/>
  <c r="Y79" i="13"/>
  <c r="Y148" i="13" s="1"/>
  <c r="AB79" i="8"/>
  <c r="AB148" i="8" s="1"/>
  <c r="Q80" i="6"/>
  <c r="Q149" i="6" s="1"/>
  <c r="Y83" i="11"/>
  <c r="L55" i="12"/>
  <c r="L124" i="12" s="1"/>
  <c r="F54" i="12"/>
  <c r="F123" i="12" s="1"/>
  <c r="J52" i="12"/>
  <c r="K55" i="12"/>
  <c r="K124" i="12" s="1"/>
  <c r="E54" i="12"/>
  <c r="E123" i="12" s="1"/>
  <c r="O53" i="12"/>
  <c r="O122" i="12" s="1"/>
  <c r="I52" i="12"/>
  <c r="J55" i="12"/>
  <c r="J124" i="12" s="1"/>
  <c r="D54" i="12"/>
  <c r="N53" i="12"/>
  <c r="N122" i="12" s="1"/>
  <c r="H52" i="12"/>
  <c r="I55" i="12"/>
  <c r="I124" i="12" s="1"/>
  <c r="M53" i="12"/>
  <c r="M122" i="12" s="1"/>
  <c r="G52" i="12"/>
  <c r="H55" i="12"/>
  <c r="H124" i="12" s="1"/>
  <c r="L53" i="12"/>
  <c r="L122" i="12" s="1"/>
  <c r="F52" i="12"/>
  <c r="G55" i="12"/>
  <c r="G124" i="12" s="1"/>
  <c r="K53" i="12"/>
  <c r="K122" i="12" s="1"/>
  <c r="E52" i="12"/>
  <c r="F55" i="12"/>
  <c r="F124" i="12" s="1"/>
  <c r="J53" i="12"/>
  <c r="J122" i="12" s="1"/>
  <c r="D52" i="12"/>
  <c r="E55" i="12"/>
  <c r="E124" i="12" s="1"/>
  <c r="O54" i="12"/>
  <c r="O123" i="12" s="1"/>
  <c r="I53" i="12"/>
  <c r="I122" i="12" s="1"/>
  <c r="D55" i="12"/>
  <c r="N54" i="12"/>
  <c r="N123" i="12" s="1"/>
  <c r="H53" i="12"/>
  <c r="H122" i="12" s="1"/>
  <c r="M54" i="12"/>
  <c r="M123" i="12" s="1"/>
  <c r="G53" i="12"/>
  <c r="G122" i="12" s="1"/>
  <c r="L54" i="12"/>
  <c r="L123" i="12" s="1"/>
  <c r="F53" i="12"/>
  <c r="F122" i="12" s="1"/>
  <c r="K54" i="12"/>
  <c r="K123" i="12" s="1"/>
  <c r="E53" i="12"/>
  <c r="E122" i="12" s="1"/>
  <c r="O52" i="12"/>
  <c r="J54" i="12"/>
  <c r="J123" i="12" s="1"/>
  <c r="D53" i="12"/>
  <c r="N52" i="12"/>
  <c r="O55" i="12"/>
  <c r="O124" i="12" s="1"/>
  <c r="I54" i="12"/>
  <c r="I123" i="12" s="1"/>
  <c r="M52" i="12"/>
  <c r="N55" i="12"/>
  <c r="N124" i="12" s="1"/>
  <c r="H54" i="12"/>
  <c r="H123" i="12" s="1"/>
  <c r="L52" i="12"/>
  <c r="M55" i="12"/>
  <c r="M124" i="12" s="1"/>
  <c r="G54" i="12"/>
  <c r="G123" i="12" s="1"/>
  <c r="K52" i="12"/>
  <c r="S80" i="7"/>
  <c r="S149" i="7" s="1"/>
  <c r="F52" i="13"/>
  <c r="G55" i="13"/>
  <c r="G124" i="13" s="1"/>
  <c r="E52" i="13"/>
  <c r="F55" i="13"/>
  <c r="F124" i="13" s="1"/>
  <c r="D52" i="13"/>
  <c r="E55" i="13"/>
  <c r="E124" i="13" s="1"/>
  <c r="D55" i="13"/>
  <c r="G53" i="13"/>
  <c r="G122" i="13" s="1"/>
  <c r="F53" i="13"/>
  <c r="F122" i="13" s="1"/>
  <c r="E53" i="13"/>
  <c r="E122" i="13" s="1"/>
  <c r="D53" i="13"/>
  <c r="G54" i="13"/>
  <c r="G123" i="13" s="1"/>
  <c r="F54" i="13"/>
  <c r="F123" i="13" s="1"/>
  <c r="E54" i="13"/>
  <c r="E123" i="13" s="1"/>
  <c r="D54" i="13"/>
  <c r="G52" i="13"/>
  <c r="Z78" i="12"/>
  <c r="L38" i="16" s="1"/>
  <c r="X79" i="12"/>
  <c r="X148" i="12" s="1"/>
  <c r="Q77" i="8"/>
  <c r="J55" i="9"/>
  <c r="J124" i="9" s="1"/>
  <c r="D54" i="9"/>
  <c r="N53" i="9"/>
  <c r="N122" i="9" s="1"/>
  <c r="H52" i="9"/>
  <c r="I55" i="9"/>
  <c r="I124" i="9" s="1"/>
  <c r="M53" i="9"/>
  <c r="M122" i="9" s="1"/>
  <c r="G52" i="9"/>
  <c r="H55" i="9"/>
  <c r="H124" i="9" s="1"/>
  <c r="L53" i="9"/>
  <c r="L122" i="9" s="1"/>
  <c r="F52" i="9"/>
  <c r="G55" i="9"/>
  <c r="G124" i="9" s="1"/>
  <c r="K53" i="9"/>
  <c r="K122" i="9" s="1"/>
  <c r="E52" i="9"/>
  <c r="F55" i="9"/>
  <c r="F124" i="9" s="1"/>
  <c r="J53" i="9"/>
  <c r="J122" i="9" s="1"/>
  <c r="D52" i="9"/>
  <c r="E55" i="9"/>
  <c r="E124" i="9" s="1"/>
  <c r="O54" i="9"/>
  <c r="O123" i="9" s="1"/>
  <c r="I53" i="9"/>
  <c r="I122" i="9" s="1"/>
  <c r="D55" i="9"/>
  <c r="N54" i="9"/>
  <c r="N123" i="9" s="1"/>
  <c r="H53" i="9"/>
  <c r="H122" i="9" s="1"/>
  <c r="M54" i="9"/>
  <c r="M123" i="9" s="1"/>
  <c r="G53" i="9"/>
  <c r="G122" i="9" s="1"/>
  <c r="L54" i="9"/>
  <c r="L123" i="9" s="1"/>
  <c r="F53" i="9"/>
  <c r="F122" i="9" s="1"/>
  <c r="K54" i="9"/>
  <c r="K123" i="9" s="1"/>
  <c r="E53" i="9"/>
  <c r="E122" i="9" s="1"/>
  <c r="O52" i="9"/>
  <c r="J54" i="9"/>
  <c r="J123" i="9" s="1"/>
  <c r="D53" i="9"/>
  <c r="N52" i="9"/>
  <c r="O55" i="9"/>
  <c r="O124" i="9" s="1"/>
  <c r="I54" i="9"/>
  <c r="I123" i="9" s="1"/>
  <c r="M52" i="9"/>
  <c r="N55" i="9"/>
  <c r="N124" i="9" s="1"/>
  <c r="H54" i="9"/>
  <c r="H123" i="9" s="1"/>
  <c r="L52" i="9"/>
  <c r="M55" i="9"/>
  <c r="M124" i="9" s="1"/>
  <c r="G54" i="9"/>
  <c r="G123" i="9" s="1"/>
  <c r="K52" i="9"/>
  <c r="L55" i="9"/>
  <c r="L124" i="9" s="1"/>
  <c r="F54" i="9"/>
  <c r="F123" i="9" s="1"/>
  <c r="J52" i="9"/>
  <c r="K55" i="9"/>
  <c r="K124" i="9" s="1"/>
  <c r="E54" i="9"/>
  <c r="E123" i="9" s="1"/>
  <c r="O53" i="9"/>
  <c r="O122" i="9" s="1"/>
  <c r="I52" i="9"/>
  <c r="P79" i="11"/>
  <c r="P148" i="11" s="1"/>
  <c r="U148" i="9"/>
  <c r="F38" i="16"/>
  <c r="Z147" i="6"/>
  <c r="K30" i="16"/>
  <c r="R147" i="11"/>
  <c r="K29" i="16"/>
  <c r="Q147" i="11"/>
  <c r="I30" i="16"/>
  <c r="R147" i="9"/>
  <c r="S143" i="7"/>
  <c r="S83" i="7"/>
  <c r="S143" i="10"/>
  <c r="S83" i="10"/>
  <c r="AA80" i="11"/>
  <c r="AA149" i="11" s="1"/>
  <c r="S78" i="8"/>
  <c r="V145" i="8"/>
  <c r="V80" i="8"/>
  <c r="V149" i="8" s="1"/>
  <c r="S143" i="9"/>
  <c r="S83" i="9"/>
  <c r="U142" i="6"/>
  <c r="U78" i="6"/>
  <c r="U77" i="6"/>
  <c r="U146" i="6" s="1"/>
  <c r="V81" i="10"/>
  <c r="L145" i="13"/>
  <c r="L80" i="13"/>
  <c r="L149" i="13" s="1"/>
  <c r="O114" i="13"/>
  <c r="O101" i="13"/>
  <c r="O95" i="13"/>
  <c r="O116" i="13"/>
  <c r="O111" i="13"/>
  <c r="O108" i="13"/>
  <c r="O92" i="13"/>
  <c r="O105" i="13"/>
  <c r="O89" i="13"/>
  <c r="O102" i="13"/>
  <c r="O110" i="13"/>
  <c r="O90" i="13"/>
  <c r="O93" i="13"/>
  <c r="O113" i="13"/>
  <c r="O100" i="13"/>
  <c r="O96" i="13"/>
  <c r="O115" i="13"/>
  <c r="O88" i="13"/>
  <c r="O98" i="13"/>
  <c r="O91" i="13"/>
  <c r="O104" i="13"/>
  <c r="O103" i="13"/>
  <c r="O94" i="13"/>
  <c r="O112" i="13"/>
  <c r="O107" i="13"/>
  <c r="O97" i="13"/>
  <c r="O109" i="13"/>
  <c r="O99" i="13"/>
  <c r="O106" i="13"/>
  <c r="Z81" i="6"/>
  <c r="P110" i="7"/>
  <c r="P94" i="7"/>
  <c r="P107" i="7"/>
  <c r="P104" i="7"/>
  <c r="P101" i="7"/>
  <c r="P114" i="7"/>
  <c r="P98" i="7"/>
  <c r="P111" i="7"/>
  <c r="P95" i="7"/>
  <c r="P108" i="7"/>
  <c r="P105" i="7"/>
  <c r="P102" i="7"/>
  <c r="P112" i="7"/>
  <c r="P96" i="7"/>
  <c r="P109" i="7"/>
  <c r="P116" i="7"/>
  <c r="P100" i="7"/>
  <c r="P91" i="7"/>
  <c r="P88" i="7"/>
  <c r="P97" i="7"/>
  <c r="P103" i="7"/>
  <c r="P92" i="7"/>
  <c r="P89" i="7"/>
  <c r="P115" i="7"/>
  <c r="P106" i="7"/>
  <c r="P113" i="7"/>
  <c r="P93" i="7"/>
  <c r="P99" i="7"/>
  <c r="P90" i="7"/>
  <c r="U80" i="6"/>
  <c r="U149" i="6" s="1"/>
  <c r="Z79" i="9"/>
  <c r="Z148" i="9" s="1"/>
  <c r="X78" i="12"/>
  <c r="V144" i="13"/>
  <c r="V86" i="13"/>
  <c r="H143" i="13"/>
  <c r="AA143" i="11"/>
  <c r="AA83" i="11"/>
  <c r="J77" i="8"/>
  <c r="J146" i="8" s="1"/>
  <c r="M30" i="16"/>
  <c r="R147" i="13"/>
  <c r="S78" i="9"/>
  <c r="AA144" i="9"/>
  <c r="AA86" i="9"/>
  <c r="AA79" i="9"/>
  <c r="AA148" i="9" s="1"/>
  <c r="T76" i="12"/>
  <c r="P80" i="12"/>
  <c r="P149" i="12" s="1"/>
  <c r="S77" i="7"/>
  <c r="S146" i="7" s="1"/>
  <c r="R144" i="9"/>
  <c r="R86" i="9"/>
  <c r="H143" i="8"/>
  <c r="L144" i="8"/>
  <c r="L86" i="8"/>
  <c r="L79" i="8"/>
  <c r="L148" i="8" s="1"/>
  <c r="G144" i="8"/>
  <c r="G86" i="8"/>
  <c r="G81" i="8"/>
  <c r="R80" i="10"/>
  <c r="R149" i="10" s="1"/>
  <c r="T114" i="6"/>
  <c r="T111" i="6"/>
  <c r="T106" i="6"/>
  <c r="T90" i="6"/>
  <c r="T103" i="6"/>
  <c r="T116" i="6"/>
  <c r="T100" i="6"/>
  <c r="T109" i="6"/>
  <c r="T97" i="6"/>
  <c r="T94" i="6"/>
  <c r="T91" i="6"/>
  <c r="T112" i="6"/>
  <c r="T101" i="6"/>
  <c r="T98" i="6"/>
  <c r="T95" i="6"/>
  <c r="T108" i="6"/>
  <c r="T102" i="6"/>
  <c r="T88" i="6"/>
  <c r="T115" i="6"/>
  <c r="T107" i="6"/>
  <c r="T104" i="6"/>
  <c r="T92" i="6"/>
  <c r="T110" i="6"/>
  <c r="T89" i="6"/>
  <c r="T113" i="6"/>
  <c r="T93" i="6"/>
  <c r="T105" i="6"/>
  <c r="T99" i="6"/>
  <c r="T96" i="6"/>
  <c r="Y147" i="13"/>
  <c r="M37" i="16"/>
  <c r="U141" i="11"/>
  <c r="U79" i="11"/>
  <c r="U148" i="11" s="1"/>
  <c r="H37" i="16"/>
  <c r="T142" i="12"/>
  <c r="T77" i="12"/>
  <c r="T146" i="12" s="1"/>
  <c r="T81" i="11"/>
  <c r="V77" i="13"/>
  <c r="V146" i="13" s="1"/>
  <c r="Y144" i="8"/>
  <c r="Y86" i="8"/>
  <c r="R77" i="12"/>
  <c r="R146" i="12" s="1"/>
  <c r="Z141" i="9"/>
  <c r="Z78" i="9"/>
  <c r="U80" i="13"/>
  <c r="U149" i="13" s="1"/>
  <c r="P110" i="6"/>
  <c r="P108" i="6"/>
  <c r="P102" i="6"/>
  <c r="P99" i="6"/>
  <c r="P113" i="6"/>
  <c r="P96" i="6"/>
  <c r="P93" i="6"/>
  <c r="P111" i="6"/>
  <c r="P106" i="6"/>
  <c r="P90" i="6"/>
  <c r="P103" i="6"/>
  <c r="P109" i="6"/>
  <c r="P97" i="6"/>
  <c r="P114" i="6"/>
  <c r="P94" i="6"/>
  <c r="P107" i="6"/>
  <c r="P91" i="6"/>
  <c r="P98" i="6"/>
  <c r="P105" i="6"/>
  <c r="P100" i="6"/>
  <c r="P88" i="6"/>
  <c r="P112" i="6"/>
  <c r="P104" i="6"/>
  <c r="P115" i="6"/>
  <c r="P101" i="6"/>
  <c r="P95" i="6"/>
  <c r="P92" i="6"/>
  <c r="P89" i="6"/>
  <c r="P116" i="6"/>
  <c r="Y116" i="12"/>
  <c r="Y100" i="12"/>
  <c r="X81" i="8"/>
  <c r="P83" i="8"/>
  <c r="L40" i="16"/>
  <c r="AB147" i="12"/>
  <c r="W83" i="12"/>
  <c r="S142" i="10"/>
  <c r="S77" i="10"/>
  <c r="S146" i="10" s="1"/>
  <c r="R78" i="8"/>
  <c r="Z80" i="11"/>
  <c r="Z149" i="11" s="1"/>
  <c r="M142" i="13"/>
  <c r="M79" i="13"/>
  <c r="M148" i="13" s="1"/>
  <c r="M77" i="13"/>
  <c r="M80" i="13"/>
  <c r="M149" i="13" s="1"/>
  <c r="G37" i="16"/>
  <c r="Y147" i="7"/>
  <c r="W143" i="8"/>
  <c r="W83" i="8"/>
  <c r="W80" i="8"/>
  <c r="W149" i="8" s="1"/>
  <c r="W78" i="8"/>
  <c r="Y80" i="13"/>
  <c r="Y149" i="13" s="1"/>
  <c r="B28" i="5"/>
  <c r="R115" i="13"/>
  <c r="R112" i="13"/>
  <c r="R116" i="13"/>
  <c r="R108" i="13"/>
  <c r="R92" i="13"/>
  <c r="R102" i="13"/>
  <c r="R113" i="13"/>
  <c r="R99" i="13"/>
  <c r="R96" i="13"/>
  <c r="R109" i="13"/>
  <c r="R101" i="13"/>
  <c r="R89" i="13"/>
  <c r="R114" i="13"/>
  <c r="R88" i="13"/>
  <c r="R95" i="13"/>
  <c r="R106" i="13"/>
  <c r="R91" i="13"/>
  <c r="R98" i="13"/>
  <c r="R104" i="13"/>
  <c r="R90" i="13"/>
  <c r="R93" i="13"/>
  <c r="R105" i="13"/>
  <c r="R111" i="13"/>
  <c r="R107" i="13"/>
  <c r="R110" i="13"/>
  <c r="R103" i="13"/>
  <c r="R100" i="13"/>
  <c r="R97" i="13"/>
  <c r="R94" i="13"/>
  <c r="Z80" i="8"/>
  <c r="Z149" i="8" s="1"/>
  <c r="X146" i="12"/>
  <c r="X81" i="12"/>
  <c r="M28" i="16"/>
  <c r="AA79" i="11"/>
  <c r="AA148" i="11" s="1"/>
  <c r="M36" i="16"/>
  <c r="X147" i="13"/>
  <c r="S86" i="6"/>
  <c r="S144" i="6"/>
  <c r="Y81" i="11"/>
  <c r="K32" i="16"/>
  <c r="T147" i="11"/>
  <c r="T150" i="11" s="1"/>
  <c r="T77" i="13"/>
  <c r="AA78" i="7"/>
  <c r="P83" i="9"/>
  <c r="Z79" i="6"/>
  <c r="Z148" i="6" s="1"/>
  <c r="X86" i="9"/>
  <c r="X144" i="9"/>
  <c r="T143" i="13"/>
  <c r="T83" i="13"/>
  <c r="H39" i="16"/>
  <c r="AA147" i="8"/>
  <c r="U145" i="11"/>
  <c r="U80" i="11"/>
  <c r="U149" i="11" s="1"/>
  <c r="F80" i="8"/>
  <c r="F149" i="8" s="1"/>
  <c r="V103" i="8"/>
  <c r="V116" i="8"/>
  <c r="V100" i="8"/>
  <c r="V113" i="8"/>
  <c r="V97" i="8"/>
  <c r="V110" i="8"/>
  <c r="V94" i="8"/>
  <c r="V107" i="8"/>
  <c r="V104" i="8"/>
  <c r="V111" i="8"/>
  <c r="V95" i="8"/>
  <c r="V105" i="8"/>
  <c r="V102" i="8"/>
  <c r="V106" i="8"/>
  <c r="V98" i="8"/>
  <c r="V93" i="8"/>
  <c r="V112" i="8"/>
  <c r="V88" i="8"/>
  <c r="V96" i="8"/>
  <c r="V89" i="8"/>
  <c r="V115" i="8"/>
  <c r="V108" i="8"/>
  <c r="V90" i="8"/>
  <c r="V99" i="8"/>
  <c r="V114" i="8"/>
  <c r="V109" i="8"/>
  <c r="V92" i="8"/>
  <c r="M33" i="16"/>
  <c r="U147" i="13"/>
  <c r="Y143" i="8"/>
  <c r="Y83" i="8"/>
  <c r="H78" i="13"/>
  <c r="P83" i="12"/>
  <c r="S144" i="11"/>
  <c r="S86" i="11"/>
  <c r="C73" i="8"/>
  <c r="AC73" i="8" s="1"/>
  <c r="Y79" i="8"/>
  <c r="Y148" i="8" s="1"/>
  <c r="P80" i="11"/>
  <c r="P149" i="11" s="1"/>
  <c r="U81" i="8"/>
  <c r="R143" i="12"/>
  <c r="U77" i="11"/>
  <c r="W78" i="6"/>
  <c r="G34" i="16"/>
  <c r="V147" i="7"/>
  <c r="O108" i="8"/>
  <c r="O92" i="8"/>
  <c r="O105" i="8"/>
  <c r="O89" i="8"/>
  <c r="O102" i="8"/>
  <c r="O115" i="8"/>
  <c r="O99" i="8"/>
  <c r="O112" i="8"/>
  <c r="O96" i="8"/>
  <c r="O109" i="8"/>
  <c r="O106" i="8"/>
  <c r="O90" i="8"/>
  <c r="O116" i="8"/>
  <c r="O100" i="8"/>
  <c r="O110" i="8"/>
  <c r="O94" i="8"/>
  <c r="O107" i="8"/>
  <c r="O91" i="8"/>
  <c r="O111" i="8"/>
  <c r="O95" i="8"/>
  <c r="O114" i="8"/>
  <c r="O93" i="8"/>
  <c r="O103" i="8"/>
  <c r="O98" i="8"/>
  <c r="O101" i="8"/>
  <c r="O88" i="8"/>
  <c r="O113" i="8"/>
  <c r="O104" i="8"/>
  <c r="O97" i="8"/>
  <c r="AB83" i="7"/>
  <c r="Z144" i="6"/>
  <c r="Z86" i="6"/>
  <c r="AA141" i="13"/>
  <c r="AA79" i="13"/>
  <c r="AA148" i="13" s="1"/>
  <c r="Z143" i="10"/>
  <c r="Z83" i="10"/>
  <c r="Z143" i="9"/>
  <c r="AA77" i="7"/>
  <c r="W81" i="8"/>
  <c r="P144" i="12"/>
  <c r="P86" i="12"/>
  <c r="Q144" i="9"/>
  <c r="Q86" i="9"/>
  <c r="J37" i="16"/>
  <c r="Y147" i="10"/>
  <c r="AA80" i="9"/>
  <c r="AA149" i="9" s="1"/>
  <c r="S78" i="7"/>
  <c r="U86" i="6"/>
  <c r="U144" i="6"/>
  <c r="U86" i="11"/>
  <c r="U144" i="11"/>
  <c r="H77" i="13"/>
  <c r="H146" i="13" s="1"/>
  <c r="G30" i="16"/>
  <c r="R147" i="7"/>
  <c r="J76" i="8"/>
  <c r="Y77" i="8"/>
  <c r="Z145" i="6"/>
  <c r="Z80" i="6"/>
  <c r="Z149" i="6" s="1"/>
  <c r="R81" i="9"/>
  <c r="AB116" i="10"/>
  <c r="AB108" i="10"/>
  <c r="AB92" i="10"/>
  <c r="AB102" i="10"/>
  <c r="AB115" i="10"/>
  <c r="AB99" i="10"/>
  <c r="AB112" i="10"/>
  <c r="AB96" i="10"/>
  <c r="AB114" i="10"/>
  <c r="AB106" i="10"/>
  <c r="AB110" i="10"/>
  <c r="AB94" i="10"/>
  <c r="AB107" i="10"/>
  <c r="AB91" i="10"/>
  <c r="AB104" i="10"/>
  <c r="AB103" i="10"/>
  <c r="AB105" i="10"/>
  <c r="AB89" i="10"/>
  <c r="AB101" i="10"/>
  <c r="AB100" i="10"/>
  <c r="AB109" i="10"/>
  <c r="AB98" i="10"/>
  <c r="AB88" i="10"/>
  <c r="AB97" i="10"/>
  <c r="AB90" i="10"/>
  <c r="AB111" i="10"/>
  <c r="AB93" i="10"/>
  <c r="S77" i="8"/>
  <c r="S146" i="8" s="1"/>
  <c r="L80" i="8"/>
  <c r="L149" i="8" s="1"/>
  <c r="H4" i="14"/>
  <c r="K104" i="8"/>
  <c r="K88" i="8"/>
  <c r="K101" i="8"/>
  <c r="K114" i="8"/>
  <c r="K98" i="8"/>
  <c r="K111" i="8"/>
  <c r="K95" i="8"/>
  <c r="K108" i="8"/>
  <c r="K92" i="8"/>
  <c r="K105" i="8"/>
  <c r="K102" i="8"/>
  <c r="K112" i="8"/>
  <c r="K96" i="8"/>
  <c r="K106" i="8"/>
  <c r="K90" i="8"/>
  <c r="K103" i="8"/>
  <c r="K107" i="8"/>
  <c r="K116" i="8"/>
  <c r="K109" i="8"/>
  <c r="K100" i="8"/>
  <c r="K93" i="8"/>
  <c r="K115" i="8"/>
  <c r="K110" i="8"/>
  <c r="K99" i="8"/>
  <c r="K94" i="8"/>
  <c r="K89" i="8"/>
  <c r="K97" i="8"/>
  <c r="K91" i="8"/>
  <c r="K113" i="8"/>
  <c r="G40" i="16"/>
  <c r="AB147" i="7"/>
  <c r="H19" i="16"/>
  <c r="G147" i="8"/>
  <c r="W79" i="13"/>
  <c r="W148" i="13" s="1"/>
  <c r="AA141" i="11"/>
  <c r="V79" i="10"/>
  <c r="V148" i="10" s="1"/>
  <c r="T78" i="13"/>
  <c r="R144" i="12"/>
  <c r="R86" i="12"/>
  <c r="Z77" i="9"/>
  <c r="X143" i="6"/>
  <c r="X83" i="6"/>
  <c r="X78" i="6"/>
  <c r="AA109" i="6"/>
  <c r="AA101" i="6"/>
  <c r="AA112" i="6"/>
  <c r="AA98" i="6"/>
  <c r="AA95" i="6"/>
  <c r="AA110" i="6"/>
  <c r="AA92" i="6"/>
  <c r="AA105" i="6"/>
  <c r="AA89" i="6"/>
  <c r="AA115" i="6"/>
  <c r="AA102" i="6"/>
  <c r="AA113" i="6"/>
  <c r="AA96" i="6"/>
  <c r="AA93" i="6"/>
  <c r="AA106" i="6"/>
  <c r="AA90" i="6"/>
  <c r="AA97" i="6"/>
  <c r="AA100" i="6"/>
  <c r="AA94" i="6"/>
  <c r="AA88" i="6"/>
  <c r="AA91" i="6"/>
  <c r="AA107" i="6"/>
  <c r="AA104" i="6"/>
  <c r="AA116" i="6"/>
  <c r="AA114" i="6"/>
  <c r="AA108" i="6"/>
  <c r="AA99" i="6"/>
  <c r="AA103" i="6"/>
  <c r="AA111" i="6"/>
  <c r="J30" i="16"/>
  <c r="R147" i="10"/>
  <c r="AB141" i="9"/>
  <c r="AB78" i="9"/>
  <c r="V83" i="8"/>
  <c r="S144" i="9"/>
  <c r="S86" i="9"/>
  <c r="X142" i="8"/>
  <c r="X78" i="8"/>
  <c r="X79" i="8"/>
  <c r="X148" i="8" s="1"/>
  <c r="Y145" i="8"/>
  <c r="Y80" i="8"/>
  <c r="Y149" i="8" s="1"/>
  <c r="S79" i="12"/>
  <c r="S148" i="12" s="1"/>
  <c r="X102" i="7"/>
  <c r="X115" i="7"/>
  <c r="X99" i="7"/>
  <c r="X112" i="7"/>
  <c r="X96" i="7"/>
  <c r="X109" i="7"/>
  <c r="X106" i="7"/>
  <c r="X103" i="7"/>
  <c r="X116" i="7"/>
  <c r="X113" i="7"/>
  <c r="X97" i="7"/>
  <c r="X110" i="7"/>
  <c r="X94" i="7"/>
  <c r="X104" i="7"/>
  <c r="X101" i="7"/>
  <c r="X108" i="7"/>
  <c r="X107" i="7"/>
  <c r="X105" i="7"/>
  <c r="X98" i="7"/>
  <c r="X90" i="7"/>
  <c r="X111" i="7"/>
  <c r="X93" i="7"/>
  <c r="X95" i="7"/>
  <c r="X114" i="7"/>
  <c r="X92" i="7"/>
  <c r="X89" i="7"/>
  <c r="X91" i="7"/>
  <c r="X88" i="7"/>
  <c r="X100" i="7"/>
  <c r="Z144" i="10"/>
  <c r="Z86" i="10"/>
  <c r="Z79" i="10"/>
  <c r="Z148" i="10" s="1"/>
  <c r="Z112" i="7"/>
  <c r="Z96" i="7"/>
  <c r="Z109" i="7"/>
  <c r="Z93" i="7"/>
  <c r="Z106" i="7"/>
  <c r="Z103" i="7"/>
  <c r="Z116" i="7"/>
  <c r="Z100" i="7"/>
  <c r="Z113" i="7"/>
  <c r="Z97" i="7"/>
  <c r="Z110" i="7"/>
  <c r="Z107" i="7"/>
  <c r="Z104" i="7"/>
  <c r="Z114" i="7"/>
  <c r="Z98" i="7"/>
  <c r="Z111" i="7"/>
  <c r="Z95" i="7"/>
  <c r="Z102" i="7"/>
  <c r="Z105" i="7"/>
  <c r="Z90" i="7"/>
  <c r="Z101" i="7"/>
  <c r="Z94" i="7"/>
  <c r="Z99" i="7"/>
  <c r="Z115" i="7"/>
  <c r="Z91" i="7"/>
  <c r="Z88" i="7"/>
  <c r="Z89" i="7"/>
  <c r="Z108" i="7"/>
  <c r="Z92" i="7"/>
  <c r="AB142" i="11"/>
  <c r="AB77" i="11"/>
  <c r="AB113" i="12"/>
  <c r="AB97" i="12"/>
  <c r="AB110" i="12"/>
  <c r="AB94" i="12"/>
  <c r="AB107" i="12"/>
  <c r="AB91" i="12"/>
  <c r="AB104" i="12"/>
  <c r="AB101" i="12"/>
  <c r="AB114" i="12"/>
  <c r="AB98" i="12"/>
  <c r="AB111" i="12"/>
  <c r="AB95" i="12"/>
  <c r="AB108" i="12"/>
  <c r="AB92" i="12"/>
  <c r="AB105" i="12"/>
  <c r="AB115" i="12"/>
  <c r="AB112" i="12"/>
  <c r="AB96" i="12"/>
  <c r="AB106" i="12"/>
  <c r="AB116" i="12"/>
  <c r="AB100" i="12"/>
  <c r="AB99" i="12"/>
  <c r="AB102" i="12"/>
  <c r="AB93" i="12"/>
  <c r="AB89" i="12"/>
  <c r="AB88" i="12"/>
  <c r="AB103" i="12"/>
  <c r="AB90" i="12"/>
  <c r="AB109" i="12"/>
  <c r="AA77" i="11"/>
  <c r="AA146" i="11" s="1"/>
  <c r="U144" i="12"/>
  <c r="U86" i="12"/>
  <c r="I4" i="14"/>
  <c r="AA86" i="11"/>
  <c r="AA144" i="11"/>
  <c r="X144" i="11"/>
  <c r="X86" i="11"/>
  <c r="X79" i="11"/>
  <c r="X148" i="11" s="1"/>
  <c r="L33" i="16"/>
  <c r="U147" i="12"/>
  <c r="Z83" i="8"/>
  <c r="Z143" i="8"/>
  <c r="Z78" i="8"/>
  <c r="Z81" i="8"/>
  <c r="J34" i="16"/>
  <c r="V147" i="10"/>
  <c r="U106" i="8"/>
  <c r="U90" i="8"/>
  <c r="U103" i="8"/>
  <c r="U116" i="8"/>
  <c r="U100" i="8"/>
  <c r="U113" i="8"/>
  <c r="U97" i="8"/>
  <c r="U110" i="8"/>
  <c r="U94" i="8"/>
  <c r="U107" i="8"/>
  <c r="U104" i="8"/>
  <c r="U88" i="8"/>
  <c r="U114" i="8"/>
  <c r="U98" i="8"/>
  <c r="U108" i="8"/>
  <c r="U92" i="8"/>
  <c r="U105" i="8"/>
  <c r="U89" i="8"/>
  <c r="U109" i="8"/>
  <c r="U93" i="8"/>
  <c r="U112" i="8"/>
  <c r="U101" i="8"/>
  <c r="U96" i="8"/>
  <c r="U115" i="8"/>
  <c r="U99" i="8"/>
  <c r="U91" i="8"/>
  <c r="U102" i="8"/>
  <c r="T113" i="11"/>
  <c r="T97" i="11"/>
  <c r="T110" i="11"/>
  <c r="T94" i="11"/>
  <c r="T104" i="11"/>
  <c r="T108" i="11"/>
  <c r="T92" i="11"/>
  <c r="T115" i="11"/>
  <c r="T99" i="11"/>
  <c r="T109" i="11"/>
  <c r="T106" i="11"/>
  <c r="T95" i="11"/>
  <c r="T112" i="11"/>
  <c r="T89" i="11"/>
  <c r="T114" i="11"/>
  <c r="T93" i="11"/>
  <c r="T88" i="11"/>
  <c r="T98" i="11"/>
  <c r="T91" i="11"/>
  <c r="T107" i="11"/>
  <c r="T96" i="11"/>
  <c r="T102" i="11"/>
  <c r="T101" i="11"/>
  <c r="T90" i="11"/>
  <c r="T103" i="11"/>
  <c r="M39" i="16"/>
  <c r="AA147" i="13"/>
  <c r="X83" i="8"/>
  <c r="X143" i="8"/>
  <c r="T80" i="13"/>
  <c r="T149" i="13" s="1"/>
  <c r="P143" i="11"/>
  <c r="P83" i="11"/>
  <c r="G4" i="14"/>
  <c r="AB78" i="8"/>
  <c r="W105" i="9"/>
  <c r="W100" i="9"/>
  <c r="W98" i="9"/>
  <c r="W88" i="9"/>
  <c r="Q104" i="7"/>
  <c r="Q108" i="7"/>
  <c r="Q97" i="7"/>
  <c r="R83" i="6"/>
  <c r="R143" i="6"/>
  <c r="R78" i="6"/>
  <c r="R82" i="6" s="1"/>
  <c r="U97" i="10"/>
  <c r="U91" i="10"/>
  <c r="U116" i="10"/>
  <c r="U115" i="10"/>
  <c r="U111" i="10"/>
  <c r="U112" i="10"/>
  <c r="U114" i="10"/>
  <c r="U93" i="10"/>
  <c r="U102" i="10"/>
  <c r="U89" i="10"/>
  <c r="U92" i="10"/>
  <c r="U109" i="10"/>
  <c r="U113" i="10"/>
  <c r="U110" i="10"/>
  <c r="S80" i="13"/>
  <c r="S149" i="13" s="1"/>
  <c r="X145" i="8"/>
  <c r="X80" i="8"/>
  <c r="X149" i="8" s="1"/>
  <c r="L28" i="16"/>
  <c r="P147" i="12"/>
  <c r="W104" i="11"/>
  <c r="W88" i="11"/>
  <c r="W101" i="11"/>
  <c r="W111" i="11"/>
  <c r="W95" i="11"/>
  <c r="W115" i="11"/>
  <c r="W99" i="11"/>
  <c r="W106" i="11"/>
  <c r="W90" i="11"/>
  <c r="W116" i="11"/>
  <c r="W113" i="11"/>
  <c r="W94" i="11"/>
  <c r="W114" i="11"/>
  <c r="W93" i="11"/>
  <c r="W98" i="11"/>
  <c r="W92" i="11"/>
  <c r="W105" i="11"/>
  <c r="W103" i="11"/>
  <c r="W91" i="11"/>
  <c r="W96" i="11"/>
  <c r="W110" i="11"/>
  <c r="W109" i="11"/>
  <c r="W100" i="11"/>
  <c r="W89" i="11"/>
  <c r="W108" i="11"/>
  <c r="W112" i="11"/>
  <c r="W107" i="11"/>
  <c r="W102" i="11"/>
  <c r="W97" i="11"/>
  <c r="U86" i="13"/>
  <c r="U144" i="13"/>
  <c r="U79" i="13"/>
  <c r="U148" i="13" s="1"/>
  <c r="S78" i="10"/>
  <c r="X79" i="6"/>
  <c r="X148" i="6" s="1"/>
  <c r="F86" i="8"/>
  <c r="F144" i="8"/>
  <c r="V143" i="9"/>
  <c r="V83" i="9"/>
  <c r="Q83" i="6"/>
  <c r="Q143" i="6"/>
  <c r="W80" i="13"/>
  <c r="W149" i="13" s="1"/>
  <c r="I29" i="16"/>
  <c r="Q147" i="9"/>
  <c r="P142" i="9"/>
  <c r="P77" i="9"/>
  <c r="AB144" i="9"/>
  <c r="AB86" i="9"/>
  <c r="T144" i="13"/>
  <c r="T86" i="13"/>
  <c r="AB143" i="8"/>
  <c r="AB83" i="8"/>
  <c r="AA79" i="6"/>
  <c r="AA148" i="6" s="1"/>
  <c r="Q144" i="10"/>
  <c r="Q86" i="10"/>
  <c r="J78" i="8"/>
  <c r="AB79" i="11"/>
  <c r="AB148" i="11" s="1"/>
  <c r="P78" i="9"/>
  <c r="G79" i="8"/>
  <c r="G148" i="8" s="1"/>
  <c r="M114" i="8"/>
  <c r="M98" i="8"/>
  <c r="M111" i="8"/>
  <c r="M95" i="8"/>
  <c r="M108" i="8"/>
  <c r="M92" i="8"/>
  <c r="M105" i="8"/>
  <c r="M89" i="8"/>
  <c r="M102" i="8"/>
  <c r="M115" i="8"/>
  <c r="M99" i="8"/>
  <c r="M112" i="8"/>
  <c r="M96" i="8"/>
  <c r="M106" i="8"/>
  <c r="M90" i="8"/>
  <c r="M116" i="8"/>
  <c r="M100" i="8"/>
  <c r="M113" i="8"/>
  <c r="M97" i="8"/>
  <c r="M101" i="8"/>
  <c r="M107" i="8"/>
  <c r="M93" i="8"/>
  <c r="M103" i="8"/>
  <c r="M110" i="8"/>
  <c r="M94" i="8"/>
  <c r="M88" i="8"/>
  <c r="M109" i="8"/>
  <c r="M91" i="8"/>
  <c r="M104" i="8"/>
  <c r="AB83" i="12"/>
  <c r="X144" i="6"/>
  <c r="X86" i="6"/>
  <c r="Z103" i="12"/>
  <c r="Z116" i="12"/>
  <c r="Z100" i="12"/>
  <c r="Z113" i="12"/>
  <c r="Z97" i="12"/>
  <c r="Z110" i="12"/>
  <c r="Z94" i="12"/>
  <c r="Z107" i="12"/>
  <c r="Z91" i="12"/>
  <c r="Z104" i="12"/>
  <c r="Z101" i="12"/>
  <c r="Z114" i="12"/>
  <c r="Z98" i="12"/>
  <c r="Z111" i="12"/>
  <c r="Z102" i="12"/>
  <c r="Z112" i="12"/>
  <c r="Z106" i="12"/>
  <c r="Z99" i="12"/>
  <c r="Z92" i="12"/>
  <c r="Z96" i="12"/>
  <c r="Z115" i="12"/>
  <c r="Z108" i="12"/>
  <c r="Z93" i="12"/>
  <c r="Z109" i="12"/>
  <c r="Z90" i="12"/>
  <c r="Z89" i="12"/>
  <c r="Z105" i="12"/>
  <c r="Z95" i="12"/>
  <c r="Z88" i="12"/>
  <c r="U95" i="7"/>
  <c r="U105" i="7"/>
  <c r="U115" i="7"/>
  <c r="U99" i="7"/>
  <c r="U109" i="7"/>
  <c r="U106" i="7"/>
  <c r="U113" i="7"/>
  <c r="U110" i="7"/>
  <c r="U94" i="7"/>
  <c r="U92" i="7"/>
  <c r="U107" i="7"/>
  <c r="U90" i="7"/>
  <c r="U100" i="7"/>
  <c r="U104" i="7"/>
  <c r="U91" i="7"/>
  <c r="U93" i="7"/>
  <c r="J141" i="8"/>
  <c r="Y115" i="10"/>
  <c r="Y101" i="10"/>
  <c r="Y111" i="10"/>
  <c r="Y95" i="10"/>
  <c r="Y108" i="10"/>
  <c r="Y105" i="10"/>
  <c r="Y89" i="10"/>
  <c r="Y112" i="10"/>
  <c r="Y109" i="10"/>
  <c r="Y114" i="10"/>
  <c r="Y103" i="10"/>
  <c r="Y100" i="10"/>
  <c r="Y116" i="10"/>
  <c r="Y106" i="10"/>
  <c r="Y102" i="10"/>
  <c r="Y93" i="10"/>
  <c r="Y104" i="10"/>
  <c r="Y107" i="10"/>
  <c r="Y92" i="10"/>
  <c r="Y99" i="10"/>
  <c r="Y113" i="10"/>
  <c r="Y98" i="10"/>
  <c r="Y97" i="10"/>
  <c r="Y88" i="10"/>
  <c r="Y94" i="10"/>
  <c r="Y90" i="10"/>
  <c r="Y96" i="10"/>
  <c r="Y91" i="10"/>
  <c r="Y110" i="10"/>
  <c r="AA81" i="6"/>
  <c r="H144" i="8"/>
  <c r="H86" i="8"/>
  <c r="P86" i="8"/>
  <c r="P144" i="8"/>
  <c r="P79" i="8"/>
  <c r="P148" i="8" s="1"/>
  <c r="V146" i="12"/>
  <c r="V81" i="12"/>
  <c r="M38" i="16"/>
  <c r="Z147" i="13"/>
  <c r="Z150" i="13" s="1"/>
  <c r="W26" i="16" s="1"/>
  <c r="K145" i="13"/>
  <c r="K80" i="13"/>
  <c r="K149" i="13" s="1"/>
  <c r="P144" i="9"/>
  <c r="P86" i="9"/>
  <c r="S144" i="13"/>
  <c r="S86" i="13"/>
  <c r="R83" i="9"/>
  <c r="R143" i="9"/>
  <c r="Q143" i="11"/>
  <c r="Q83" i="11"/>
  <c r="O145" i="13"/>
  <c r="O83" i="13"/>
  <c r="Q81" i="11"/>
  <c r="R79" i="12"/>
  <c r="R148" i="12" s="1"/>
  <c r="R78" i="12"/>
  <c r="Z146" i="12"/>
  <c r="Z81" i="12"/>
  <c r="Y145" i="10"/>
  <c r="Y80" i="10"/>
  <c r="Y149" i="10" s="1"/>
  <c r="Y83" i="9"/>
  <c r="H24" i="16"/>
  <c r="L147" i="8"/>
  <c r="W144" i="12"/>
  <c r="W86" i="12"/>
  <c r="I146" i="8"/>
  <c r="I150" i="8" s="1"/>
  <c r="I81" i="8"/>
  <c r="I82" i="8" s="1"/>
  <c r="I84" i="8" s="1"/>
  <c r="S79" i="8"/>
  <c r="S148" i="8" s="1"/>
  <c r="Q82" i="9"/>
  <c r="Q84" i="9" s="1"/>
  <c r="AB86" i="6"/>
  <c r="AB144" i="6"/>
  <c r="U144" i="9"/>
  <c r="U86" i="9"/>
  <c r="X80" i="6"/>
  <c r="X149" i="6" s="1"/>
  <c r="AA144" i="7"/>
  <c r="AA86" i="7"/>
  <c r="P77" i="11"/>
  <c r="I36" i="16"/>
  <c r="X147" i="9"/>
  <c r="R80" i="9"/>
  <c r="R149" i="9" s="1"/>
  <c r="V86" i="7"/>
  <c r="V144" i="7"/>
  <c r="N104" i="13"/>
  <c r="N88" i="13"/>
  <c r="N98" i="13"/>
  <c r="N95" i="13"/>
  <c r="N116" i="13"/>
  <c r="N111" i="13"/>
  <c r="N108" i="13"/>
  <c r="N92" i="13"/>
  <c r="N105" i="13"/>
  <c r="N113" i="13"/>
  <c r="N103" i="13"/>
  <c r="N94" i="13"/>
  <c r="N112" i="13"/>
  <c r="N97" i="13"/>
  <c r="N101" i="13"/>
  <c r="N93" i="13"/>
  <c r="N89" i="13"/>
  <c r="N100" i="13"/>
  <c r="N96" i="13"/>
  <c r="N99" i="13"/>
  <c r="N115" i="13"/>
  <c r="N114" i="13"/>
  <c r="N109" i="13"/>
  <c r="N106" i="13"/>
  <c r="N110" i="13"/>
  <c r="N107" i="13"/>
  <c r="N102" i="13"/>
  <c r="N90" i="13"/>
  <c r="N91" i="13"/>
  <c r="Q143" i="7"/>
  <c r="Q83" i="7"/>
  <c r="B29" i="5"/>
  <c r="I145" i="13"/>
  <c r="I80" i="13"/>
  <c r="I149" i="13" s="1"/>
  <c r="J101" i="8"/>
  <c r="S86" i="10"/>
  <c r="S144" i="10"/>
  <c r="AB144" i="7"/>
  <c r="AB86" i="7"/>
  <c r="AB80" i="7"/>
  <c r="AB149" i="7" s="1"/>
  <c r="P81" i="7"/>
  <c r="P82" i="7" s="1"/>
  <c r="P84" i="7" s="1"/>
  <c r="AA79" i="7"/>
  <c r="AA148" i="7" s="1"/>
  <c r="J35" i="16"/>
  <c r="W147" i="10"/>
  <c r="W150" i="10" s="1"/>
  <c r="AB81" i="6"/>
  <c r="P78" i="11"/>
  <c r="U81" i="12"/>
  <c r="E86" i="8"/>
  <c r="E144" i="8"/>
  <c r="E79" i="8"/>
  <c r="Y114" i="11"/>
  <c r="Y98" i="11"/>
  <c r="Y111" i="11"/>
  <c r="Y95" i="11"/>
  <c r="Y105" i="11"/>
  <c r="Y109" i="11"/>
  <c r="Y93" i="11"/>
  <c r="Y116" i="11"/>
  <c r="Y100" i="11"/>
  <c r="Y110" i="11"/>
  <c r="Y107" i="11"/>
  <c r="Y113" i="11"/>
  <c r="Y99" i="11"/>
  <c r="Y88" i="11"/>
  <c r="Y115" i="11"/>
  <c r="Y92" i="11"/>
  <c r="Y97" i="11"/>
  <c r="Y91" i="11"/>
  <c r="Y106" i="11"/>
  <c r="Y102" i="11"/>
  <c r="Y96" i="11"/>
  <c r="Y90" i="11"/>
  <c r="Y108" i="11"/>
  <c r="Y89" i="11"/>
  <c r="Y112" i="11"/>
  <c r="Y104" i="11"/>
  <c r="Y103" i="11"/>
  <c r="Y94" i="11"/>
  <c r="Y101" i="11"/>
  <c r="AA143" i="6"/>
  <c r="AA83" i="6"/>
  <c r="AA80" i="6"/>
  <c r="AA149" i="6" s="1"/>
  <c r="I37" i="16"/>
  <c r="Y147" i="9"/>
  <c r="S80" i="9"/>
  <c r="S149" i="9" s="1"/>
  <c r="Y144" i="9"/>
  <c r="Y86" i="9"/>
  <c r="AA116" i="12"/>
  <c r="AA100" i="12"/>
  <c r="AA113" i="12"/>
  <c r="AA97" i="12"/>
  <c r="AA110" i="12"/>
  <c r="AA94" i="12"/>
  <c r="AA107" i="12"/>
  <c r="AA91" i="12"/>
  <c r="AA104" i="12"/>
  <c r="AA88" i="12"/>
  <c r="AA101" i="12"/>
  <c r="AA114" i="12"/>
  <c r="AA98" i="12"/>
  <c r="AA111" i="12"/>
  <c r="AA95" i="12"/>
  <c r="AA108" i="12"/>
  <c r="AA115" i="12"/>
  <c r="AA99" i="12"/>
  <c r="AA109" i="12"/>
  <c r="AA103" i="12"/>
  <c r="AA92" i="12"/>
  <c r="AA96" i="12"/>
  <c r="AA102" i="12"/>
  <c r="AA106" i="12"/>
  <c r="AA112" i="12"/>
  <c r="AA105" i="12"/>
  <c r="AA89" i="12"/>
  <c r="AA93" i="12"/>
  <c r="AA90" i="12"/>
  <c r="T144" i="10"/>
  <c r="T86" i="10"/>
  <c r="X80" i="12"/>
  <c r="X149" i="12" s="1"/>
  <c r="AB77" i="9"/>
  <c r="AB146" i="9" s="1"/>
  <c r="X144" i="10"/>
  <c r="X86" i="10"/>
  <c r="W83" i="13"/>
  <c r="AA144" i="13"/>
  <c r="AA86" i="13"/>
  <c r="Q143" i="10"/>
  <c r="Q83" i="10"/>
  <c r="AB79" i="9"/>
  <c r="AB148" i="9" s="1"/>
  <c r="AA80" i="7"/>
  <c r="AA149" i="7" s="1"/>
  <c r="L81" i="8"/>
  <c r="Z116" i="13"/>
  <c r="Z115" i="13"/>
  <c r="Z100" i="13"/>
  <c r="Z110" i="13"/>
  <c r="Z94" i="13"/>
  <c r="Z112" i="13"/>
  <c r="Z107" i="13"/>
  <c r="Z91" i="13"/>
  <c r="Z104" i="13"/>
  <c r="Z88" i="13"/>
  <c r="Z101" i="13"/>
  <c r="Z113" i="13"/>
  <c r="Z109" i="13"/>
  <c r="Z98" i="13"/>
  <c r="Z106" i="13"/>
  <c r="Z111" i="13"/>
  <c r="Z103" i="13"/>
  <c r="Z102" i="13"/>
  <c r="Z97" i="13"/>
  <c r="Z90" i="13"/>
  <c r="Z93" i="13"/>
  <c r="Z96" i="13"/>
  <c r="Z99" i="13"/>
  <c r="Z105" i="13"/>
  <c r="Z108" i="13"/>
  <c r="Z95" i="13"/>
  <c r="Z92" i="13"/>
  <c r="Z89" i="13"/>
  <c r="Z114" i="13"/>
  <c r="AB143" i="13"/>
  <c r="R144" i="6"/>
  <c r="R86" i="6"/>
  <c r="AB143" i="6"/>
  <c r="AB83" i="6"/>
  <c r="AA143" i="9"/>
  <c r="AA83" i="9"/>
  <c r="AB105" i="11"/>
  <c r="AB89" i="11"/>
  <c r="AB102" i="11"/>
  <c r="AB96" i="11"/>
  <c r="AB100" i="11"/>
  <c r="AB107" i="11"/>
  <c r="AB91" i="11"/>
  <c r="AB101" i="11"/>
  <c r="AB114" i="11"/>
  <c r="AB93" i="11"/>
  <c r="AB88" i="11"/>
  <c r="AB98" i="11"/>
  <c r="AB115" i="11"/>
  <c r="AB92" i="11"/>
  <c r="AB97" i="11"/>
  <c r="AB103" i="11"/>
  <c r="AB106" i="11"/>
  <c r="AB104" i="11"/>
  <c r="AB90" i="11"/>
  <c r="AB109" i="11"/>
  <c r="AB108" i="11"/>
  <c r="AB111" i="11"/>
  <c r="AB110" i="11"/>
  <c r="AB95" i="11"/>
  <c r="AB94" i="11"/>
  <c r="AB113" i="11"/>
  <c r="AB99" i="11"/>
  <c r="Z144" i="11"/>
  <c r="Z86" i="11"/>
  <c r="Q79" i="8"/>
  <c r="Q148" i="8" s="1"/>
  <c r="AB81" i="7"/>
  <c r="V144" i="12"/>
  <c r="V86" i="12"/>
  <c r="V92" i="6"/>
  <c r="V106" i="6"/>
  <c r="V98" i="6"/>
  <c r="V102" i="6"/>
  <c r="V93" i="6"/>
  <c r="V99" i="6"/>
  <c r="V90" i="6"/>
  <c r="I81" i="13"/>
  <c r="X79" i="9"/>
  <c r="X148" i="9" s="1"/>
  <c r="U79" i="12"/>
  <c r="U148" i="12" s="1"/>
  <c r="Q102" i="8"/>
  <c r="Q115" i="8"/>
  <c r="Q99" i="8"/>
  <c r="Q112" i="8"/>
  <c r="Q96" i="8"/>
  <c r="Q109" i="8"/>
  <c r="Q93" i="8"/>
  <c r="Q106" i="8"/>
  <c r="Q90" i="8"/>
  <c r="Q103" i="8"/>
  <c r="Q116" i="8"/>
  <c r="Q100" i="8"/>
  <c r="Q110" i="8"/>
  <c r="Q94" i="8"/>
  <c r="Q104" i="8"/>
  <c r="Q101" i="8"/>
  <c r="Q105" i="8"/>
  <c r="Q107" i="8"/>
  <c r="Q95" i="8"/>
  <c r="Q92" i="8"/>
  <c r="Q114" i="8"/>
  <c r="Q98" i="8"/>
  <c r="Q88" i="8"/>
  <c r="Q108" i="8"/>
  <c r="Q89" i="8"/>
  <c r="Q113" i="8"/>
  <c r="Q91" i="8"/>
  <c r="Q97" i="8"/>
  <c r="Q111" i="8"/>
  <c r="Q144" i="13"/>
  <c r="Q86" i="13"/>
  <c r="Q79" i="13"/>
  <c r="Q148" i="13" s="1"/>
  <c r="Q81" i="13"/>
  <c r="W142" i="6"/>
  <c r="W79" i="6"/>
  <c r="W148" i="6" s="1"/>
  <c r="W77" i="6"/>
  <c r="W146" i="6" s="1"/>
  <c r="T144" i="12"/>
  <c r="T86" i="12"/>
  <c r="E81" i="8"/>
  <c r="AA144" i="10"/>
  <c r="AA86" i="10"/>
  <c r="U142" i="10"/>
  <c r="U77" i="10"/>
  <c r="AB80" i="6"/>
  <c r="AB149" i="6" s="1"/>
  <c r="R144" i="10"/>
  <c r="R86" i="10"/>
  <c r="R79" i="10"/>
  <c r="R148" i="10" s="1"/>
  <c r="L29" i="16"/>
  <c r="Q147" i="12"/>
  <c r="Q150" i="12" s="1"/>
  <c r="X144" i="13"/>
  <c r="X86" i="13"/>
  <c r="J79" i="8"/>
  <c r="J148" i="8" s="1"/>
  <c r="J38" i="16"/>
  <c r="Z147" i="10"/>
  <c r="S142" i="12"/>
  <c r="S77" i="12"/>
  <c r="AA81" i="10"/>
  <c r="AA82" i="10" s="1"/>
  <c r="AA84" i="10" s="1"/>
  <c r="L35" i="16"/>
  <c r="W147" i="12"/>
  <c r="S86" i="7"/>
  <c r="S144" i="7"/>
  <c r="AB76" i="9"/>
  <c r="T145" i="9"/>
  <c r="T81" i="9"/>
  <c r="T142" i="10"/>
  <c r="T77" i="10"/>
  <c r="T146" i="10" s="1"/>
  <c r="M144" i="13"/>
  <c r="M86" i="13"/>
  <c r="AA83" i="8"/>
  <c r="S143" i="12"/>
  <c r="S83" i="12"/>
  <c r="V81" i="7"/>
  <c r="X80" i="10"/>
  <c r="X149" i="10" s="1"/>
  <c r="AB79" i="6"/>
  <c r="AB148" i="6" s="1"/>
  <c r="Q143" i="8"/>
  <c r="Q83" i="8"/>
  <c r="Q78" i="8"/>
  <c r="U83" i="6"/>
  <c r="F4" i="14"/>
  <c r="Z78" i="7"/>
  <c r="T144" i="8"/>
  <c r="T86" i="8"/>
  <c r="I39" i="16"/>
  <c r="AA147" i="9"/>
  <c r="P79" i="10"/>
  <c r="P148" i="10" s="1"/>
  <c r="T143" i="8"/>
  <c r="T83" i="8"/>
  <c r="T80" i="8"/>
  <c r="T149" i="8" s="1"/>
  <c r="T78" i="8"/>
  <c r="T79" i="8"/>
  <c r="T148" i="8" s="1"/>
  <c r="Q86" i="6"/>
  <c r="Q144" i="6"/>
  <c r="Y80" i="9"/>
  <c r="Y149" i="9" s="1"/>
  <c r="Z142" i="11"/>
  <c r="N111" i="8"/>
  <c r="N95" i="8"/>
  <c r="N108" i="8"/>
  <c r="N92" i="8"/>
  <c r="N105" i="8"/>
  <c r="N102" i="8"/>
  <c r="N115" i="8"/>
  <c r="N99" i="8"/>
  <c r="N112" i="8"/>
  <c r="N96" i="8"/>
  <c r="N109" i="8"/>
  <c r="N93" i="8"/>
  <c r="N103" i="8"/>
  <c r="N113" i="8"/>
  <c r="N97" i="8"/>
  <c r="N110" i="8"/>
  <c r="N94" i="8"/>
  <c r="N114" i="8"/>
  <c r="N98" i="8"/>
  <c r="N107" i="8"/>
  <c r="N100" i="8"/>
  <c r="N101" i="8"/>
  <c r="N88" i="8"/>
  <c r="N106" i="8"/>
  <c r="N90" i="8"/>
  <c r="N89" i="8"/>
  <c r="N91" i="8"/>
  <c r="N116" i="8"/>
  <c r="N104" i="8"/>
  <c r="T141" i="10"/>
  <c r="T76" i="10"/>
  <c r="T83" i="10" s="1"/>
  <c r="U78" i="10"/>
  <c r="Z143" i="11"/>
  <c r="Z83" i="11"/>
  <c r="Z78" i="11"/>
  <c r="S79" i="9"/>
  <c r="S148" i="9" s="1"/>
  <c r="X83" i="10"/>
  <c r="S78" i="12"/>
  <c r="Q79" i="11"/>
  <c r="Q148" i="11" s="1"/>
  <c r="AB144" i="8"/>
  <c r="AB86" i="8"/>
  <c r="V143" i="12"/>
  <c r="V83" i="12"/>
  <c r="S80" i="11"/>
  <c r="S149" i="11" s="1"/>
  <c r="X143" i="11"/>
  <c r="X78" i="11"/>
  <c r="P143" i="10"/>
  <c r="P83" i="10"/>
  <c r="P78" i="10"/>
  <c r="AB80" i="12"/>
  <c r="AB149" i="12" s="1"/>
  <c r="S80" i="12"/>
  <c r="S149" i="12" s="1"/>
  <c r="X81" i="10"/>
  <c r="S143" i="8"/>
  <c r="S83" i="8"/>
  <c r="W105" i="7"/>
  <c r="W102" i="7"/>
  <c r="W115" i="7"/>
  <c r="W99" i="7"/>
  <c r="W112" i="7"/>
  <c r="W109" i="7"/>
  <c r="W106" i="7"/>
  <c r="W116" i="7"/>
  <c r="W100" i="7"/>
  <c r="W113" i="7"/>
  <c r="W97" i="7"/>
  <c r="W107" i="7"/>
  <c r="W104" i="7"/>
  <c r="W111" i="7"/>
  <c r="W103" i="7"/>
  <c r="W98" i="7"/>
  <c r="W101" i="7"/>
  <c r="W90" i="7"/>
  <c r="W94" i="7"/>
  <c r="W93" i="7"/>
  <c r="W88" i="7"/>
  <c r="W114" i="7"/>
  <c r="W92" i="7"/>
  <c r="W89" i="7"/>
  <c r="W110" i="7"/>
  <c r="W91" i="7"/>
  <c r="W96" i="7"/>
  <c r="W95" i="7"/>
  <c r="W108" i="7"/>
  <c r="L144" i="13"/>
  <c r="L86" i="13"/>
  <c r="L79" i="13"/>
  <c r="L148" i="13" s="1"/>
  <c r="Y143" i="13"/>
  <c r="Y83" i="13"/>
  <c r="R83" i="11"/>
  <c r="R143" i="11"/>
  <c r="R79" i="11"/>
  <c r="R148" i="11" s="1"/>
  <c r="S77" i="9"/>
  <c r="X146" i="9"/>
  <c r="X81" i="9"/>
  <c r="U81" i="9"/>
  <c r="V79" i="13"/>
  <c r="V148" i="13" s="1"/>
  <c r="U79" i="10"/>
  <c r="U148" i="10" s="1"/>
  <c r="R144" i="8"/>
  <c r="R86" i="8"/>
  <c r="R79" i="8"/>
  <c r="R148" i="8" s="1"/>
  <c r="M26" i="16"/>
  <c r="N147" i="13"/>
  <c r="N150" i="13" s="1"/>
  <c r="W14" i="16" s="1"/>
  <c r="AB80" i="8"/>
  <c r="AB149" i="8" s="1"/>
  <c r="Q78" i="6"/>
  <c r="O143" i="8"/>
  <c r="O83" i="8"/>
  <c r="G33" i="16"/>
  <c r="U147" i="7"/>
  <c r="W144" i="13"/>
  <c r="W86" i="13"/>
  <c r="V80" i="12"/>
  <c r="V149" i="12" s="1"/>
  <c r="S86" i="8"/>
  <c r="S144" i="8"/>
  <c r="S79" i="7"/>
  <c r="S148" i="7" s="1"/>
  <c r="U80" i="9"/>
  <c r="U149" i="9" s="1"/>
  <c r="P114" i="13"/>
  <c r="P98" i="13"/>
  <c r="P116" i="13"/>
  <c r="P111" i="13"/>
  <c r="P108" i="13"/>
  <c r="P92" i="13"/>
  <c r="P105" i="13"/>
  <c r="P89" i="13"/>
  <c r="P102" i="13"/>
  <c r="P113" i="13"/>
  <c r="P115" i="13"/>
  <c r="P109" i="13"/>
  <c r="P107" i="13"/>
  <c r="P112" i="13"/>
  <c r="P97" i="13"/>
  <c r="P101" i="13"/>
  <c r="P100" i="13"/>
  <c r="P96" i="13"/>
  <c r="P99" i="13"/>
  <c r="P95" i="13"/>
  <c r="P106" i="13"/>
  <c r="P90" i="13"/>
  <c r="P88" i="13"/>
  <c r="P93" i="13"/>
  <c r="P104" i="13"/>
  <c r="P110" i="13"/>
  <c r="P103" i="13"/>
  <c r="P91" i="13"/>
  <c r="P94" i="13"/>
  <c r="Q144" i="11"/>
  <c r="Q86" i="11"/>
  <c r="K144" i="13"/>
  <c r="K86" i="13"/>
  <c r="S81" i="11"/>
  <c r="D109" i="8"/>
  <c r="D93" i="8"/>
  <c r="D106" i="8"/>
  <c r="D90" i="8"/>
  <c r="D103" i="8"/>
  <c r="D116" i="8"/>
  <c r="D100" i="8"/>
  <c r="D113" i="8"/>
  <c r="D97" i="8"/>
  <c r="D110" i="8"/>
  <c r="D107" i="8"/>
  <c r="D91" i="8"/>
  <c r="D101" i="8"/>
  <c r="D111" i="8"/>
  <c r="D95" i="8"/>
  <c r="D108" i="8"/>
  <c r="D92" i="8"/>
  <c r="D112" i="8"/>
  <c r="D96" i="8"/>
  <c r="D102" i="8"/>
  <c r="D114" i="8"/>
  <c r="D105" i="8"/>
  <c r="D98" i="8"/>
  <c r="D94" i="8"/>
  <c r="D104" i="8"/>
  <c r="D99" i="8"/>
  <c r="D89" i="8"/>
  <c r="D88" i="8"/>
  <c r="D115" i="8"/>
  <c r="X80" i="13"/>
  <c r="X149" i="13" s="1"/>
  <c r="V80" i="13"/>
  <c r="V149" i="13" s="1"/>
  <c r="Z142" i="7"/>
  <c r="Z80" i="7"/>
  <c r="Z149" i="7" s="1"/>
  <c r="Z77" i="7"/>
  <c r="Z146" i="7" s="1"/>
  <c r="V142" i="9"/>
  <c r="V79" i="9"/>
  <c r="V148" i="9" s="1"/>
  <c r="V78" i="9"/>
  <c r="V77" i="9"/>
  <c r="H28" i="16"/>
  <c r="AA142" i="8"/>
  <c r="AA77" i="8"/>
  <c r="AA146" i="8" s="1"/>
  <c r="P80" i="8"/>
  <c r="P149" i="8" s="1"/>
  <c r="X77" i="11"/>
  <c r="X146" i="11" s="1"/>
  <c r="Y81" i="9"/>
  <c r="E83" i="8"/>
  <c r="Z80" i="10"/>
  <c r="Z149" i="10" s="1"/>
  <c r="X79" i="10"/>
  <c r="X148" i="10" s="1"/>
  <c r="Z143" i="6"/>
  <c r="Z83" i="6"/>
  <c r="G32" i="16"/>
  <c r="T147" i="7"/>
  <c r="H144" i="13"/>
  <c r="H86" i="13"/>
  <c r="P81" i="12"/>
  <c r="X80" i="9"/>
  <c r="X149" i="9" s="1"/>
  <c r="R144" i="11"/>
  <c r="R86" i="11"/>
  <c r="P80" i="10"/>
  <c r="P149" i="10" s="1"/>
  <c r="W80" i="12"/>
  <c r="W149" i="12" s="1"/>
  <c r="Y86" i="13"/>
  <c r="Y144" i="13"/>
  <c r="H141" i="8"/>
  <c r="H77" i="8"/>
  <c r="H146" i="8" s="1"/>
  <c r="Y115" i="6"/>
  <c r="Y114" i="6"/>
  <c r="Y91" i="6"/>
  <c r="Y107" i="6"/>
  <c r="Y104" i="6"/>
  <c r="Y88" i="6"/>
  <c r="Y112" i="6"/>
  <c r="Y101" i="6"/>
  <c r="Y98" i="6"/>
  <c r="Y95" i="6"/>
  <c r="Y110" i="6"/>
  <c r="Y92" i="6"/>
  <c r="Y102" i="6"/>
  <c r="Y108" i="6"/>
  <c r="Y99" i="6"/>
  <c r="Y113" i="6"/>
  <c r="Y96" i="6"/>
  <c r="Y111" i="6"/>
  <c r="Y103" i="6"/>
  <c r="Y106" i="6"/>
  <c r="Y109" i="6"/>
  <c r="Y94" i="6"/>
  <c r="Y100" i="6"/>
  <c r="Y97" i="6"/>
  <c r="Y89" i="6"/>
  <c r="Y116" i="6"/>
  <c r="Y93" i="6"/>
  <c r="Y105" i="6"/>
  <c r="Y90" i="6"/>
  <c r="J36" i="16"/>
  <c r="X147" i="10"/>
  <c r="F40" i="16"/>
  <c r="AB147" i="6"/>
  <c r="M23" i="16"/>
  <c r="K147" i="13"/>
  <c r="M31" i="16"/>
  <c r="S147" i="13"/>
  <c r="Y86" i="7"/>
  <c r="Y144" i="7"/>
  <c r="X146" i="13"/>
  <c r="X81" i="13"/>
  <c r="P144" i="11"/>
  <c r="P86" i="11"/>
  <c r="AB81" i="12"/>
  <c r="S143" i="13"/>
  <c r="S83" i="13"/>
  <c r="X83" i="13"/>
  <c r="C4" i="14"/>
  <c r="Z76" i="9"/>
  <c r="V86" i="9"/>
  <c r="V144" i="9"/>
  <c r="S79" i="11"/>
  <c r="S148" i="11" s="1"/>
  <c r="J144" i="13"/>
  <c r="J150" i="13" s="1"/>
  <c r="W10" i="16" s="1"/>
  <c r="J86" i="13"/>
  <c r="C75" i="8"/>
  <c r="AC75" i="8" s="1"/>
  <c r="F143" i="8"/>
  <c r="F83" i="8"/>
  <c r="S142" i="13"/>
  <c r="R81" i="13"/>
  <c r="R82" i="13" s="1"/>
  <c r="R84" i="13" s="1"/>
  <c r="Z144" i="9"/>
  <c r="Z86" i="9"/>
  <c r="G36" i="16"/>
  <c r="X147" i="7"/>
  <c r="T105" i="9"/>
  <c r="T102" i="9"/>
  <c r="T115" i="9"/>
  <c r="T112" i="9"/>
  <c r="T103" i="9"/>
  <c r="T100" i="9"/>
  <c r="T88" i="9"/>
  <c r="T113" i="9"/>
  <c r="T98" i="9"/>
  <c r="T116" i="9"/>
  <c r="T110" i="9"/>
  <c r="T104" i="9"/>
  <c r="T95" i="9"/>
  <c r="T111" i="9"/>
  <c r="T109" i="9"/>
  <c r="T92" i="9"/>
  <c r="T114" i="9"/>
  <c r="T89" i="9"/>
  <c r="T99" i="9"/>
  <c r="T108" i="9"/>
  <c r="T96" i="9"/>
  <c r="T93" i="9"/>
  <c r="T91" i="9"/>
  <c r="T107" i="9"/>
  <c r="T106" i="9"/>
  <c r="T101" i="9"/>
  <c r="T97" i="9"/>
  <c r="T94" i="9"/>
  <c r="T90" i="9"/>
  <c r="U83" i="13"/>
  <c r="P79" i="9"/>
  <c r="P148" i="9" s="1"/>
  <c r="X76" i="11"/>
  <c r="O147" i="8"/>
  <c r="AB144" i="13"/>
  <c r="AB86" i="13"/>
  <c r="R146" i="7"/>
  <c r="R81" i="7"/>
  <c r="R82" i="7" s="1"/>
  <c r="R84" i="7" s="1"/>
  <c r="F142" i="8"/>
  <c r="F77" i="8"/>
  <c r="R90" i="7"/>
  <c r="U81" i="13"/>
  <c r="T143" i="10"/>
  <c r="X113" i="8"/>
  <c r="X97" i="8"/>
  <c r="X110" i="8"/>
  <c r="X94" i="8"/>
  <c r="X107" i="8"/>
  <c r="X91" i="8"/>
  <c r="X104" i="8"/>
  <c r="X88" i="8"/>
  <c r="X101" i="8"/>
  <c r="X114" i="8"/>
  <c r="X98" i="8"/>
  <c r="X111" i="8"/>
  <c r="X95" i="8"/>
  <c r="X105" i="8"/>
  <c r="X89" i="8"/>
  <c r="X115" i="8"/>
  <c r="X99" i="8"/>
  <c r="X112" i="8"/>
  <c r="X96" i="8"/>
  <c r="X116" i="8"/>
  <c r="X100" i="8"/>
  <c r="X103" i="8"/>
  <c r="X108" i="8"/>
  <c r="X90" i="8"/>
  <c r="X106" i="8"/>
  <c r="X102" i="8"/>
  <c r="X109" i="8"/>
  <c r="X92" i="8"/>
  <c r="X93" i="8"/>
  <c r="B31" i="5"/>
  <c r="Z77" i="11"/>
  <c r="T80" i="9"/>
  <c r="T149" i="9" s="1"/>
  <c r="G80" i="8"/>
  <c r="G149" i="8" s="1"/>
  <c r="V144" i="11"/>
  <c r="V86" i="11"/>
  <c r="V79" i="11"/>
  <c r="X82" i="7"/>
  <c r="X84" i="7" s="1"/>
  <c r="K143" i="13"/>
  <c r="K83" i="13"/>
  <c r="I110" i="8"/>
  <c r="I94" i="8"/>
  <c r="I107" i="8"/>
  <c r="I91" i="8"/>
  <c r="I104" i="8"/>
  <c r="I101" i="8"/>
  <c r="I114" i="8"/>
  <c r="I98" i="8"/>
  <c r="I111" i="8"/>
  <c r="I95" i="8"/>
  <c r="I108" i="8"/>
  <c r="I92" i="8"/>
  <c r="I102" i="8"/>
  <c r="I112" i="8"/>
  <c r="I96" i="8"/>
  <c r="I109" i="8"/>
  <c r="I93" i="8"/>
  <c r="I113" i="8"/>
  <c r="I97" i="8"/>
  <c r="I116" i="8"/>
  <c r="I100" i="8"/>
  <c r="I105" i="8"/>
  <c r="I103" i="8"/>
  <c r="I115" i="8"/>
  <c r="I106" i="8"/>
  <c r="I99" i="8"/>
  <c r="I90" i="8"/>
  <c r="I89" i="8"/>
  <c r="I88" i="8"/>
  <c r="AA86" i="8"/>
  <c r="AA144" i="8"/>
  <c r="D146" i="8"/>
  <c r="D150" i="8" s="1"/>
  <c r="O81" i="13"/>
  <c r="O82" i="13" s="1"/>
  <c r="H76" i="8"/>
  <c r="H83" i="8" s="1"/>
  <c r="Y79" i="9"/>
  <c r="Y148" i="9" s="1"/>
  <c r="T141" i="12"/>
  <c r="T81" i="12"/>
  <c r="S145" i="6"/>
  <c r="S83" i="6"/>
  <c r="I33" i="16"/>
  <c r="U147" i="9"/>
  <c r="Z144" i="8"/>
  <c r="Z86" i="8"/>
  <c r="X144" i="12"/>
  <c r="X86" i="12"/>
  <c r="V144" i="10"/>
  <c r="V86" i="10"/>
  <c r="T144" i="7"/>
  <c r="T86" i="7"/>
  <c r="T79" i="7"/>
  <c r="T148" i="7" s="1"/>
  <c r="G29" i="16"/>
  <c r="Q147" i="7"/>
  <c r="T81" i="7"/>
  <c r="H76" i="13"/>
  <c r="AA78" i="11"/>
  <c r="X83" i="9"/>
  <c r="Q81" i="10"/>
  <c r="Q82" i="10" s="1"/>
  <c r="D81" i="8"/>
  <c r="X83" i="12"/>
  <c r="X143" i="12"/>
  <c r="P77" i="10"/>
  <c r="H78" i="8"/>
  <c r="K37" i="16"/>
  <c r="Y147" i="11"/>
  <c r="Y150" i="11" s="1"/>
  <c r="U25" i="16" s="1"/>
  <c r="R143" i="8"/>
  <c r="R83" i="8"/>
  <c r="AB143" i="11"/>
  <c r="AB78" i="11"/>
  <c r="W144" i="8"/>
  <c r="W86" i="8"/>
  <c r="L37" i="16"/>
  <c r="Y147" i="12"/>
  <c r="Y150" i="12" s="1"/>
  <c r="T78" i="12"/>
  <c r="I147" i="13"/>
  <c r="M21" i="16"/>
  <c r="V143" i="13"/>
  <c r="W144" i="6"/>
  <c r="W86" i="6"/>
  <c r="R80" i="12"/>
  <c r="R149" i="12" s="1"/>
  <c r="R81" i="8"/>
  <c r="I32" i="16"/>
  <c r="T147" i="9"/>
  <c r="AB141" i="13"/>
  <c r="AB76" i="13"/>
  <c r="P80" i="9"/>
  <c r="P149" i="9" s="1"/>
  <c r="S144" i="12"/>
  <c r="S86" i="12"/>
  <c r="AA81" i="9"/>
  <c r="M78" i="13"/>
  <c r="Y143" i="7"/>
  <c r="Y83" i="7"/>
  <c r="S81" i="6"/>
  <c r="S141" i="10"/>
  <c r="S80" i="10"/>
  <c r="S149" i="10" s="1"/>
  <c r="S79" i="10"/>
  <c r="S148" i="10" s="1"/>
  <c r="P144" i="10"/>
  <c r="P86" i="10"/>
  <c r="W82" i="9"/>
  <c r="W84" i="9" s="1"/>
  <c r="R79" i="9"/>
  <c r="R148" i="9" s="1"/>
  <c r="W90" i="9" l="1"/>
  <c r="R91" i="7"/>
  <c r="W80" i="6"/>
  <c r="W149" i="6" s="1"/>
  <c r="V103" i="6"/>
  <c r="H26" i="16"/>
  <c r="P147" i="7"/>
  <c r="P150" i="7" s="1"/>
  <c r="Q16" i="16" s="1"/>
  <c r="W102" i="9"/>
  <c r="V96" i="6"/>
  <c r="J113" i="8"/>
  <c r="S147" i="6"/>
  <c r="W99" i="9"/>
  <c r="W101" i="9"/>
  <c r="W145" i="6"/>
  <c r="V145" i="13"/>
  <c r="V113" i="6"/>
  <c r="J102" i="8"/>
  <c r="U83" i="10"/>
  <c r="W108" i="9"/>
  <c r="V111" i="6"/>
  <c r="W96" i="9"/>
  <c r="R107" i="7"/>
  <c r="V89" i="6"/>
  <c r="J96" i="8"/>
  <c r="W115" i="9"/>
  <c r="L147" i="13"/>
  <c r="R100" i="7"/>
  <c r="Q147" i="10"/>
  <c r="Q150" i="10" s="1"/>
  <c r="T17" i="16" s="1"/>
  <c r="R95" i="7"/>
  <c r="R89" i="7"/>
  <c r="R109" i="7"/>
  <c r="V105" i="6"/>
  <c r="J103" i="8"/>
  <c r="W89" i="9"/>
  <c r="V82" i="6"/>
  <c r="V84" i="6" s="1"/>
  <c r="R94" i="7"/>
  <c r="W107" i="9"/>
  <c r="R113" i="7"/>
  <c r="R92" i="7"/>
  <c r="V115" i="6"/>
  <c r="J112" i="8"/>
  <c r="W114" i="9"/>
  <c r="R102" i="7"/>
  <c r="W94" i="9"/>
  <c r="Y81" i="7"/>
  <c r="V110" i="6"/>
  <c r="R110" i="7"/>
  <c r="V95" i="6"/>
  <c r="J116" i="8"/>
  <c r="W95" i="9"/>
  <c r="AA81" i="12"/>
  <c r="W92" i="9"/>
  <c r="R88" i="7"/>
  <c r="W111" i="9"/>
  <c r="W110" i="9"/>
  <c r="V88" i="6"/>
  <c r="H25" i="16"/>
  <c r="J110" i="8"/>
  <c r="W113" i="9"/>
  <c r="J88" i="8"/>
  <c r="R103" i="7"/>
  <c r="V112" i="6"/>
  <c r="V104" i="6"/>
  <c r="J93" i="8"/>
  <c r="W116" i="9"/>
  <c r="Y98" i="12"/>
  <c r="X150" i="7"/>
  <c r="Q24" i="16" s="1"/>
  <c r="R116" i="7"/>
  <c r="R106" i="7"/>
  <c r="R99" i="7"/>
  <c r="AA150" i="10"/>
  <c r="J99" i="8"/>
  <c r="W106" i="9"/>
  <c r="Y93" i="12"/>
  <c r="W103" i="9"/>
  <c r="R105" i="7"/>
  <c r="V114" i="6"/>
  <c r="J115" i="8"/>
  <c r="W109" i="9"/>
  <c r="Y112" i="12"/>
  <c r="F39" i="16"/>
  <c r="U81" i="7"/>
  <c r="U82" i="7" s="1"/>
  <c r="U84" i="7" s="1"/>
  <c r="J94" i="8"/>
  <c r="R112" i="7"/>
  <c r="V107" i="6"/>
  <c r="R115" i="7"/>
  <c r="S82" i="6"/>
  <c r="R4" i="16"/>
  <c r="R108" i="7"/>
  <c r="V94" i="6"/>
  <c r="J89" i="8"/>
  <c r="W112" i="9"/>
  <c r="AB113" i="10"/>
  <c r="Y92" i="12"/>
  <c r="W104" i="9"/>
  <c r="R83" i="12"/>
  <c r="Y99" i="12"/>
  <c r="R93" i="7"/>
  <c r="V101" i="6"/>
  <c r="Y95" i="12"/>
  <c r="J108" i="8"/>
  <c r="Y105" i="12"/>
  <c r="J104" i="8"/>
  <c r="K81" i="13"/>
  <c r="J109" i="8"/>
  <c r="J105" i="8"/>
  <c r="R98" i="7"/>
  <c r="V109" i="6"/>
  <c r="R114" i="7"/>
  <c r="V100" i="6"/>
  <c r="AB116" i="11"/>
  <c r="J95" i="8"/>
  <c r="U95" i="8"/>
  <c r="V101" i="8"/>
  <c r="Y88" i="12"/>
  <c r="AB83" i="11"/>
  <c r="R96" i="7"/>
  <c r="U80" i="10"/>
  <c r="U149" i="10" s="1"/>
  <c r="V91" i="6"/>
  <c r="R111" i="7"/>
  <c r="V97" i="6"/>
  <c r="W91" i="9"/>
  <c r="Y91" i="12"/>
  <c r="R97" i="7"/>
  <c r="J92" i="8"/>
  <c r="R9" i="16"/>
  <c r="P81" i="8"/>
  <c r="P82" i="8" s="1"/>
  <c r="P84" i="8" s="1"/>
  <c r="R101" i="7"/>
  <c r="V116" i="6"/>
  <c r="J111" i="8"/>
  <c r="AA82" i="9"/>
  <c r="J98" i="8"/>
  <c r="W97" i="9"/>
  <c r="Y94" i="12"/>
  <c r="J100" i="8"/>
  <c r="U150" i="7"/>
  <c r="Q21" i="16" s="1"/>
  <c r="J97" i="8"/>
  <c r="J114" i="8"/>
  <c r="Y110" i="12"/>
  <c r="AA82" i="12"/>
  <c r="U114" i="7"/>
  <c r="U96" i="7"/>
  <c r="U100" i="10"/>
  <c r="U101" i="10"/>
  <c r="Y96" i="12"/>
  <c r="Y97" i="12"/>
  <c r="U116" i="7"/>
  <c r="U112" i="7"/>
  <c r="AA147" i="12"/>
  <c r="AA150" i="12" s="1"/>
  <c r="U108" i="10"/>
  <c r="U104" i="10"/>
  <c r="Y102" i="12"/>
  <c r="Y113" i="12"/>
  <c r="U98" i="7"/>
  <c r="U102" i="7"/>
  <c r="U103" i="10"/>
  <c r="U107" i="10"/>
  <c r="Y109" i="12"/>
  <c r="Y103" i="12"/>
  <c r="Y115" i="12"/>
  <c r="Y90" i="12"/>
  <c r="U89" i="7"/>
  <c r="U108" i="7"/>
  <c r="U105" i="10"/>
  <c r="Y89" i="12"/>
  <c r="Y106" i="12"/>
  <c r="U106" i="10"/>
  <c r="U101" i="7"/>
  <c r="U111" i="7"/>
  <c r="U90" i="10"/>
  <c r="L81" i="13"/>
  <c r="Y114" i="12"/>
  <c r="U95" i="10"/>
  <c r="U94" i="10"/>
  <c r="Q90" i="7"/>
  <c r="AB81" i="8"/>
  <c r="Y101" i="12"/>
  <c r="U97" i="7"/>
  <c r="U88" i="10"/>
  <c r="U96" i="10"/>
  <c r="Y111" i="12"/>
  <c r="Y104" i="12"/>
  <c r="T82" i="11"/>
  <c r="T84" i="11" s="1"/>
  <c r="W81" i="12"/>
  <c r="W82" i="12" s="1"/>
  <c r="W84" i="12" s="1"/>
  <c r="U88" i="7"/>
  <c r="U98" i="10"/>
  <c r="Y108" i="12"/>
  <c r="J90" i="8"/>
  <c r="J91" i="8"/>
  <c r="J106" i="8"/>
  <c r="N81" i="8"/>
  <c r="N82" i="8" s="1"/>
  <c r="N84" i="8" s="1"/>
  <c r="P82" i="12"/>
  <c r="P84" i="12" s="1"/>
  <c r="L34" i="16"/>
  <c r="Q96" i="12"/>
  <c r="Q103" i="12"/>
  <c r="Q109" i="12"/>
  <c r="Q94" i="12"/>
  <c r="Q93" i="12"/>
  <c r="Q97" i="12"/>
  <c r="Q106" i="12"/>
  <c r="Q116" i="12"/>
  <c r="Q114" i="12"/>
  <c r="Q113" i="12"/>
  <c r="Q98" i="12"/>
  <c r="Q102" i="12"/>
  <c r="Q110" i="12"/>
  <c r="Q111" i="12"/>
  <c r="Q107" i="12"/>
  <c r="Q95" i="12"/>
  <c r="Q101" i="12"/>
  <c r="Q105" i="12"/>
  <c r="Q88" i="12"/>
  <c r="Q108" i="12"/>
  <c r="Q90" i="12"/>
  <c r="Q91" i="12"/>
  <c r="Q99" i="12"/>
  <c r="Q92" i="12"/>
  <c r="Q89" i="12"/>
  <c r="Q115" i="12"/>
  <c r="Q104" i="12"/>
  <c r="Q112" i="12"/>
  <c r="Q100" i="12"/>
  <c r="Q116" i="7"/>
  <c r="Q107" i="7"/>
  <c r="Q88" i="7"/>
  <c r="Q113" i="7"/>
  <c r="AB147" i="13"/>
  <c r="Q106" i="7"/>
  <c r="Q94" i="7"/>
  <c r="Q93" i="7"/>
  <c r="Q91" i="7"/>
  <c r="Q109" i="7"/>
  <c r="Q100" i="7"/>
  <c r="Q99" i="7"/>
  <c r="U82" i="8"/>
  <c r="U84" i="8" s="1"/>
  <c r="Q110" i="7"/>
  <c r="Q115" i="7"/>
  <c r="Q96" i="7"/>
  <c r="Q102" i="7"/>
  <c r="V25" i="16"/>
  <c r="Q112" i="7"/>
  <c r="Q105" i="7"/>
  <c r="Q89" i="7"/>
  <c r="Q95" i="7"/>
  <c r="Q98" i="7"/>
  <c r="Q111" i="7"/>
  <c r="Q92" i="7"/>
  <c r="Q114" i="7"/>
  <c r="Q103" i="7"/>
  <c r="J32" i="16"/>
  <c r="R150" i="13"/>
  <c r="W18" i="16" s="1"/>
  <c r="V82" i="7"/>
  <c r="R150" i="7"/>
  <c r="Q18" i="16" s="1"/>
  <c r="Y81" i="13"/>
  <c r="Y82" i="13" s="1"/>
  <c r="Y84" i="13" s="1"/>
  <c r="W150" i="11"/>
  <c r="U23" i="16" s="1"/>
  <c r="AB80" i="11"/>
  <c r="AB149" i="11" s="1"/>
  <c r="N82" i="13"/>
  <c r="N84" i="13" s="1"/>
  <c r="W150" i="13"/>
  <c r="W23" i="16" s="1"/>
  <c r="K82" i="13"/>
  <c r="P82" i="13"/>
  <c r="P84" i="13" s="1"/>
  <c r="V147" i="13"/>
  <c r="U150" i="8"/>
  <c r="R21" i="16" s="1"/>
  <c r="AA81" i="13"/>
  <c r="T100" i="11"/>
  <c r="T116" i="11"/>
  <c r="W82" i="10"/>
  <c r="W84" i="10" s="1"/>
  <c r="T105" i="11"/>
  <c r="Z84" i="13"/>
  <c r="V145" i="7"/>
  <c r="V150" i="7" s="1"/>
  <c r="Q22" i="16" s="1"/>
  <c r="V83" i="7"/>
  <c r="AA84" i="12"/>
  <c r="Y82" i="11"/>
  <c r="Y84" i="11" s="1"/>
  <c r="I97" i="13"/>
  <c r="I92" i="13"/>
  <c r="I116" i="13"/>
  <c r="I110" i="13"/>
  <c r="I115" i="13"/>
  <c r="I94" i="13"/>
  <c r="I114" i="13"/>
  <c r="I109" i="13"/>
  <c r="I107" i="13"/>
  <c r="I99" i="13"/>
  <c r="I91" i="13"/>
  <c r="I88" i="13"/>
  <c r="I104" i="13"/>
  <c r="I105" i="13"/>
  <c r="I108" i="13"/>
  <c r="I90" i="13"/>
  <c r="I102" i="13"/>
  <c r="I95" i="13"/>
  <c r="I89" i="13"/>
  <c r="I98" i="13"/>
  <c r="I111" i="13"/>
  <c r="I101" i="13"/>
  <c r="I112" i="13"/>
  <c r="I106" i="13"/>
  <c r="I103" i="13"/>
  <c r="I113" i="13"/>
  <c r="I93" i="13"/>
  <c r="I96" i="13"/>
  <c r="I100" i="13"/>
  <c r="V27" i="16"/>
  <c r="F147" i="8"/>
  <c r="W82" i="11"/>
  <c r="W84" i="11" s="1"/>
  <c r="AA80" i="13"/>
  <c r="AA149" i="13" s="1"/>
  <c r="S81" i="10"/>
  <c r="J82" i="13"/>
  <c r="J84" i="13" s="1"/>
  <c r="C141" i="8"/>
  <c r="M27" i="16"/>
  <c r="O147" i="13"/>
  <c r="O150" i="13" s="1"/>
  <c r="W15" i="16" s="1"/>
  <c r="P150" i="12"/>
  <c r="V16" i="16" s="1"/>
  <c r="O84" i="13"/>
  <c r="S23" i="16"/>
  <c r="W146" i="7"/>
  <c r="W81" i="7"/>
  <c r="W82" i="7" s="1"/>
  <c r="W84" i="7" s="1"/>
  <c r="T27" i="16"/>
  <c r="G35" i="16"/>
  <c r="W147" i="7"/>
  <c r="O82" i="8"/>
  <c r="O84" i="8" s="1"/>
  <c r="L82" i="8"/>
  <c r="L84" i="8" s="1"/>
  <c r="AB150" i="12"/>
  <c r="V28" i="16" s="1"/>
  <c r="V17" i="16"/>
  <c r="W91" i="10"/>
  <c r="W102" i="10"/>
  <c r="W100" i="10"/>
  <c r="W98" i="10"/>
  <c r="W108" i="10"/>
  <c r="W111" i="10"/>
  <c r="W95" i="10"/>
  <c r="W92" i="10"/>
  <c r="W105" i="10"/>
  <c r="W99" i="10"/>
  <c r="W114" i="10"/>
  <c r="W112" i="10"/>
  <c r="W110" i="10"/>
  <c r="W96" i="10"/>
  <c r="W97" i="10"/>
  <c r="W90" i="10"/>
  <c r="W109" i="10"/>
  <c r="W93" i="10"/>
  <c r="W88" i="10"/>
  <c r="W106" i="10"/>
  <c r="W113" i="10"/>
  <c r="W94" i="10"/>
  <c r="W116" i="10"/>
  <c r="W115" i="10"/>
  <c r="W103" i="10"/>
  <c r="W107" i="10"/>
  <c r="W104" i="10"/>
  <c r="W101" i="10"/>
  <c r="W89" i="10"/>
  <c r="U150" i="12"/>
  <c r="V21" i="16" s="1"/>
  <c r="Y150" i="9"/>
  <c r="S25" i="16" s="1"/>
  <c r="G150" i="8"/>
  <c r="R7" i="16" s="1"/>
  <c r="K146" i="8"/>
  <c r="K150" i="8" s="1"/>
  <c r="R11" i="16" s="1"/>
  <c r="K81" i="8"/>
  <c r="K82" i="8" s="1"/>
  <c r="K84" i="8" s="1"/>
  <c r="S82" i="13"/>
  <c r="S84" i="13" s="1"/>
  <c r="C142" i="8"/>
  <c r="AA83" i="13"/>
  <c r="R84" i="6"/>
  <c r="S84" i="6"/>
  <c r="H81" i="13"/>
  <c r="Z82" i="12"/>
  <c r="Z84" i="12" s="1"/>
  <c r="Y145" i="6"/>
  <c r="Y83" i="6"/>
  <c r="X82" i="8"/>
  <c r="X84" i="8" s="1"/>
  <c r="P150" i="8"/>
  <c r="R16" i="16" s="1"/>
  <c r="U82" i="13"/>
  <c r="U84" i="13" s="1"/>
  <c r="R81" i="12"/>
  <c r="R82" i="12" s="1"/>
  <c r="Y82" i="12"/>
  <c r="Y84" i="12" s="1"/>
  <c r="Y80" i="6"/>
  <c r="Z147" i="12"/>
  <c r="Y81" i="6"/>
  <c r="Q84" i="10"/>
  <c r="R82" i="8"/>
  <c r="R84" i="8" s="1"/>
  <c r="T23" i="16"/>
  <c r="U147" i="11"/>
  <c r="O150" i="8"/>
  <c r="R15" i="16" s="1"/>
  <c r="T150" i="9"/>
  <c r="S20" i="16" s="1"/>
  <c r="AA84" i="9"/>
  <c r="C77" i="8"/>
  <c r="AC77" i="8" s="1"/>
  <c r="Q82" i="7"/>
  <c r="Q84" i="7" s="1"/>
  <c r="F37" i="16"/>
  <c r="Y147" i="6"/>
  <c r="Z82" i="8"/>
  <c r="Z84" i="8" s="1"/>
  <c r="T146" i="6"/>
  <c r="T150" i="6" s="1"/>
  <c r="P20" i="16" s="1"/>
  <c r="T81" i="6"/>
  <c r="T82" i="6" s="1"/>
  <c r="T84" i="6" s="1"/>
  <c r="W150" i="12"/>
  <c r="V23" i="16" s="1"/>
  <c r="J40" i="16"/>
  <c r="AB147" i="10"/>
  <c r="S82" i="11"/>
  <c r="S84" i="11" s="1"/>
  <c r="AB145" i="10"/>
  <c r="AB83" i="10"/>
  <c r="AB80" i="10"/>
  <c r="AB149" i="10" s="1"/>
  <c r="S82" i="10"/>
  <c r="S84" i="10" s="1"/>
  <c r="V150" i="10"/>
  <c r="T22" i="16" s="1"/>
  <c r="Y82" i="7"/>
  <c r="Y84" i="7" s="1"/>
  <c r="M146" i="8"/>
  <c r="M150" i="8" s="1"/>
  <c r="R13" i="16" s="1"/>
  <c r="M81" i="8"/>
  <c r="M82" i="8" s="1"/>
  <c r="M84" i="8" s="1"/>
  <c r="S150" i="13"/>
  <c r="W19" i="16" s="1"/>
  <c r="Z150" i="6"/>
  <c r="P26" i="16" s="1"/>
  <c r="I82" i="13"/>
  <c r="I84" i="13" s="1"/>
  <c r="AB82" i="7"/>
  <c r="AB84" i="7" s="1"/>
  <c r="S81" i="7"/>
  <c r="X82" i="13"/>
  <c r="X84" i="13" s="1"/>
  <c r="T82" i="7"/>
  <c r="T84" i="7" s="1"/>
  <c r="AB150" i="6"/>
  <c r="P28" i="16" s="1"/>
  <c r="AA150" i="6"/>
  <c r="Q150" i="13"/>
  <c r="W17" i="16" s="1"/>
  <c r="R150" i="11"/>
  <c r="U18" i="16" s="1"/>
  <c r="K84" i="13"/>
  <c r="C144" i="8"/>
  <c r="S150" i="11"/>
  <c r="U19" i="16" s="1"/>
  <c r="X150" i="13"/>
  <c r="W24" i="16" s="1"/>
  <c r="Y150" i="7"/>
  <c r="Q25" i="16" s="1"/>
  <c r="X150" i="9"/>
  <c r="S24" i="16" s="1"/>
  <c r="T150" i="7"/>
  <c r="Q20" i="16" s="1"/>
  <c r="Q150" i="7"/>
  <c r="Q17" i="16" s="1"/>
  <c r="U82" i="12"/>
  <c r="U84" i="12" s="1"/>
  <c r="U82" i="9"/>
  <c r="U84" i="9" s="1"/>
  <c r="H80" i="8"/>
  <c r="H149" i="8" s="1"/>
  <c r="C143" i="8"/>
  <c r="AA150" i="8"/>
  <c r="R27" i="16" s="1"/>
  <c r="T81" i="10"/>
  <c r="X82" i="9"/>
  <c r="X84" i="9" s="1"/>
  <c r="V82" i="10"/>
  <c r="V84" i="10" s="1"/>
  <c r="M58" i="12"/>
  <c r="M127" i="12" s="1"/>
  <c r="M121" i="12"/>
  <c r="M57" i="12"/>
  <c r="M126" i="12" s="1"/>
  <c r="M59" i="12"/>
  <c r="M128" i="12" s="1"/>
  <c r="M56" i="12"/>
  <c r="M60" i="12" s="1"/>
  <c r="M129" i="12" s="1"/>
  <c r="F59" i="11"/>
  <c r="F128" i="11" s="1"/>
  <c r="F57" i="11"/>
  <c r="F126" i="11" s="1"/>
  <c r="F56" i="11"/>
  <c r="F121" i="11"/>
  <c r="F58" i="11"/>
  <c r="F127" i="11" s="1"/>
  <c r="N121" i="7"/>
  <c r="N56" i="7"/>
  <c r="N60" i="7" s="1"/>
  <c r="N129" i="7" s="1"/>
  <c r="N59" i="7"/>
  <c r="N128" i="7" s="1"/>
  <c r="N58" i="7"/>
  <c r="N127" i="7" s="1"/>
  <c r="N57" i="7"/>
  <c r="N126" i="7" s="1"/>
  <c r="D56" i="7"/>
  <c r="D60" i="7" s="1"/>
  <c r="D58" i="7"/>
  <c r="C52" i="7"/>
  <c r="AC52" i="7" s="1"/>
  <c r="D59" i="7"/>
  <c r="D121" i="7"/>
  <c r="D57" i="7"/>
  <c r="I59" i="7"/>
  <c r="I128" i="7" s="1"/>
  <c r="I56" i="7"/>
  <c r="I125" i="7" s="1"/>
  <c r="I121" i="7"/>
  <c r="I57" i="7"/>
  <c r="I126" i="7" s="1"/>
  <c r="I58" i="7"/>
  <c r="I127" i="7" s="1"/>
  <c r="E58" i="6"/>
  <c r="E127" i="6" s="1"/>
  <c r="E59" i="6"/>
  <c r="E128" i="6" s="1"/>
  <c r="E56" i="6"/>
  <c r="E57" i="6"/>
  <c r="E126" i="6" s="1"/>
  <c r="E121" i="6"/>
  <c r="O56" i="6"/>
  <c r="O58" i="6"/>
  <c r="O127" i="6" s="1"/>
  <c r="O121" i="6"/>
  <c r="O57" i="6"/>
  <c r="O126" i="6" s="1"/>
  <c r="O59" i="6"/>
  <c r="O128" i="6" s="1"/>
  <c r="C86" i="8"/>
  <c r="O121" i="9"/>
  <c r="O58" i="9"/>
  <c r="O127" i="9" s="1"/>
  <c r="O57" i="9"/>
  <c r="O126" i="9" s="1"/>
  <c r="O59" i="9"/>
  <c r="O128" i="9" s="1"/>
  <c r="O56" i="9"/>
  <c r="O125" i="9" s="1"/>
  <c r="E121" i="9"/>
  <c r="E58" i="9"/>
  <c r="E127" i="9" s="1"/>
  <c r="E57" i="9"/>
  <c r="E126" i="9" s="1"/>
  <c r="E56" i="9"/>
  <c r="E125" i="9" s="1"/>
  <c r="E59" i="9"/>
  <c r="E128" i="9" s="1"/>
  <c r="D123" i="12"/>
  <c r="C123" i="12" s="1"/>
  <c r="C54" i="12"/>
  <c r="E121" i="10"/>
  <c r="E57" i="10"/>
  <c r="E126" i="10" s="1"/>
  <c r="E58" i="10"/>
  <c r="E127" i="10" s="1"/>
  <c r="E56" i="10"/>
  <c r="E125" i="10" s="1"/>
  <c r="E59" i="10"/>
  <c r="E128" i="10" s="1"/>
  <c r="O121" i="10"/>
  <c r="O58" i="10"/>
  <c r="O127" i="10" s="1"/>
  <c r="O59" i="10"/>
  <c r="O57" i="10"/>
  <c r="O126" i="10" s="1"/>
  <c r="O56" i="10"/>
  <c r="O60" i="10" s="1"/>
  <c r="O129" i="10" s="1"/>
  <c r="K57" i="11"/>
  <c r="K126" i="11" s="1"/>
  <c r="K59" i="11"/>
  <c r="K128" i="11" s="1"/>
  <c r="K58" i="11"/>
  <c r="K127" i="11" s="1"/>
  <c r="K56" i="11"/>
  <c r="K121" i="11"/>
  <c r="D122" i="7"/>
  <c r="C122" i="7" s="1"/>
  <c r="C53" i="7"/>
  <c r="AC53" i="7" s="1"/>
  <c r="AA145" i="7"/>
  <c r="AA83" i="7"/>
  <c r="J57" i="6"/>
  <c r="J126" i="6" s="1"/>
  <c r="J56" i="6"/>
  <c r="J125" i="6" s="1"/>
  <c r="J59" i="6"/>
  <c r="J128" i="6" s="1"/>
  <c r="J60" i="6"/>
  <c r="J129" i="6" s="1"/>
  <c r="J121" i="6"/>
  <c r="J58" i="6"/>
  <c r="J127" i="6" s="1"/>
  <c r="J57" i="9"/>
  <c r="J126" i="9" s="1"/>
  <c r="J121" i="9"/>
  <c r="J59" i="9"/>
  <c r="J58" i="9"/>
  <c r="J127" i="9" s="1"/>
  <c r="J56" i="9"/>
  <c r="J125" i="9" s="1"/>
  <c r="C55" i="13"/>
  <c r="AC55" i="13" s="1"/>
  <c r="D124" i="13"/>
  <c r="C124" i="13" s="1"/>
  <c r="J121" i="10"/>
  <c r="J56" i="10"/>
  <c r="J59" i="10"/>
  <c r="J128" i="10" s="1"/>
  <c r="J57" i="10"/>
  <c r="J126" i="10" s="1"/>
  <c r="J58" i="10"/>
  <c r="J127" i="10" s="1"/>
  <c r="G82" i="8"/>
  <c r="G84" i="8" s="1"/>
  <c r="Q146" i="8"/>
  <c r="Q81" i="8"/>
  <c r="N57" i="12"/>
  <c r="N58" i="12"/>
  <c r="N127" i="12" s="1"/>
  <c r="N56" i="12"/>
  <c r="N125" i="12" s="1"/>
  <c r="N121" i="12"/>
  <c r="N59" i="12"/>
  <c r="N128" i="12" s="1"/>
  <c r="D56" i="12"/>
  <c r="D60" i="12" s="1"/>
  <c r="D121" i="12"/>
  <c r="D59" i="12"/>
  <c r="D58" i="12"/>
  <c r="D57" i="12"/>
  <c r="C52" i="12"/>
  <c r="AC52" i="12" s="1"/>
  <c r="I58" i="12"/>
  <c r="I127" i="12" s="1"/>
  <c r="I121" i="12"/>
  <c r="I56" i="12"/>
  <c r="I60" i="12" s="1"/>
  <c r="I129" i="12" s="1"/>
  <c r="I59" i="12"/>
  <c r="I128" i="12" s="1"/>
  <c r="I57" i="12"/>
  <c r="I126" i="12" s="1"/>
  <c r="P149" i="6"/>
  <c r="P150" i="6" s="1"/>
  <c r="P16" i="16" s="1"/>
  <c r="P82" i="6"/>
  <c r="P84" i="6" s="1"/>
  <c r="G121" i="11"/>
  <c r="G59" i="11"/>
  <c r="G128" i="11" s="1"/>
  <c r="G57" i="11"/>
  <c r="G126" i="11" s="1"/>
  <c r="G58" i="11"/>
  <c r="G127" i="11" s="1"/>
  <c r="G56" i="11"/>
  <c r="O121" i="7"/>
  <c r="O56" i="7"/>
  <c r="O59" i="7"/>
  <c r="O128" i="7" s="1"/>
  <c r="O57" i="7"/>
  <c r="O126" i="7" s="1"/>
  <c r="O58" i="7"/>
  <c r="O127" i="7" s="1"/>
  <c r="E57" i="7"/>
  <c r="E126" i="7" s="1"/>
  <c r="E121" i="7"/>
  <c r="E56" i="7"/>
  <c r="E60" i="7" s="1"/>
  <c r="E129" i="7" s="1"/>
  <c r="E58" i="7"/>
  <c r="E127" i="7" s="1"/>
  <c r="E59" i="7"/>
  <c r="E128" i="7" s="1"/>
  <c r="F56" i="6"/>
  <c r="F125" i="6" s="1"/>
  <c r="F57" i="6"/>
  <c r="F126" i="6" s="1"/>
  <c r="F121" i="6"/>
  <c r="F58" i="6"/>
  <c r="F127" i="6" s="1"/>
  <c r="F59" i="6"/>
  <c r="F128" i="6" s="1"/>
  <c r="Q82" i="11"/>
  <c r="Q84" i="11" s="1"/>
  <c r="R82" i="9"/>
  <c r="R84" i="9" s="1"/>
  <c r="U81" i="6"/>
  <c r="F59" i="9"/>
  <c r="F128" i="9" s="1"/>
  <c r="F121" i="9"/>
  <c r="F56" i="9"/>
  <c r="F125" i="9" s="1"/>
  <c r="F58" i="9"/>
  <c r="F127" i="9" s="1"/>
  <c r="F57" i="9"/>
  <c r="F126" i="9" s="1"/>
  <c r="D57" i="13"/>
  <c r="D58" i="13"/>
  <c r="D121" i="13"/>
  <c r="D56" i="13"/>
  <c r="C52" i="13"/>
  <c r="AC52" i="13" s="1"/>
  <c r="D59" i="13"/>
  <c r="D122" i="12"/>
  <c r="C122" i="12" s="1"/>
  <c r="C53" i="12"/>
  <c r="AC53" i="12" s="1"/>
  <c r="F58" i="10"/>
  <c r="F127" i="10" s="1"/>
  <c r="F121" i="10"/>
  <c r="F56" i="10"/>
  <c r="F60" i="10" s="1"/>
  <c r="F57" i="10"/>
  <c r="F126" i="10" s="1"/>
  <c r="F59" i="10"/>
  <c r="F128" i="10" s="1"/>
  <c r="L56" i="11"/>
  <c r="L58" i="11"/>
  <c r="L127" i="11" s="1"/>
  <c r="L121" i="11"/>
  <c r="L59" i="11"/>
  <c r="L128" i="11" s="1"/>
  <c r="L57" i="11"/>
  <c r="L126" i="11" s="1"/>
  <c r="J121" i="7"/>
  <c r="J57" i="7"/>
  <c r="J126" i="7" s="1"/>
  <c r="J58" i="7"/>
  <c r="J56" i="7"/>
  <c r="J60" i="7" s="1"/>
  <c r="J129" i="7" s="1"/>
  <c r="J59" i="7"/>
  <c r="J128" i="7" s="1"/>
  <c r="K59" i="6"/>
  <c r="K128" i="6" s="1"/>
  <c r="K56" i="6"/>
  <c r="K58" i="6"/>
  <c r="K127" i="6" s="1"/>
  <c r="K57" i="6"/>
  <c r="K126" i="6" s="1"/>
  <c r="K121" i="6"/>
  <c r="Q150" i="11"/>
  <c r="U17" i="16" s="1"/>
  <c r="K121" i="9"/>
  <c r="K57" i="9"/>
  <c r="K126" i="9" s="1"/>
  <c r="K59" i="9"/>
  <c r="K128" i="9" s="1"/>
  <c r="K56" i="9"/>
  <c r="K58" i="9"/>
  <c r="K127" i="9" s="1"/>
  <c r="K56" i="10"/>
  <c r="K57" i="10"/>
  <c r="K126" i="10" s="1"/>
  <c r="K121" i="10"/>
  <c r="K58" i="10"/>
  <c r="K59" i="10"/>
  <c r="K128" i="10" s="1"/>
  <c r="E59" i="13"/>
  <c r="E128" i="13" s="1"/>
  <c r="E57" i="13"/>
  <c r="E126" i="13" s="1"/>
  <c r="E121" i="13"/>
  <c r="E56" i="13"/>
  <c r="E125" i="13" s="1"/>
  <c r="E58" i="13"/>
  <c r="E127" i="13" s="1"/>
  <c r="O121" i="12"/>
  <c r="O58" i="12"/>
  <c r="O127" i="12" s="1"/>
  <c r="O56" i="12"/>
  <c r="O59" i="12"/>
  <c r="O128" i="12" s="1"/>
  <c r="O57" i="12"/>
  <c r="O126" i="12" s="1"/>
  <c r="E121" i="12"/>
  <c r="E57" i="12"/>
  <c r="E59" i="12"/>
  <c r="E128" i="12" s="1"/>
  <c r="E56" i="12"/>
  <c r="E58" i="12"/>
  <c r="E127" i="12" s="1"/>
  <c r="D124" i="11"/>
  <c r="C124" i="11" s="1"/>
  <c r="C55" i="11"/>
  <c r="AC55" i="11" s="1"/>
  <c r="H56" i="11"/>
  <c r="H59" i="11"/>
  <c r="H128" i="11" s="1"/>
  <c r="H57" i="11"/>
  <c r="H126" i="11" s="1"/>
  <c r="H58" i="11"/>
  <c r="H127" i="11" s="1"/>
  <c r="H121" i="11"/>
  <c r="F121" i="7"/>
  <c r="F59" i="7"/>
  <c r="F57" i="7"/>
  <c r="F126" i="7" s="1"/>
  <c r="F56" i="7"/>
  <c r="F58" i="7"/>
  <c r="F127" i="7" s="1"/>
  <c r="G121" i="6"/>
  <c r="G57" i="6"/>
  <c r="G126" i="6" s="1"/>
  <c r="G56" i="6"/>
  <c r="G60" i="6" s="1"/>
  <c r="G129" i="6" s="1"/>
  <c r="G58" i="6"/>
  <c r="G127" i="6" s="1"/>
  <c r="G59" i="6"/>
  <c r="G56" i="9"/>
  <c r="G60" i="9" s="1"/>
  <c r="G129" i="9" s="1"/>
  <c r="G57" i="9"/>
  <c r="G126" i="9" s="1"/>
  <c r="G58" i="9"/>
  <c r="G127" i="9" s="1"/>
  <c r="G59" i="9"/>
  <c r="G128" i="9" s="1"/>
  <c r="G121" i="9"/>
  <c r="J59" i="12"/>
  <c r="J128" i="12" s="1"/>
  <c r="J56" i="12"/>
  <c r="J60" i="12" s="1"/>
  <c r="J129" i="12" s="1"/>
  <c r="J121" i="12"/>
  <c r="J57" i="12"/>
  <c r="J126" i="12" s="1"/>
  <c r="J58" i="12"/>
  <c r="J127" i="12" s="1"/>
  <c r="G59" i="10"/>
  <c r="G128" i="10" s="1"/>
  <c r="G121" i="10"/>
  <c r="G58" i="10"/>
  <c r="G127" i="10" s="1"/>
  <c r="G57" i="10"/>
  <c r="G56" i="10"/>
  <c r="G60" i="10" s="1"/>
  <c r="M121" i="11"/>
  <c r="M58" i="11"/>
  <c r="M127" i="11" s="1"/>
  <c r="M59" i="11"/>
  <c r="M128" i="11" s="1"/>
  <c r="M57" i="11"/>
  <c r="M126" i="11" s="1"/>
  <c r="M56" i="11"/>
  <c r="M60" i="11" s="1"/>
  <c r="M129" i="11" s="1"/>
  <c r="K57" i="7"/>
  <c r="K126" i="7" s="1"/>
  <c r="K121" i="7"/>
  <c r="K58" i="7"/>
  <c r="K127" i="7" s="1"/>
  <c r="K59" i="7"/>
  <c r="K128" i="7" s="1"/>
  <c r="K56" i="7"/>
  <c r="K60" i="7" s="1"/>
  <c r="K129" i="7" s="1"/>
  <c r="L58" i="6"/>
  <c r="L127" i="6" s="1"/>
  <c r="L57" i="6"/>
  <c r="L126" i="6" s="1"/>
  <c r="L59" i="6"/>
  <c r="L128" i="6" s="1"/>
  <c r="L121" i="6"/>
  <c r="L56" i="6"/>
  <c r="L125" i="6" s="1"/>
  <c r="AA150" i="13"/>
  <c r="W27" i="16" s="1"/>
  <c r="L58" i="9"/>
  <c r="L127" i="9" s="1"/>
  <c r="L59" i="9"/>
  <c r="L128" i="9" s="1"/>
  <c r="L121" i="9"/>
  <c r="L57" i="9"/>
  <c r="L126" i="9" s="1"/>
  <c r="L56" i="9"/>
  <c r="F59" i="13"/>
  <c r="F128" i="13" s="1"/>
  <c r="F57" i="13"/>
  <c r="F58" i="13"/>
  <c r="F127" i="13" s="1"/>
  <c r="F121" i="13"/>
  <c r="F56" i="13"/>
  <c r="F60" i="13" s="1"/>
  <c r="F129" i="13" s="1"/>
  <c r="L59" i="10"/>
  <c r="L128" i="10" s="1"/>
  <c r="L57" i="10"/>
  <c r="L126" i="10" s="1"/>
  <c r="L121" i="10"/>
  <c r="L58" i="10"/>
  <c r="L56" i="10"/>
  <c r="L60" i="10" s="1"/>
  <c r="L129" i="10" s="1"/>
  <c r="D123" i="11"/>
  <c r="C123" i="11" s="1"/>
  <c r="C54" i="11"/>
  <c r="AA82" i="6"/>
  <c r="AA84" i="6" s="1"/>
  <c r="G57" i="13"/>
  <c r="G126" i="13" s="1"/>
  <c r="G56" i="13"/>
  <c r="G60" i="13" s="1"/>
  <c r="G129" i="13" s="1"/>
  <c r="G59" i="13"/>
  <c r="G128" i="13" s="1"/>
  <c r="G121" i="13"/>
  <c r="G58" i="13"/>
  <c r="F56" i="12"/>
  <c r="F121" i="12"/>
  <c r="F57" i="12"/>
  <c r="F126" i="12" s="1"/>
  <c r="F58" i="12"/>
  <c r="F127" i="12" s="1"/>
  <c r="F59" i="12"/>
  <c r="F128" i="12" s="1"/>
  <c r="G56" i="7"/>
  <c r="G60" i="7" s="1"/>
  <c r="G121" i="7"/>
  <c r="G58" i="7"/>
  <c r="G127" i="7" s="1"/>
  <c r="G59" i="7"/>
  <c r="G128" i="7" s="1"/>
  <c r="G57" i="7"/>
  <c r="G126" i="7" s="1"/>
  <c r="Q81" i="6"/>
  <c r="Q82" i="6" s="1"/>
  <c r="Q84" i="6" s="1"/>
  <c r="C55" i="6"/>
  <c r="AC55" i="6" s="1"/>
  <c r="D124" i="6"/>
  <c r="C124" i="6" s="1"/>
  <c r="H59" i="6"/>
  <c r="H128" i="6" s="1"/>
  <c r="H58" i="6"/>
  <c r="H127" i="6" s="1"/>
  <c r="H121" i="6"/>
  <c r="H57" i="6"/>
  <c r="H126" i="6" s="1"/>
  <c r="H56" i="6"/>
  <c r="D124" i="9"/>
  <c r="C124" i="9" s="1"/>
  <c r="C55" i="9"/>
  <c r="AC55" i="9" s="1"/>
  <c r="H57" i="9"/>
  <c r="H126" i="9" s="1"/>
  <c r="H59" i="9"/>
  <c r="H128" i="9" s="1"/>
  <c r="H121" i="9"/>
  <c r="H58" i="9"/>
  <c r="H127" i="9" s="1"/>
  <c r="H56" i="9"/>
  <c r="D123" i="13"/>
  <c r="C123" i="13" s="1"/>
  <c r="C54" i="13"/>
  <c r="K57" i="12"/>
  <c r="K59" i="12"/>
  <c r="K128" i="12" s="1"/>
  <c r="K121" i="12"/>
  <c r="K56" i="12"/>
  <c r="K60" i="12" s="1"/>
  <c r="K129" i="12" s="1"/>
  <c r="K58" i="12"/>
  <c r="K127" i="12" s="1"/>
  <c r="C55" i="10"/>
  <c r="AC55" i="10" s="1"/>
  <c r="D124" i="10"/>
  <c r="C124" i="10" s="1"/>
  <c r="H121" i="10"/>
  <c r="H57" i="10"/>
  <c r="H126" i="10" s="1"/>
  <c r="H58" i="10"/>
  <c r="H59" i="10"/>
  <c r="H128" i="10" s="1"/>
  <c r="H56" i="10"/>
  <c r="H125" i="10" s="1"/>
  <c r="N59" i="11"/>
  <c r="N128" i="11" s="1"/>
  <c r="N58" i="11"/>
  <c r="N127" i="11" s="1"/>
  <c r="N121" i="11"/>
  <c r="N56" i="11"/>
  <c r="N57" i="11"/>
  <c r="N126" i="11" s="1"/>
  <c r="D121" i="11"/>
  <c r="C52" i="11"/>
  <c r="AC52" i="11" s="1"/>
  <c r="D58" i="11"/>
  <c r="D56" i="11"/>
  <c r="D57" i="11"/>
  <c r="D59" i="11"/>
  <c r="I56" i="11"/>
  <c r="I60" i="11" s="1"/>
  <c r="I129" i="11" s="1"/>
  <c r="I58" i="11"/>
  <c r="I127" i="11" s="1"/>
  <c r="I121" i="11"/>
  <c r="I59" i="11"/>
  <c r="I128" i="11" s="1"/>
  <c r="I57" i="11"/>
  <c r="I126" i="11" s="1"/>
  <c r="L57" i="7"/>
  <c r="L58" i="7"/>
  <c r="L127" i="7" s="1"/>
  <c r="L121" i="7"/>
  <c r="L59" i="7"/>
  <c r="L128" i="7" s="1"/>
  <c r="L56" i="7"/>
  <c r="L60" i="7" s="1"/>
  <c r="L129" i="7" s="1"/>
  <c r="M56" i="6"/>
  <c r="M60" i="6" s="1"/>
  <c r="M57" i="6"/>
  <c r="M126" i="6" s="1"/>
  <c r="M58" i="6"/>
  <c r="M127" i="6" s="1"/>
  <c r="M121" i="6"/>
  <c r="M59" i="6"/>
  <c r="M128" i="6" s="1"/>
  <c r="AA81" i="11"/>
  <c r="AA82" i="11" s="1"/>
  <c r="AA84" i="11" s="1"/>
  <c r="X82" i="12"/>
  <c r="X84" i="12" s="1"/>
  <c r="M57" i="9"/>
  <c r="M126" i="9" s="1"/>
  <c r="M59" i="9"/>
  <c r="M128" i="9" s="1"/>
  <c r="M121" i="9"/>
  <c r="M56" i="9"/>
  <c r="M60" i="9" s="1"/>
  <c r="M129" i="9" s="1"/>
  <c r="M58" i="9"/>
  <c r="M121" i="10"/>
  <c r="M56" i="10"/>
  <c r="M57" i="10"/>
  <c r="M126" i="10" s="1"/>
  <c r="M59" i="10"/>
  <c r="M128" i="10" s="1"/>
  <c r="M58" i="10"/>
  <c r="M127" i="10" s="1"/>
  <c r="D122" i="11"/>
  <c r="C122" i="11" s="1"/>
  <c r="C53" i="11"/>
  <c r="AC53" i="11" s="1"/>
  <c r="D123" i="6"/>
  <c r="C123" i="6" s="1"/>
  <c r="C54" i="6"/>
  <c r="R150" i="9"/>
  <c r="S18" i="16" s="1"/>
  <c r="D123" i="9"/>
  <c r="C123" i="9" s="1"/>
  <c r="C54" i="9"/>
  <c r="G56" i="12"/>
  <c r="G60" i="12" s="1"/>
  <c r="G129" i="12" s="1"/>
  <c r="G57" i="12"/>
  <c r="G58" i="12"/>
  <c r="G127" i="12" s="1"/>
  <c r="G121" i="12"/>
  <c r="G59" i="12"/>
  <c r="G128" i="12" s="1"/>
  <c r="D123" i="10"/>
  <c r="C123" i="10" s="1"/>
  <c r="C54" i="10"/>
  <c r="D124" i="7"/>
  <c r="C124" i="7" s="1"/>
  <c r="C55" i="7"/>
  <c r="AC55" i="7" s="1"/>
  <c r="H56" i="7"/>
  <c r="H60" i="7" s="1"/>
  <c r="H58" i="7"/>
  <c r="H127" i="7" s="1"/>
  <c r="H59" i="7"/>
  <c r="H128" i="7" s="1"/>
  <c r="H57" i="7"/>
  <c r="H126" i="7" s="1"/>
  <c r="H121" i="7"/>
  <c r="Q150" i="9"/>
  <c r="S17" i="16" s="1"/>
  <c r="L121" i="12"/>
  <c r="L59" i="12"/>
  <c r="L128" i="12" s="1"/>
  <c r="L56" i="12"/>
  <c r="L60" i="12" s="1"/>
  <c r="L129" i="12" s="1"/>
  <c r="L57" i="12"/>
  <c r="L126" i="12" s="1"/>
  <c r="L58" i="12"/>
  <c r="O59" i="11"/>
  <c r="O128" i="11" s="1"/>
  <c r="O56" i="11"/>
  <c r="O60" i="11" s="1"/>
  <c r="O129" i="11" s="1"/>
  <c r="O121" i="11"/>
  <c r="O57" i="11"/>
  <c r="O126" i="11" s="1"/>
  <c r="O58" i="11"/>
  <c r="O127" i="11" s="1"/>
  <c r="E58" i="11"/>
  <c r="E127" i="11" s="1"/>
  <c r="E57" i="11"/>
  <c r="E59" i="11"/>
  <c r="E128" i="11" s="1"/>
  <c r="E121" i="11"/>
  <c r="E56" i="11"/>
  <c r="E60" i="11" s="1"/>
  <c r="E129" i="11" s="1"/>
  <c r="M121" i="7"/>
  <c r="M59" i="7"/>
  <c r="M128" i="7" s="1"/>
  <c r="M56" i="7"/>
  <c r="M60" i="7" s="1"/>
  <c r="M58" i="7"/>
  <c r="M127" i="7" s="1"/>
  <c r="M57" i="7"/>
  <c r="M126" i="7" s="1"/>
  <c r="D58" i="6"/>
  <c r="C52" i="6"/>
  <c r="AC52" i="6" s="1"/>
  <c r="D59" i="6"/>
  <c r="D57" i="6"/>
  <c r="D56" i="6"/>
  <c r="D121" i="6"/>
  <c r="I56" i="6"/>
  <c r="I61" i="6" s="1"/>
  <c r="I130" i="6" s="1"/>
  <c r="I59" i="6"/>
  <c r="I128" i="6" s="1"/>
  <c r="I57" i="6"/>
  <c r="I126" i="6" s="1"/>
  <c r="I121" i="6"/>
  <c r="I58" i="6"/>
  <c r="I127" i="6" s="1"/>
  <c r="N58" i="6"/>
  <c r="N127" i="6" s="1"/>
  <c r="N59" i="6"/>
  <c r="N128" i="6" s="1"/>
  <c r="N121" i="6"/>
  <c r="N56" i="6"/>
  <c r="N125" i="6" s="1"/>
  <c r="N57" i="6"/>
  <c r="N126" i="6" s="1"/>
  <c r="I121" i="9"/>
  <c r="I57" i="9"/>
  <c r="I126" i="9" s="1"/>
  <c r="I56" i="9"/>
  <c r="I60" i="9" s="1"/>
  <c r="I129" i="9" s="1"/>
  <c r="I58" i="9"/>
  <c r="I127" i="9" s="1"/>
  <c r="I59" i="9"/>
  <c r="I128" i="9" s="1"/>
  <c r="N121" i="9"/>
  <c r="N56" i="9"/>
  <c r="N58" i="9"/>
  <c r="N127" i="9" s="1"/>
  <c r="N59" i="9"/>
  <c r="N128" i="9" s="1"/>
  <c r="N57" i="9"/>
  <c r="N126" i="9" s="1"/>
  <c r="D58" i="9"/>
  <c r="D56" i="9"/>
  <c r="D59" i="9"/>
  <c r="C52" i="9"/>
  <c r="AC52" i="9" s="1"/>
  <c r="D57" i="9"/>
  <c r="D121" i="9"/>
  <c r="D122" i="13"/>
  <c r="C122" i="13" s="1"/>
  <c r="C53" i="13"/>
  <c r="AC53" i="13" s="1"/>
  <c r="D121" i="10"/>
  <c r="D56" i="10"/>
  <c r="D57" i="10"/>
  <c r="C52" i="10"/>
  <c r="AC52" i="10" s="1"/>
  <c r="D59" i="10"/>
  <c r="D58" i="10"/>
  <c r="I121" i="10"/>
  <c r="I58" i="10"/>
  <c r="I127" i="10" s="1"/>
  <c r="I56" i="10"/>
  <c r="I59" i="10"/>
  <c r="I57" i="10"/>
  <c r="I126" i="10" s="1"/>
  <c r="N121" i="10"/>
  <c r="N56" i="10"/>
  <c r="N60" i="10" s="1"/>
  <c r="N129" i="10" s="1"/>
  <c r="N58" i="10"/>
  <c r="N127" i="10" s="1"/>
  <c r="N59" i="10"/>
  <c r="N128" i="10" s="1"/>
  <c r="N57" i="10"/>
  <c r="N126" i="10" s="1"/>
  <c r="J56" i="11"/>
  <c r="J60" i="11" s="1"/>
  <c r="J129" i="11" s="1"/>
  <c r="J57" i="11"/>
  <c r="J126" i="11" s="1"/>
  <c r="J58" i="11"/>
  <c r="J127" i="11" s="1"/>
  <c r="J121" i="11"/>
  <c r="J59" i="11"/>
  <c r="J128" i="11" s="1"/>
  <c r="D123" i="7"/>
  <c r="C123" i="7" s="1"/>
  <c r="C54" i="7"/>
  <c r="D122" i="6"/>
  <c r="C122" i="6" s="1"/>
  <c r="C53" i="6"/>
  <c r="AC53" i="6" s="1"/>
  <c r="S150" i="6"/>
  <c r="P19" i="16" s="1"/>
  <c r="W82" i="8"/>
  <c r="W84" i="8" s="1"/>
  <c r="D122" i="9"/>
  <c r="C122" i="9" s="1"/>
  <c r="C53" i="9"/>
  <c r="AC53" i="9" s="1"/>
  <c r="D124" i="12"/>
  <c r="C124" i="12" s="1"/>
  <c r="C55" i="12"/>
  <c r="AC55" i="12" s="1"/>
  <c r="H59" i="12"/>
  <c r="H128" i="12" s="1"/>
  <c r="H121" i="12"/>
  <c r="H56" i="12"/>
  <c r="H60" i="12" s="1"/>
  <c r="H129" i="12" s="1"/>
  <c r="H57" i="12"/>
  <c r="H126" i="12" s="1"/>
  <c r="H58" i="12"/>
  <c r="H127" i="12" s="1"/>
  <c r="D122" i="10"/>
  <c r="C122" i="10" s="1"/>
  <c r="C53" i="10"/>
  <c r="AC53" i="10" s="1"/>
  <c r="V114" i="10"/>
  <c r="V115" i="10"/>
  <c r="V113" i="10"/>
  <c r="V110" i="10"/>
  <c r="V94" i="10"/>
  <c r="V116" i="10"/>
  <c r="V104" i="10"/>
  <c r="V88" i="10"/>
  <c r="V101" i="10"/>
  <c r="V98" i="10"/>
  <c r="V108" i="10"/>
  <c r="V112" i="10"/>
  <c r="V96" i="10"/>
  <c r="V109" i="10"/>
  <c r="V93" i="10"/>
  <c r="V90" i="10"/>
  <c r="V106" i="10"/>
  <c r="V105" i="10"/>
  <c r="V103" i="10"/>
  <c r="V102" i="10"/>
  <c r="V89" i="10"/>
  <c r="V107" i="10"/>
  <c r="V100" i="10"/>
  <c r="V92" i="10"/>
  <c r="V99" i="10"/>
  <c r="V97" i="10"/>
  <c r="V91" i="10"/>
  <c r="V95" i="10"/>
  <c r="V111" i="10"/>
  <c r="H81" i="8"/>
  <c r="H82" i="8" s="1"/>
  <c r="H84" i="8" s="1"/>
  <c r="H145" i="13"/>
  <c r="H80" i="13"/>
  <c r="H149" i="13" s="1"/>
  <c r="X109" i="12"/>
  <c r="X93" i="12"/>
  <c r="X106" i="12"/>
  <c r="X90" i="12"/>
  <c r="X103" i="12"/>
  <c r="X116" i="12"/>
  <c r="X100" i="12"/>
  <c r="X113" i="12"/>
  <c r="X97" i="12"/>
  <c r="X110" i="12"/>
  <c r="X94" i="12"/>
  <c r="X107" i="12"/>
  <c r="X91" i="12"/>
  <c r="X104" i="12"/>
  <c r="X108" i="12"/>
  <c r="X92" i="12"/>
  <c r="X112" i="12"/>
  <c r="X96" i="12"/>
  <c r="X99" i="12"/>
  <c r="X102" i="12"/>
  <c r="X114" i="12"/>
  <c r="X111" i="12"/>
  <c r="X115" i="12"/>
  <c r="X101" i="12"/>
  <c r="X89" i="12"/>
  <c r="X105" i="12"/>
  <c r="X88" i="12"/>
  <c r="X95" i="12"/>
  <c r="X98" i="12"/>
  <c r="V148" i="11"/>
  <c r="V150" i="11" s="1"/>
  <c r="U22" i="16" s="1"/>
  <c r="V82" i="11"/>
  <c r="V84" i="11" s="1"/>
  <c r="Z81" i="7"/>
  <c r="Z82" i="7" s="1"/>
  <c r="Z84" i="7" s="1"/>
  <c r="F29" i="16"/>
  <c r="Q147" i="6"/>
  <c r="Q150" i="6" s="1"/>
  <c r="P17" i="16" s="1"/>
  <c r="J28" i="16"/>
  <c r="P147" i="10"/>
  <c r="H29" i="16"/>
  <c r="Q147" i="8"/>
  <c r="Q150" i="8" s="1"/>
  <c r="R17" i="16" s="1"/>
  <c r="AA115" i="10"/>
  <c r="AA116" i="10"/>
  <c r="AA111" i="10"/>
  <c r="AA95" i="10"/>
  <c r="AA105" i="10"/>
  <c r="AA89" i="10"/>
  <c r="AA102" i="10"/>
  <c r="AA99" i="10"/>
  <c r="AA109" i="10"/>
  <c r="AA114" i="10"/>
  <c r="AA97" i="10"/>
  <c r="AA113" i="10"/>
  <c r="AA110" i="10"/>
  <c r="AA94" i="10"/>
  <c r="AA106" i="10"/>
  <c r="AA93" i="10"/>
  <c r="AA104" i="10"/>
  <c r="AA103" i="10"/>
  <c r="AA107" i="10"/>
  <c r="AA112" i="10"/>
  <c r="AA101" i="10"/>
  <c r="AA100" i="10"/>
  <c r="AA92" i="10"/>
  <c r="AA108" i="10"/>
  <c r="AA98" i="10"/>
  <c r="AA88" i="10"/>
  <c r="AA96" i="10"/>
  <c r="AA91" i="10"/>
  <c r="AA90" i="10"/>
  <c r="AB82" i="6"/>
  <c r="AB84" i="6" s="1"/>
  <c r="P146" i="11"/>
  <c r="P81" i="11"/>
  <c r="P82" i="11" s="1"/>
  <c r="P84" i="11" s="1"/>
  <c r="U102" i="9"/>
  <c r="U115" i="9"/>
  <c r="U99" i="9"/>
  <c r="U112" i="9"/>
  <c r="U109" i="9"/>
  <c r="U116" i="9"/>
  <c r="U100" i="9"/>
  <c r="U105" i="9"/>
  <c r="U113" i="9"/>
  <c r="U98" i="9"/>
  <c r="U110" i="9"/>
  <c r="U104" i="9"/>
  <c r="U95" i="9"/>
  <c r="U111" i="9"/>
  <c r="U92" i="9"/>
  <c r="U114" i="9"/>
  <c r="U103" i="9"/>
  <c r="U89" i="9"/>
  <c r="U108" i="9"/>
  <c r="U96" i="9"/>
  <c r="U93" i="9"/>
  <c r="U107" i="9"/>
  <c r="U90" i="9"/>
  <c r="U106" i="9"/>
  <c r="U101" i="9"/>
  <c r="U91" i="9"/>
  <c r="U88" i="9"/>
  <c r="U97" i="9"/>
  <c r="U94" i="9"/>
  <c r="V82" i="12"/>
  <c r="V84" i="12" s="1"/>
  <c r="AB81" i="9"/>
  <c r="J31" i="16"/>
  <c r="S147" i="10"/>
  <c r="S150" i="10" s="1"/>
  <c r="T19" i="16" s="1"/>
  <c r="H40" i="16"/>
  <c r="AB147" i="8"/>
  <c r="AB150" i="8" s="1"/>
  <c r="R28" i="16" s="1"/>
  <c r="I40" i="16"/>
  <c r="AB147" i="9"/>
  <c r="L150" i="8"/>
  <c r="R12" i="16" s="1"/>
  <c r="P101" i="12"/>
  <c r="P114" i="12"/>
  <c r="P98" i="12"/>
  <c r="P111" i="12"/>
  <c r="P95" i="12"/>
  <c r="P108" i="12"/>
  <c r="P92" i="12"/>
  <c r="P105" i="12"/>
  <c r="P89" i="12"/>
  <c r="P102" i="12"/>
  <c r="P115" i="12"/>
  <c r="P99" i="12"/>
  <c r="P112" i="12"/>
  <c r="P96" i="12"/>
  <c r="P109" i="12"/>
  <c r="P116" i="12"/>
  <c r="P100" i="12"/>
  <c r="P110" i="12"/>
  <c r="P104" i="12"/>
  <c r="P107" i="12"/>
  <c r="P90" i="12"/>
  <c r="P113" i="12"/>
  <c r="P91" i="12"/>
  <c r="P88" i="12"/>
  <c r="P93" i="12"/>
  <c r="P103" i="12"/>
  <c r="P94" i="12"/>
  <c r="P97" i="12"/>
  <c r="P106" i="12"/>
  <c r="D82" i="8"/>
  <c r="X145" i="11"/>
  <c r="X80" i="11"/>
  <c r="X149" i="11" s="1"/>
  <c r="Z103" i="9"/>
  <c r="Z116" i="9"/>
  <c r="Z100" i="9"/>
  <c r="Z113" i="9"/>
  <c r="Z110" i="9"/>
  <c r="Z101" i="9"/>
  <c r="Z112" i="9"/>
  <c r="Z115" i="9"/>
  <c r="Z109" i="9"/>
  <c r="Z108" i="9"/>
  <c r="Z99" i="9"/>
  <c r="Z96" i="9"/>
  <c r="Z93" i="9"/>
  <c r="Z102" i="9"/>
  <c r="Z90" i="9"/>
  <c r="Z107" i="9"/>
  <c r="Z97" i="9"/>
  <c r="Z94" i="9"/>
  <c r="Z91" i="9"/>
  <c r="Z105" i="9"/>
  <c r="Z95" i="9"/>
  <c r="Z98" i="9"/>
  <c r="Z88" i="9"/>
  <c r="Z92" i="9"/>
  <c r="Z104" i="9"/>
  <c r="Z89" i="9"/>
  <c r="Z106" i="9"/>
  <c r="Z114" i="9"/>
  <c r="Z111" i="9"/>
  <c r="W116" i="8"/>
  <c r="W100" i="8"/>
  <c r="W113" i="8"/>
  <c r="W97" i="8"/>
  <c r="W110" i="8"/>
  <c r="W94" i="8"/>
  <c r="W107" i="8"/>
  <c r="W91" i="8"/>
  <c r="W104" i="8"/>
  <c r="W88" i="8"/>
  <c r="W101" i="8"/>
  <c r="W114" i="8"/>
  <c r="W98" i="8"/>
  <c r="W108" i="8"/>
  <c r="W92" i="8"/>
  <c r="W102" i="8"/>
  <c r="W115" i="8"/>
  <c r="W99" i="8"/>
  <c r="W103" i="8"/>
  <c r="W93" i="8"/>
  <c r="W105" i="8"/>
  <c r="W112" i="8"/>
  <c r="W96" i="8"/>
  <c r="W89" i="8"/>
  <c r="W90" i="8"/>
  <c r="W106" i="8"/>
  <c r="W111" i="8"/>
  <c r="W95" i="8"/>
  <c r="W109" i="8"/>
  <c r="L30" i="16"/>
  <c r="R147" i="12"/>
  <c r="R150" i="12" s="1"/>
  <c r="V18" i="16" s="1"/>
  <c r="X94" i="6"/>
  <c r="X114" i="6"/>
  <c r="X91" i="6"/>
  <c r="X107" i="6"/>
  <c r="X104" i="6"/>
  <c r="X88" i="6"/>
  <c r="X112" i="6"/>
  <c r="X101" i="6"/>
  <c r="X98" i="6"/>
  <c r="X95" i="6"/>
  <c r="X115" i="6"/>
  <c r="X105" i="6"/>
  <c r="X89" i="6"/>
  <c r="X102" i="6"/>
  <c r="X108" i="6"/>
  <c r="X99" i="6"/>
  <c r="X106" i="6"/>
  <c r="X90" i="6"/>
  <c r="X100" i="6"/>
  <c r="X97" i="6"/>
  <c r="X103" i="6"/>
  <c r="X109" i="6"/>
  <c r="X92" i="6"/>
  <c r="X111" i="6"/>
  <c r="X110" i="6"/>
  <c r="X113" i="6"/>
  <c r="X116" i="6"/>
  <c r="X96" i="6"/>
  <c r="X93" i="6"/>
  <c r="AB146" i="11"/>
  <c r="AB81" i="11"/>
  <c r="AB82" i="11" s="1"/>
  <c r="AB84" i="11" s="1"/>
  <c r="U111" i="6"/>
  <c r="U103" i="6"/>
  <c r="U116" i="6"/>
  <c r="U100" i="6"/>
  <c r="U109" i="6"/>
  <c r="U97" i="6"/>
  <c r="U94" i="6"/>
  <c r="U114" i="6"/>
  <c r="U91" i="6"/>
  <c r="U107" i="6"/>
  <c r="U104" i="6"/>
  <c r="U88" i="6"/>
  <c r="U98" i="6"/>
  <c r="U95" i="6"/>
  <c r="U110" i="6"/>
  <c r="U92" i="6"/>
  <c r="U99" i="6"/>
  <c r="U106" i="6"/>
  <c r="U112" i="6"/>
  <c r="U115" i="6"/>
  <c r="U101" i="6"/>
  <c r="U89" i="6"/>
  <c r="U90" i="6"/>
  <c r="U113" i="6"/>
  <c r="U105" i="6"/>
  <c r="U108" i="6"/>
  <c r="U102" i="6"/>
  <c r="U96" i="6"/>
  <c r="U93" i="6"/>
  <c r="H30" i="16"/>
  <c r="R147" i="8"/>
  <c r="R150" i="8" s="1"/>
  <c r="R18" i="16" s="1"/>
  <c r="Z82" i="6"/>
  <c r="Z84" i="6" s="1"/>
  <c r="L150" i="13"/>
  <c r="W12" i="16" s="1"/>
  <c r="H31" i="16"/>
  <c r="S147" i="8"/>
  <c r="S150" i="8" s="1"/>
  <c r="R19" i="16" s="1"/>
  <c r="J116" i="13"/>
  <c r="J112" i="13"/>
  <c r="J100" i="13"/>
  <c r="J110" i="13"/>
  <c r="J94" i="13"/>
  <c r="J114" i="13"/>
  <c r="J107" i="13"/>
  <c r="J91" i="13"/>
  <c r="J104" i="13"/>
  <c r="J88" i="13"/>
  <c r="J101" i="13"/>
  <c r="J115" i="13"/>
  <c r="J109" i="13"/>
  <c r="J111" i="13"/>
  <c r="J106" i="13"/>
  <c r="J105" i="13"/>
  <c r="J103" i="13"/>
  <c r="J102" i="13"/>
  <c r="J97" i="13"/>
  <c r="J90" i="13"/>
  <c r="J93" i="13"/>
  <c r="J89" i="13"/>
  <c r="J96" i="13"/>
  <c r="J92" i="13"/>
  <c r="J99" i="13"/>
  <c r="J95" i="13"/>
  <c r="J108" i="13"/>
  <c r="J98" i="13"/>
  <c r="J113" i="13"/>
  <c r="T114" i="7"/>
  <c r="T98" i="7"/>
  <c r="T111" i="7"/>
  <c r="T95" i="7"/>
  <c r="T108" i="7"/>
  <c r="T105" i="7"/>
  <c r="T102" i="7"/>
  <c r="T115" i="7"/>
  <c r="T99" i="7"/>
  <c r="T112" i="7"/>
  <c r="T109" i="7"/>
  <c r="T106" i="7"/>
  <c r="T116" i="7"/>
  <c r="T100" i="7"/>
  <c r="T113" i="7"/>
  <c r="T97" i="7"/>
  <c r="T104" i="7"/>
  <c r="T92" i="7"/>
  <c r="T103" i="7"/>
  <c r="T89" i="7"/>
  <c r="T107" i="7"/>
  <c r="T101" i="7"/>
  <c r="T94" i="7"/>
  <c r="T90" i="7"/>
  <c r="T88" i="7"/>
  <c r="T110" i="7"/>
  <c r="T93" i="7"/>
  <c r="T96" i="7"/>
  <c r="T91" i="7"/>
  <c r="V107" i="11"/>
  <c r="V91" i="11"/>
  <c r="V104" i="11"/>
  <c r="V88" i="11"/>
  <c r="V114" i="11"/>
  <c r="V98" i="11"/>
  <c r="V102" i="11"/>
  <c r="V109" i="11"/>
  <c r="V93" i="11"/>
  <c r="V103" i="11"/>
  <c r="V116" i="11"/>
  <c r="V112" i="11"/>
  <c r="V100" i="11"/>
  <c r="V89" i="11"/>
  <c r="V113" i="11"/>
  <c r="V94" i="11"/>
  <c r="V99" i="11"/>
  <c r="V115" i="11"/>
  <c r="V92" i="11"/>
  <c r="V97" i="11"/>
  <c r="V105" i="11"/>
  <c r="V108" i="11"/>
  <c r="V101" i="11"/>
  <c r="V111" i="11"/>
  <c r="V110" i="11"/>
  <c r="V95" i="11"/>
  <c r="V96" i="11"/>
  <c r="V106" i="11"/>
  <c r="V90" i="11"/>
  <c r="H20" i="16"/>
  <c r="H147" i="8"/>
  <c r="X82" i="6"/>
  <c r="X84" i="6" s="1"/>
  <c r="Z107" i="8"/>
  <c r="Z91" i="8"/>
  <c r="Z104" i="8"/>
  <c r="Z88" i="8"/>
  <c r="Z101" i="8"/>
  <c r="Z114" i="8"/>
  <c r="Z98" i="8"/>
  <c r="Z111" i="8"/>
  <c r="Z95" i="8"/>
  <c r="Z108" i="8"/>
  <c r="Z105" i="8"/>
  <c r="Z89" i="8"/>
  <c r="Z115" i="8"/>
  <c r="Z99" i="8"/>
  <c r="Z109" i="8"/>
  <c r="Z93" i="8"/>
  <c r="Z106" i="8"/>
  <c r="Z90" i="8"/>
  <c r="Z110" i="8"/>
  <c r="Z94" i="8"/>
  <c r="Z112" i="8"/>
  <c r="Z103" i="8"/>
  <c r="Z96" i="8"/>
  <c r="Z113" i="8"/>
  <c r="Z102" i="8"/>
  <c r="Z97" i="8"/>
  <c r="Z92" i="8"/>
  <c r="Z116" i="8"/>
  <c r="Z100" i="8"/>
  <c r="V115" i="9"/>
  <c r="V112" i="9"/>
  <c r="V109" i="9"/>
  <c r="V106" i="9"/>
  <c r="V116" i="9"/>
  <c r="V113" i="9"/>
  <c r="V98" i="9"/>
  <c r="V110" i="9"/>
  <c r="V104" i="9"/>
  <c r="V95" i="9"/>
  <c r="V111" i="9"/>
  <c r="V92" i="9"/>
  <c r="V114" i="9"/>
  <c r="V103" i="9"/>
  <c r="V89" i="9"/>
  <c r="V93" i="9"/>
  <c r="V107" i="9"/>
  <c r="V102" i="9"/>
  <c r="V90" i="9"/>
  <c r="V97" i="9"/>
  <c r="V91" i="9"/>
  <c r="V105" i="9"/>
  <c r="V100" i="9"/>
  <c r="V88" i="9"/>
  <c r="V96" i="9"/>
  <c r="V99" i="9"/>
  <c r="V108" i="9"/>
  <c r="V94" i="9"/>
  <c r="V101" i="9"/>
  <c r="Y115" i="7"/>
  <c r="Y99" i="7"/>
  <c r="Y112" i="7"/>
  <c r="Y96" i="7"/>
  <c r="Y109" i="7"/>
  <c r="Y106" i="7"/>
  <c r="Y103" i="7"/>
  <c r="Y116" i="7"/>
  <c r="Y100" i="7"/>
  <c r="Y113" i="7"/>
  <c r="Y110" i="7"/>
  <c r="Y107" i="7"/>
  <c r="Y101" i="7"/>
  <c r="Y114" i="7"/>
  <c r="Y98" i="7"/>
  <c r="Y105" i="7"/>
  <c r="Y90" i="7"/>
  <c r="Y111" i="7"/>
  <c r="Y94" i="7"/>
  <c r="Y93" i="7"/>
  <c r="Y95" i="7"/>
  <c r="Y104" i="7"/>
  <c r="Y91" i="7"/>
  <c r="Y108" i="7"/>
  <c r="Y89" i="7"/>
  <c r="Y97" i="7"/>
  <c r="Y88" i="7"/>
  <c r="Y92" i="7"/>
  <c r="Y102" i="7"/>
  <c r="H113" i="13"/>
  <c r="H106" i="13"/>
  <c r="H90" i="13"/>
  <c r="H112" i="13"/>
  <c r="H100" i="13"/>
  <c r="H97" i="13"/>
  <c r="H110" i="13"/>
  <c r="H94" i="13"/>
  <c r="H114" i="13"/>
  <c r="H107" i="13"/>
  <c r="H116" i="13"/>
  <c r="H91" i="13"/>
  <c r="H111" i="13"/>
  <c r="H109" i="13"/>
  <c r="H105" i="13"/>
  <c r="H103" i="13"/>
  <c r="H102" i="13"/>
  <c r="H101" i="13"/>
  <c r="H93" i="13"/>
  <c r="H89" i="13"/>
  <c r="H96" i="13"/>
  <c r="H99" i="13"/>
  <c r="H88" i="13"/>
  <c r="H95" i="13"/>
  <c r="H108" i="13"/>
  <c r="H98" i="13"/>
  <c r="H115" i="13"/>
  <c r="H104" i="13"/>
  <c r="H92" i="13"/>
  <c r="E82" i="8"/>
  <c r="E84" i="8" s="1"/>
  <c r="V115" i="12"/>
  <c r="V99" i="12"/>
  <c r="V112" i="12"/>
  <c r="V96" i="12"/>
  <c r="V109" i="12"/>
  <c r="V93" i="12"/>
  <c r="V106" i="12"/>
  <c r="V90" i="12"/>
  <c r="V103" i="12"/>
  <c r="V116" i="12"/>
  <c r="V100" i="12"/>
  <c r="V113" i="12"/>
  <c r="V97" i="12"/>
  <c r="V110" i="12"/>
  <c r="V94" i="12"/>
  <c r="V107" i="12"/>
  <c r="V114" i="12"/>
  <c r="V98" i="12"/>
  <c r="V108" i="12"/>
  <c r="V102" i="12"/>
  <c r="V111" i="12"/>
  <c r="V91" i="12"/>
  <c r="V88" i="12"/>
  <c r="V104" i="12"/>
  <c r="V92" i="12"/>
  <c r="V101" i="12"/>
  <c r="V95" i="12"/>
  <c r="V89" i="12"/>
  <c r="V105" i="12"/>
  <c r="T114" i="10"/>
  <c r="T100" i="10"/>
  <c r="T113" i="10"/>
  <c r="T110" i="10"/>
  <c r="T94" i="10"/>
  <c r="T107" i="10"/>
  <c r="T116" i="10"/>
  <c r="T104" i="10"/>
  <c r="T88" i="10"/>
  <c r="T115" i="10"/>
  <c r="T108" i="10"/>
  <c r="T102" i="10"/>
  <c r="T99" i="10"/>
  <c r="T111" i="10"/>
  <c r="T90" i="10"/>
  <c r="T112" i="10"/>
  <c r="T106" i="10"/>
  <c r="T105" i="10"/>
  <c r="T93" i="10"/>
  <c r="T103" i="10"/>
  <c r="T101" i="10"/>
  <c r="T89" i="10"/>
  <c r="T92" i="10"/>
  <c r="T97" i="10"/>
  <c r="T96" i="10"/>
  <c r="T91" i="10"/>
  <c r="T98" i="10"/>
  <c r="T109" i="10"/>
  <c r="T95" i="10"/>
  <c r="U20" i="16"/>
  <c r="T102" i="13"/>
  <c r="T96" i="13"/>
  <c r="T109" i="13"/>
  <c r="T93" i="13"/>
  <c r="T106" i="13"/>
  <c r="T90" i="13"/>
  <c r="T115" i="13"/>
  <c r="T103" i="13"/>
  <c r="T113" i="13"/>
  <c r="T89" i="13"/>
  <c r="T99" i="13"/>
  <c r="T92" i="13"/>
  <c r="T88" i="13"/>
  <c r="T95" i="13"/>
  <c r="T91" i="13"/>
  <c r="T98" i="13"/>
  <c r="T110" i="13"/>
  <c r="T107" i="13"/>
  <c r="T94" i="13"/>
  <c r="T116" i="13"/>
  <c r="T108" i="13"/>
  <c r="T105" i="13"/>
  <c r="T104" i="13"/>
  <c r="T111" i="13"/>
  <c r="T101" i="13"/>
  <c r="T100" i="13"/>
  <c r="T112" i="13"/>
  <c r="T97" i="13"/>
  <c r="T114" i="13"/>
  <c r="AB82" i="8"/>
  <c r="AB84" i="8" s="1"/>
  <c r="G31" i="16"/>
  <c r="S147" i="7"/>
  <c r="S150" i="7" s="1"/>
  <c r="Q19" i="16" s="1"/>
  <c r="G39" i="16"/>
  <c r="AA147" i="7"/>
  <c r="H35" i="16"/>
  <c r="W147" i="8"/>
  <c r="W150" i="8" s="1"/>
  <c r="R23" i="16" s="1"/>
  <c r="J81" i="8"/>
  <c r="S112" i="8"/>
  <c r="S96" i="8"/>
  <c r="S109" i="8"/>
  <c r="S93" i="8"/>
  <c r="S106" i="8"/>
  <c r="S103" i="8"/>
  <c r="S116" i="8"/>
  <c r="S100" i="8"/>
  <c r="S113" i="8"/>
  <c r="S97" i="8"/>
  <c r="S110" i="8"/>
  <c r="S94" i="8"/>
  <c r="S104" i="8"/>
  <c r="S88" i="8"/>
  <c r="S114" i="8"/>
  <c r="S98" i="8"/>
  <c r="S111" i="8"/>
  <c r="S95" i="8"/>
  <c r="S115" i="8"/>
  <c r="S99" i="8"/>
  <c r="S105" i="8"/>
  <c r="S101" i="8"/>
  <c r="S108" i="8"/>
  <c r="S89" i="8"/>
  <c r="S90" i="8"/>
  <c r="S91" i="8"/>
  <c r="S107" i="8"/>
  <c r="S102" i="8"/>
  <c r="S92" i="8"/>
  <c r="X82" i="10"/>
  <c r="X84" i="10" s="1"/>
  <c r="AB101" i="8"/>
  <c r="AB114" i="8"/>
  <c r="AB98" i="8"/>
  <c r="AB111" i="8"/>
  <c r="AB95" i="8"/>
  <c r="AB108" i="8"/>
  <c r="AB92" i="8"/>
  <c r="AB105" i="8"/>
  <c r="AB89" i="8"/>
  <c r="AB102" i="8"/>
  <c r="AB115" i="8"/>
  <c r="AB99" i="8"/>
  <c r="AB109" i="8"/>
  <c r="AB93" i="8"/>
  <c r="AB103" i="8"/>
  <c r="AB116" i="8"/>
  <c r="AB100" i="8"/>
  <c r="AB104" i="8"/>
  <c r="AB112" i="8"/>
  <c r="AB96" i="8"/>
  <c r="AB88" i="8"/>
  <c r="AB110" i="8"/>
  <c r="AB90" i="8"/>
  <c r="AB94" i="8"/>
  <c r="AB106" i="8"/>
  <c r="AB113" i="8"/>
  <c r="AB91" i="8"/>
  <c r="AB97" i="8"/>
  <c r="AB107" i="8"/>
  <c r="Q107" i="6"/>
  <c r="Q99" i="6"/>
  <c r="Q113" i="6"/>
  <c r="Q96" i="6"/>
  <c r="Q93" i="6"/>
  <c r="Q111" i="6"/>
  <c r="Q106" i="6"/>
  <c r="Q90" i="6"/>
  <c r="Q103" i="6"/>
  <c r="Q116" i="6"/>
  <c r="Q100" i="6"/>
  <c r="Q114" i="6"/>
  <c r="Q94" i="6"/>
  <c r="Q91" i="6"/>
  <c r="Q104" i="6"/>
  <c r="Q88" i="6"/>
  <c r="Q95" i="6"/>
  <c r="Q108" i="6"/>
  <c r="Q102" i="6"/>
  <c r="Q97" i="6"/>
  <c r="Q109" i="6"/>
  <c r="Q112" i="6"/>
  <c r="Q115" i="6"/>
  <c r="Q101" i="6"/>
  <c r="Q98" i="6"/>
  <c r="Q92" i="6"/>
  <c r="Q110" i="6"/>
  <c r="Q89" i="6"/>
  <c r="Q105" i="6"/>
  <c r="P146" i="10"/>
  <c r="P81" i="10"/>
  <c r="P82" i="10" s="1"/>
  <c r="P84" i="10" s="1"/>
  <c r="Z145" i="9"/>
  <c r="Z80" i="9"/>
  <c r="Z149" i="9" s="1"/>
  <c r="AA81" i="8"/>
  <c r="AA82" i="8" s="1"/>
  <c r="AA84" i="8" s="1"/>
  <c r="K36" i="16"/>
  <c r="X147" i="11"/>
  <c r="T82" i="9"/>
  <c r="T84" i="9" s="1"/>
  <c r="T105" i="12"/>
  <c r="T89" i="12"/>
  <c r="T102" i="12"/>
  <c r="T115" i="12"/>
  <c r="T99" i="12"/>
  <c r="T112" i="12"/>
  <c r="T96" i="12"/>
  <c r="T109" i="12"/>
  <c r="T93" i="12"/>
  <c r="T106" i="12"/>
  <c r="T103" i="12"/>
  <c r="T116" i="12"/>
  <c r="T100" i="12"/>
  <c r="T113" i="12"/>
  <c r="T104" i="12"/>
  <c r="T88" i="12"/>
  <c r="T114" i="12"/>
  <c r="T108" i="12"/>
  <c r="T101" i="12"/>
  <c r="T98" i="12"/>
  <c r="T111" i="12"/>
  <c r="T95" i="12"/>
  <c r="T91" i="12"/>
  <c r="T110" i="12"/>
  <c r="T92" i="12"/>
  <c r="T97" i="12"/>
  <c r="T94" i="12"/>
  <c r="T107" i="12"/>
  <c r="T90" i="12"/>
  <c r="AB112" i="6"/>
  <c r="AB98" i="6"/>
  <c r="AB95" i="6"/>
  <c r="AB110" i="6"/>
  <c r="AB92" i="6"/>
  <c r="AB105" i="6"/>
  <c r="AB89" i="6"/>
  <c r="AB115" i="6"/>
  <c r="AB102" i="6"/>
  <c r="AB108" i="6"/>
  <c r="AB99" i="6"/>
  <c r="AB93" i="6"/>
  <c r="AB106" i="6"/>
  <c r="AB90" i="6"/>
  <c r="AB111" i="6"/>
  <c r="AB103" i="6"/>
  <c r="AB109" i="6"/>
  <c r="AB94" i="6"/>
  <c r="AB91" i="6"/>
  <c r="AB88" i="6"/>
  <c r="AB107" i="6"/>
  <c r="AB104" i="6"/>
  <c r="AB101" i="6"/>
  <c r="AB114" i="6"/>
  <c r="AB116" i="6"/>
  <c r="AB113" i="6"/>
  <c r="AB100" i="6"/>
  <c r="AB96" i="6"/>
  <c r="AB97" i="6"/>
  <c r="F30" i="16"/>
  <c r="R147" i="6"/>
  <c r="R150" i="6" s="1"/>
  <c r="P18" i="16" s="1"/>
  <c r="AA146" i="7"/>
  <c r="AA81" i="7"/>
  <c r="AA82" i="7" s="1"/>
  <c r="R111" i="9"/>
  <c r="R108" i="9"/>
  <c r="R105" i="9"/>
  <c r="R102" i="9"/>
  <c r="R115" i="9"/>
  <c r="R112" i="9"/>
  <c r="R109" i="9"/>
  <c r="R94" i="9"/>
  <c r="R91" i="9"/>
  <c r="R100" i="9"/>
  <c r="R88" i="9"/>
  <c r="R113" i="9"/>
  <c r="R98" i="9"/>
  <c r="R116" i="9"/>
  <c r="R110" i="9"/>
  <c r="R104" i="9"/>
  <c r="R95" i="9"/>
  <c r="R114" i="9"/>
  <c r="R89" i="9"/>
  <c r="R99" i="9"/>
  <c r="R93" i="9"/>
  <c r="R106" i="9"/>
  <c r="R97" i="9"/>
  <c r="R107" i="9"/>
  <c r="R92" i="9"/>
  <c r="R96" i="9"/>
  <c r="R103" i="9"/>
  <c r="R90" i="9"/>
  <c r="R101" i="9"/>
  <c r="S108" i="12"/>
  <c r="S92" i="12"/>
  <c r="S105" i="12"/>
  <c r="S89" i="12"/>
  <c r="S102" i="12"/>
  <c r="S115" i="12"/>
  <c r="S99" i="12"/>
  <c r="S112" i="12"/>
  <c r="S96" i="12"/>
  <c r="S109" i="12"/>
  <c r="S93" i="12"/>
  <c r="S106" i="12"/>
  <c r="S90" i="12"/>
  <c r="S103" i="12"/>
  <c r="S116" i="12"/>
  <c r="S107" i="12"/>
  <c r="S91" i="12"/>
  <c r="S111" i="12"/>
  <c r="S95" i="12"/>
  <c r="S101" i="12"/>
  <c r="S98" i="12"/>
  <c r="S113" i="12"/>
  <c r="S88" i="12"/>
  <c r="S110" i="12"/>
  <c r="S100" i="12"/>
  <c r="S97" i="12"/>
  <c r="S104" i="12"/>
  <c r="S94" i="12"/>
  <c r="S114" i="12"/>
  <c r="K40" i="16"/>
  <c r="AB147" i="11"/>
  <c r="V150" i="12"/>
  <c r="V22" i="16" s="1"/>
  <c r="X83" i="11"/>
  <c r="K38" i="16"/>
  <c r="Z147" i="11"/>
  <c r="H32" i="16"/>
  <c r="T147" i="8"/>
  <c r="T150" i="8" s="1"/>
  <c r="R20" i="16" s="1"/>
  <c r="X113" i="13"/>
  <c r="X106" i="13"/>
  <c r="X90" i="13"/>
  <c r="X115" i="13"/>
  <c r="X100" i="13"/>
  <c r="X97" i="13"/>
  <c r="X110" i="13"/>
  <c r="X94" i="13"/>
  <c r="X112" i="13"/>
  <c r="X107" i="13"/>
  <c r="X92" i="13"/>
  <c r="X114" i="13"/>
  <c r="X95" i="13"/>
  <c r="X91" i="13"/>
  <c r="X98" i="13"/>
  <c r="X104" i="13"/>
  <c r="X108" i="13"/>
  <c r="X105" i="13"/>
  <c r="X109" i="13"/>
  <c r="X116" i="13"/>
  <c r="X111" i="13"/>
  <c r="X103" i="13"/>
  <c r="X102" i="13"/>
  <c r="X101" i="13"/>
  <c r="X93" i="13"/>
  <c r="X96" i="13"/>
  <c r="X89" i="13"/>
  <c r="X99" i="13"/>
  <c r="X88" i="13"/>
  <c r="X81" i="11"/>
  <c r="Z98" i="10"/>
  <c r="Z108" i="10"/>
  <c r="Z92" i="10"/>
  <c r="Z105" i="10"/>
  <c r="Z115" i="10"/>
  <c r="Z102" i="10"/>
  <c r="Z112" i="10"/>
  <c r="Z114" i="10"/>
  <c r="Z100" i="10"/>
  <c r="Z97" i="10"/>
  <c r="Z116" i="10"/>
  <c r="Z106" i="10"/>
  <c r="Z93" i="10"/>
  <c r="Z104" i="10"/>
  <c r="Z103" i="10"/>
  <c r="Z89" i="10"/>
  <c r="Z107" i="10"/>
  <c r="Z101" i="10"/>
  <c r="Z99" i="10"/>
  <c r="Z113" i="10"/>
  <c r="Z109" i="10"/>
  <c r="Z88" i="10"/>
  <c r="Z110" i="10"/>
  <c r="Z96" i="10"/>
  <c r="Z91" i="10"/>
  <c r="Z95" i="10"/>
  <c r="Z94" i="10"/>
  <c r="Z90" i="10"/>
  <c r="Z111" i="10"/>
  <c r="Z83" i="9"/>
  <c r="Y110" i="8"/>
  <c r="Y94" i="8"/>
  <c r="Y107" i="8"/>
  <c r="Y91" i="8"/>
  <c r="Y104" i="8"/>
  <c r="Y101" i="8"/>
  <c r="Y114" i="8"/>
  <c r="Y98" i="8"/>
  <c r="Y111" i="8"/>
  <c r="Y95" i="8"/>
  <c r="Y108" i="8"/>
  <c r="Y92" i="8"/>
  <c r="Y102" i="8"/>
  <c r="Y112" i="8"/>
  <c r="Y96" i="8"/>
  <c r="Y109" i="8"/>
  <c r="Y93" i="8"/>
  <c r="Y113" i="8"/>
  <c r="Y97" i="8"/>
  <c r="Y105" i="8"/>
  <c r="Y103" i="8"/>
  <c r="Y89" i="8"/>
  <c r="Y88" i="8"/>
  <c r="Y90" i="8"/>
  <c r="Y115" i="8"/>
  <c r="Y106" i="8"/>
  <c r="Y99" i="8"/>
  <c r="Y100" i="8"/>
  <c r="Y116" i="8"/>
  <c r="W112" i="12"/>
  <c r="W96" i="12"/>
  <c r="W109" i="12"/>
  <c r="W93" i="12"/>
  <c r="W106" i="12"/>
  <c r="W90" i="12"/>
  <c r="W103" i="12"/>
  <c r="W116" i="12"/>
  <c r="W100" i="12"/>
  <c r="W113" i="12"/>
  <c r="W97" i="12"/>
  <c r="W110" i="12"/>
  <c r="W94" i="12"/>
  <c r="W107" i="12"/>
  <c r="W91" i="12"/>
  <c r="W104" i="12"/>
  <c r="W114" i="12"/>
  <c r="W111" i="12"/>
  <c r="W95" i="12"/>
  <c r="W105" i="12"/>
  <c r="W115" i="12"/>
  <c r="W99" i="12"/>
  <c r="W92" i="12"/>
  <c r="W108" i="12"/>
  <c r="W88" i="12"/>
  <c r="W98" i="12"/>
  <c r="W102" i="12"/>
  <c r="W101" i="12"/>
  <c r="W89" i="12"/>
  <c r="S112" i="13"/>
  <c r="S111" i="13"/>
  <c r="S105" i="13"/>
  <c r="S89" i="13"/>
  <c r="S113" i="13"/>
  <c r="S99" i="13"/>
  <c r="S96" i="13"/>
  <c r="S109" i="13"/>
  <c r="S93" i="13"/>
  <c r="S106" i="13"/>
  <c r="S114" i="13"/>
  <c r="S101" i="13"/>
  <c r="S100" i="13"/>
  <c r="S92" i="13"/>
  <c r="S115" i="13"/>
  <c r="S95" i="13"/>
  <c r="S91" i="13"/>
  <c r="S98" i="13"/>
  <c r="S110" i="13"/>
  <c r="S107" i="13"/>
  <c r="S103" i="13"/>
  <c r="S94" i="13"/>
  <c r="S97" i="13"/>
  <c r="S88" i="13"/>
  <c r="S116" i="13"/>
  <c r="S90" i="13"/>
  <c r="S108" i="13"/>
  <c r="S104" i="13"/>
  <c r="S102" i="13"/>
  <c r="AB113" i="9"/>
  <c r="AB110" i="9"/>
  <c r="AB107" i="9"/>
  <c r="AB104" i="9"/>
  <c r="AB114" i="9"/>
  <c r="AB111" i="9"/>
  <c r="AB109" i="9"/>
  <c r="AB108" i="9"/>
  <c r="AB99" i="9"/>
  <c r="AB96" i="9"/>
  <c r="AB103" i="9"/>
  <c r="AB93" i="9"/>
  <c r="AB116" i="9"/>
  <c r="AB102" i="9"/>
  <c r="AB90" i="9"/>
  <c r="AB101" i="9"/>
  <c r="AB97" i="9"/>
  <c r="AB91" i="9"/>
  <c r="AB106" i="9"/>
  <c r="AB88" i="9"/>
  <c r="AB105" i="9"/>
  <c r="AB100" i="9"/>
  <c r="AB95" i="9"/>
  <c r="AB98" i="9"/>
  <c r="AB92" i="9"/>
  <c r="AB89" i="9"/>
  <c r="AB115" i="9"/>
  <c r="AB112" i="9"/>
  <c r="AB94" i="9"/>
  <c r="P27" i="16"/>
  <c r="F36" i="16"/>
  <c r="X147" i="6"/>
  <c r="X150" i="6" s="1"/>
  <c r="P24" i="16" s="1"/>
  <c r="T146" i="13"/>
  <c r="T81" i="13"/>
  <c r="T82" i="13" s="1"/>
  <c r="T84" i="13" s="1"/>
  <c r="H83" i="13"/>
  <c r="P22" i="16"/>
  <c r="Q82" i="8"/>
  <c r="Q84" i="8" s="1"/>
  <c r="AA113" i="13"/>
  <c r="AA97" i="13"/>
  <c r="AA112" i="13"/>
  <c r="AA107" i="13"/>
  <c r="AA91" i="13"/>
  <c r="AA104" i="13"/>
  <c r="AA88" i="13"/>
  <c r="AA101" i="13"/>
  <c r="AA114" i="13"/>
  <c r="AA108" i="13"/>
  <c r="AA106" i="13"/>
  <c r="AA95" i="13"/>
  <c r="AA98" i="13"/>
  <c r="AA115" i="13"/>
  <c r="AA105" i="13"/>
  <c r="AA111" i="13"/>
  <c r="AA109" i="13"/>
  <c r="AA110" i="13"/>
  <c r="AA103" i="13"/>
  <c r="AA102" i="13"/>
  <c r="AA90" i="13"/>
  <c r="AA116" i="13"/>
  <c r="AA93" i="13"/>
  <c r="AA89" i="13"/>
  <c r="AA100" i="13"/>
  <c r="AA92" i="13"/>
  <c r="AA94" i="13"/>
  <c r="AA99" i="13"/>
  <c r="AA96" i="13"/>
  <c r="H145" i="8"/>
  <c r="C76" i="8"/>
  <c r="AC76" i="8" s="1"/>
  <c r="T82" i="8"/>
  <c r="T84" i="8" s="1"/>
  <c r="Z114" i="11"/>
  <c r="Z111" i="11"/>
  <c r="Z95" i="11"/>
  <c r="Z108" i="11"/>
  <c r="Z92" i="11"/>
  <c r="Z102" i="11"/>
  <c r="Z106" i="11"/>
  <c r="Z90" i="11"/>
  <c r="Z116" i="11"/>
  <c r="Z113" i="11"/>
  <c r="Z97" i="11"/>
  <c r="Z107" i="11"/>
  <c r="Z104" i="11"/>
  <c r="Z99" i="11"/>
  <c r="Z93" i="11"/>
  <c r="Z88" i="11"/>
  <c r="Z115" i="11"/>
  <c r="Z98" i="11"/>
  <c r="Z91" i="11"/>
  <c r="Z105" i="11"/>
  <c r="Z103" i="11"/>
  <c r="Z101" i="11"/>
  <c r="Z112" i="11"/>
  <c r="Z100" i="11"/>
  <c r="Z94" i="11"/>
  <c r="Z89" i="11"/>
  <c r="Z96" i="11"/>
  <c r="Z110" i="11"/>
  <c r="Z109" i="11"/>
  <c r="AB150" i="7"/>
  <c r="AA150" i="9"/>
  <c r="S27" i="16" s="1"/>
  <c r="Z82" i="10"/>
  <c r="Z84" i="10" s="1"/>
  <c r="Y103" i="13"/>
  <c r="Y97" i="13"/>
  <c r="Y110" i="13"/>
  <c r="Y94" i="13"/>
  <c r="Y112" i="13"/>
  <c r="Y107" i="13"/>
  <c r="Y91" i="13"/>
  <c r="Y104" i="13"/>
  <c r="Y114" i="13"/>
  <c r="Y116" i="13"/>
  <c r="Y113" i="13"/>
  <c r="Y99" i="13"/>
  <c r="Y88" i="13"/>
  <c r="Y95" i="13"/>
  <c r="Y98" i="13"/>
  <c r="Y108" i="13"/>
  <c r="Y105" i="13"/>
  <c r="Y109" i="13"/>
  <c r="Y106" i="13"/>
  <c r="Y111" i="13"/>
  <c r="Y102" i="13"/>
  <c r="Y101" i="13"/>
  <c r="Y90" i="13"/>
  <c r="Y89" i="13"/>
  <c r="Y92" i="13"/>
  <c r="Y93" i="13"/>
  <c r="Y115" i="13"/>
  <c r="Y100" i="13"/>
  <c r="Y96" i="13"/>
  <c r="W109" i="6"/>
  <c r="W97" i="6"/>
  <c r="W94" i="6"/>
  <c r="W114" i="6"/>
  <c r="W91" i="6"/>
  <c r="W107" i="6"/>
  <c r="W104" i="6"/>
  <c r="W88" i="6"/>
  <c r="W112" i="6"/>
  <c r="W101" i="6"/>
  <c r="W98" i="6"/>
  <c r="W110" i="6"/>
  <c r="W92" i="6"/>
  <c r="W115" i="6"/>
  <c r="W105" i="6"/>
  <c r="W89" i="6"/>
  <c r="W102" i="6"/>
  <c r="W93" i="6"/>
  <c r="W103" i="6"/>
  <c r="W106" i="6"/>
  <c r="W100" i="6"/>
  <c r="W95" i="6"/>
  <c r="W113" i="6"/>
  <c r="W116" i="6"/>
  <c r="W108" i="6"/>
  <c r="W99" i="6"/>
  <c r="W96" i="6"/>
  <c r="W90" i="6"/>
  <c r="W111" i="6"/>
  <c r="V150" i="13"/>
  <c r="W22" i="16" s="1"/>
  <c r="L114" i="13"/>
  <c r="L110" i="13"/>
  <c r="L94" i="13"/>
  <c r="L104" i="13"/>
  <c r="L88" i="13"/>
  <c r="L101" i="13"/>
  <c r="L98" i="13"/>
  <c r="L103" i="13"/>
  <c r="L107" i="13"/>
  <c r="L112" i="13"/>
  <c r="L90" i="13"/>
  <c r="L97" i="13"/>
  <c r="L113" i="13"/>
  <c r="L93" i="13"/>
  <c r="L100" i="13"/>
  <c r="L96" i="13"/>
  <c r="L92" i="13"/>
  <c r="L99" i="13"/>
  <c r="L115" i="13"/>
  <c r="L95" i="13"/>
  <c r="L111" i="13"/>
  <c r="L109" i="13"/>
  <c r="L106" i="13"/>
  <c r="L91" i="13"/>
  <c r="L102" i="13"/>
  <c r="L116" i="13"/>
  <c r="L105" i="13"/>
  <c r="L108" i="13"/>
  <c r="L89" i="13"/>
  <c r="Q82" i="13"/>
  <c r="Q84" i="13" s="1"/>
  <c r="W81" i="6"/>
  <c r="W82" i="6" s="1"/>
  <c r="W84" i="6" s="1"/>
  <c r="AB106" i="7"/>
  <c r="AB103" i="7"/>
  <c r="AB116" i="7"/>
  <c r="AB100" i="7"/>
  <c r="AB113" i="7"/>
  <c r="AB110" i="7"/>
  <c r="AB94" i="7"/>
  <c r="AB107" i="7"/>
  <c r="AB104" i="7"/>
  <c r="AB101" i="7"/>
  <c r="AB114" i="7"/>
  <c r="AB98" i="7"/>
  <c r="AB108" i="7"/>
  <c r="AB105" i="7"/>
  <c r="AB112" i="7"/>
  <c r="AB111" i="7"/>
  <c r="AB109" i="7"/>
  <c r="AB93" i="7"/>
  <c r="AB99" i="7"/>
  <c r="AB91" i="7"/>
  <c r="AB115" i="7"/>
  <c r="AB95" i="7"/>
  <c r="AB88" i="7"/>
  <c r="AB89" i="7"/>
  <c r="AB97" i="7"/>
  <c r="AB90" i="7"/>
  <c r="AB102" i="7"/>
  <c r="AB96" i="7"/>
  <c r="AB92" i="7"/>
  <c r="AA109" i="7"/>
  <c r="AA106" i="7"/>
  <c r="AA103" i="7"/>
  <c r="AA116" i="7"/>
  <c r="AA100" i="7"/>
  <c r="AA113" i="7"/>
  <c r="AA97" i="7"/>
  <c r="AA110" i="7"/>
  <c r="AA94" i="7"/>
  <c r="AA107" i="7"/>
  <c r="AA104" i="7"/>
  <c r="AA101" i="7"/>
  <c r="AA111" i="7"/>
  <c r="AA95" i="7"/>
  <c r="AA108" i="7"/>
  <c r="AA115" i="7"/>
  <c r="AA99" i="7"/>
  <c r="AA98" i="7"/>
  <c r="AA90" i="7"/>
  <c r="AA93" i="7"/>
  <c r="AA91" i="7"/>
  <c r="AA88" i="7"/>
  <c r="AA102" i="7"/>
  <c r="AA96" i="7"/>
  <c r="AA92" i="7"/>
  <c r="AA105" i="7"/>
  <c r="AA89" i="7"/>
  <c r="AA114" i="7"/>
  <c r="AA112" i="7"/>
  <c r="P101" i="9"/>
  <c r="P114" i="9"/>
  <c r="P111" i="9"/>
  <c r="P108" i="9"/>
  <c r="P115" i="9"/>
  <c r="P105" i="9"/>
  <c r="P97" i="9"/>
  <c r="P94" i="9"/>
  <c r="P112" i="9"/>
  <c r="P91" i="9"/>
  <c r="P100" i="9"/>
  <c r="P88" i="9"/>
  <c r="P116" i="9"/>
  <c r="P110" i="9"/>
  <c r="P104" i="9"/>
  <c r="P95" i="9"/>
  <c r="P103" i="9"/>
  <c r="P92" i="9"/>
  <c r="P89" i="9"/>
  <c r="P99" i="9"/>
  <c r="P90" i="9"/>
  <c r="P113" i="9"/>
  <c r="P98" i="9"/>
  <c r="P107" i="9"/>
  <c r="P102" i="9"/>
  <c r="P109" i="9"/>
  <c r="P96" i="9"/>
  <c r="P93" i="9"/>
  <c r="P106" i="9"/>
  <c r="I28" i="16"/>
  <c r="P147" i="9"/>
  <c r="P146" i="9"/>
  <c r="P81" i="9"/>
  <c r="P82" i="9" s="1"/>
  <c r="P84" i="9" s="1"/>
  <c r="Y146" i="8"/>
  <c r="Y150" i="8" s="1"/>
  <c r="R25" i="16" s="1"/>
  <c r="Y81" i="8"/>
  <c r="Y82" i="8" s="1"/>
  <c r="Y84" i="8" s="1"/>
  <c r="U150" i="13"/>
  <c r="W21" i="16" s="1"/>
  <c r="L36" i="16"/>
  <c r="X147" i="12"/>
  <c r="X150" i="12" s="1"/>
  <c r="V24" i="16" s="1"/>
  <c r="R82" i="11"/>
  <c r="R84" i="11" s="1"/>
  <c r="C78" i="8"/>
  <c r="V146" i="9"/>
  <c r="V81" i="9"/>
  <c r="V82" i="9" s="1"/>
  <c r="V84" i="9" s="1"/>
  <c r="S146" i="9"/>
  <c r="S81" i="9"/>
  <c r="S82" i="9" s="1"/>
  <c r="S84" i="9" s="1"/>
  <c r="E148" i="8"/>
  <c r="C148" i="8" s="1"/>
  <c r="C79" i="8"/>
  <c r="U115" i="13"/>
  <c r="U113" i="13"/>
  <c r="U99" i="13"/>
  <c r="U109" i="13"/>
  <c r="U93" i="13"/>
  <c r="U106" i="13"/>
  <c r="U90" i="13"/>
  <c r="U103" i="13"/>
  <c r="U100" i="13"/>
  <c r="U112" i="13"/>
  <c r="U110" i="13"/>
  <c r="U116" i="13"/>
  <c r="U108" i="13"/>
  <c r="U92" i="13"/>
  <c r="U88" i="13"/>
  <c r="U114" i="13"/>
  <c r="U91" i="13"/>
  <c r="U98" i="13"/>
  <c r="U107" i="13"/>
  <c r="U94" i="13"/>
  <c r="U105" i="13"/>
  <c r="U104" i="13"/>
  <c r="U97" i="13"/>
  <c r="U102" i="13"/>
  <c r="U96" i="13"/>
  <c r="U111" i="13"/>
  <c r="U101" i="13"/>
  <c r="U95" i="13"/>
  <c r="U89" i="13"/>
  <c r="V81" i="13"/>
  <c r="V82" i="13" s="1"/>
  <c r="V84" i="13" s="1"/>
  <c r="T145" i="12"/>
  <c r="T80" i="12"/>
  <c r="T149" i="12" s="1"/>
  <c r="T83" i="12"/>
  <c r="R82" i="10"/>
  <c r="R84" i="10" s="1"/>
  <c r="Z146" i="11"/>
  <c r="Z81" i="11"/>
  <c r="Z82" i="11" s="1"/>
  <c r="Z84" i="11" s="1"/>
  <c r="AB145" i="13"/>
  <c r="AB80" i="13"/>
  <c r="AB149" i="13" s="1"/>
  <c r="AB81" i="13"/>
  <c r="F146" i="8"/>
  <c r="F150" i="8" s="1"/>
  <c r="R6" i="16" s="1"/>
  <c r="F81" i="8"/>
  <c r="F82" i="8" s="1"/>
  <c r="F84" i="8" s="1"/>
  <c r="AB82" i="12"/>
  <c r="AB84" i="12" s="1"/>
  <c r="I34" i="16"/>
  <c r="V147" i="9"/>
  <c r="R115" i="8"/>
  <c r="R99" i="8"/>
  <c r="R112" i="8"/>
  <c r="R96" i="8"/>
  <c r="R109" i="8"/>
  <c r="R93" i="8"/>
  <c r="R106" i="8"/>
  <c r="R90" i="8"/>
  <c r="R103" i="8"/>
  <c r="R116" i="8"/>
  <c r="R100" i="8"/>
  <c r="R113" i="8"/>
  <c r="R97" i="8"/>
  <c r="R107" i="8"/>
  <c r="R91" i="8"/>
  <c r="R101" i="8"/>
  <c r="R114" i="8"/>
  <c r="R98" i="8"/>
  <c r="R102" i="8"/>
  <c r="R105" i="8"/>
  <c r="R110" i="8"/>
  <c r="R88" i="8"/>
  <c r="R94" i="8"/>
  <c r="R108" i="8"/>
  <c r="R89" i="8"/>
  <c r="R104" i="8"/>
  <c r="R95" i="8"/>
  <c r="R92" i="8"/>
  <c r="R111" i="8"/>
  <c r="J33" i="16"/>
  <c r="U147" i="10"/>
  <c r="AB145" i="9"/>
  <c r="AB80" i="9"/>
  <c r="AB149" i="9" s="1"/>
  <c r="AB83" i="9"/>
  <c r="Q111" i="13"/>
  <c r="Q115" i="13"/>
  <c r="Q95" i="13"/>
  <c r="Q105" i="13"/>
  <c r="Q89" i="13"/>
  <c r="Q102" i="13"/>
  <c r="Q113" i="13"/>
  <c r="Q99" i="13"/>
  <c r="Q106" i="13"/>
  <c r="Q104" i="13"/>
  <c r="Q93" i="13"/>
  <c r="Q100" i="13"/>
  <c r="Q96" i="13"/>
  <c r="Q114" i="13"/>
  <c r="Q88" i="13"/>
  <c r="Q109" i="13"/>
  <c r="Q91" i="13"/>
  <c r="Q116" i="13"/>
  <c r="Q110" i="13"/>
  <c r="Q108" i="13"/>
  <c r="Q107" i="13"/>
  <c r="Q103" i="13"/>
  <c r="Q94" i="13"/>
  <c r="Q112" i="13"/>
  <c r="Q97" i="13"/>
  <c r="Q90" i="13"/>
  <c r="Q98" i="13"/>
  <c r="Q101" i="13"/>
  <c r="Q92" i="13"/>
  <c r="V108" i="7"/>
  <c r="V105" i="7"/>
  <c r="V102" i="7"/>
  <c r="V115" i="7"/>
  <c r="V112" i="7"/>
  <c r="V96" i="7"/>
  <c r="V109" i="7"/>
  <c r="V93" i="7"/>
  <c r="V106" i="7"/>
  <c r="V103" i="7"/>
  <c r="V116" i="7"/>
  <c r="V100" i="7"/>
  <c r="V110" i="7"/>
  <c r="V94" i="7"/>
  <c r="V107" i="7"/>
  <c r="V114" i="7"/>
  <c r="V89" i="7"/>
  <c r="V98" i="7"/>
  <c r="V101" i="7"/>
  <c r="V113" i="7"/>
  <c r="V111" i="7"/>
  <c r="V90" i="7"/>
  <c r="V99" i="7"/>
  <c r="V91" i="7"/>
  <c r="V97" i="7"/>
  <c r="V92" i="7"/>
  <c r="V104" i="7"/>
  <c r="V95" i="7"/>
  <c r="V88" i="7"/>
  <c r="S81" i="8"/>
  <c r="S82" i="8" s="1"/>
  <c r="S84" i="8" s="1"/>
  <c r="P105" i="8"/>
  <c r="P89" i="8"/>
  <c r="P102" i="8"/>
  <c r="P115" i="8"/>
  <c r="P99" i="8"/>
  <c r="P112" i="8"/>
  <c r="P96" i="8"/>
  <c r="P109" i="8"/>
  <c r="P93" i="8"/>
  <c r="P106" i="8"/>
  <c r="P103" i="8"/>
  <c r="P113" i="8"/>
  <c r="P97" i="8"/>
  <c r="P107" i="8"/>
  <c r="P91" i="8"/>
  <c r="P104" i="8"/>
  <c r="P88" i="8"/>
  <c r="P108" i="8"/>
  <c r="P100" i="8"/>
  <c r="P95" i="8"/>
  <c r="P92" i="8"/>
  <c r="P114" i="8"/>
  <c r="P98" i="8"/>
  <c r="P110" i="8"/>
  <c r="P101" i="8"/>
  <c r="P94" i="8"/>
  <c r="P90" i="8"/>
  <c r="P111" i="8"/>
  <c r="P116" i="8"/>
  <c r="Y82" i="10"/>
  <c r="Y84" i="10" s="1"/>
  <c r="X101" i="11"/>
  <c r="X114" i="11"/>
  <c r="X98" i="11"/>
  <c r="X108" i="11"/>
  <c r="X92" i="11"/>
  <c r="X115" i="11"/>
  <c r="X112" i="11"/>
  <c r="X96" i="11"/>
  <c r="X103" i="11"/>
  <c r="X113" i="11"/>
  <c r="X110" i="11"/>
  <c r="X94" i="11"/>
  <c r="X99" i="11"/>
  <c r="X93" i="11"/>
  <c r="X88" i="11"/>
  <c r="X97" i="11"/>
  <c r="X116" i="11"/>
  <c r="X104" i="11"/>
  <c r="X107" i="11"/>
  <c r="X106" i="11"/>
  <c r="X102" i="11"/>
  <c r="X90" i="11"/>
  <c r="X111" i="11"/>
  <c r="X109" i="11"/>
  <c r="X95" i="11"/>
  <c r="X100" i="11"/>
  <c r="X89" i="11"/>
  <c r="X91" i="11"/>
  <c r="X105" i="11"/>
  <c r="J145" i="8"/>
  <c r="J83" i="8"/>
  <c r="C83" i="8" s="1"/>
  <c r="J80" i="8"/>
  <c r="C80" i="8" s="1"/>
  <c r="AC80" i="8" s="1"/>
  <c r="X109" i="9"/>
  <c r="X106" i="9"/>
  <c r="X103" i="9"/>
  <c r="X116" i="9"/>
  <c r="X113" i="9"/>
  <c r="X110" i="9"/>
  <c r="X107" i="9"/>
  <c r="X111" i="9"/>
  <c r="X92" i="9"/>
  <c r="X114" i="9"/>
  <c r="X89" i="9"/>
  <c r="X112" i="9"/>
  <c r="X115" i="9"/>
  <c r="X108" i="9"/>
  <c r="X99" i="9"/>
  <c r="X96" i="9"/>
  <c r="X93" i="9"/>
  <c r="X101" i="9"/>
  <c r="X97" i="9"/>
  <c r="X105" i="9"/>
  <c r="X100" i="9"/>
  <c r="X98" i="9"/>
  <c r="X95" i="9"/>
  <c r="X88" i="9"/>
  <c r="X102" i="9"/>
  <c r="X104" i="9"/>
  <c r="X90" i="9"/>
  <c r="X91" i="9"/>
  <c r="X94" i="9"/>
  <c r="R150" i="10"/>
  <c r="T18" i="16" s="1"/>
  <c r="U82" i="6"/>
  <c r="U84" i="6" s="1"/>
  <c r="W116" i="13"/>
  <c r="W113" i="13"/>
  <c r="W109" i="13"/>
  <c r="W93" i="13"/>
  <c r="W103" i="13"/>
  <c r="W115" i="13"/>
  <c r="W100" i="13"/>
  <c r="W97" i="13"/>
  <c r="W110" i="13"/>
  <c r="W102" i="13"/>
  <c r="W96" i="13"/>
  <c r="W99" i="13"/>
  <c r="W88" i="13"/>
  <c r="W114" i="13"/>
  <c r="W95" i="13"/>
  <c r="W91" i="13"/>
  <c r="W94" i="13"/>
  <c r="W107" i="13"/>
  <c r="W104" i="13"/>
  <c r="W108" i="13"/>
  <c r="W106" i="13"/>
  <c r="W105" i="13"/>
  <c r="W111" i="13"/>
  <c r="W90" i="13"/>
  <c r="W112" i="13"/>
  <c r="W89" i="13"/>
  <c r="W101" i="13"/>
  <c r="W98" i="13"/>
  <c r="W92" i="13"/>
  <c r="X116" i="10"/>
  <c r="X104" i="10"/>
  <c r="X88" i="10"/>
  <c r="X98" i="10"/>
  <c r="X111" i="10"/>
  <c r="X108" i="10"/>
  <c r="X92" i="10"/>
  <c r="X115" i="10"/>
  <c r="X112" i="10"/>
  <c r="X114" i="10"/>
  <c r="X106" i="10"/>
  <c r="X103" i="10"/>
  <c r="X105" i="10"/>
  <c r="X102" i="10"/>
  <c r="X93" i="10"/>
  <c r="X89" i="10"/>
  <c r="X107" i="10"/>
  <c r="X101" i="10"/>
  <c r="X100" i="10"/>
  <c r="X99" i="10"/>
  <c r="X109" i="10"/>
  <c r="X113" i="10"/>
  <c r="X97" i="10"/>
  <c r="X110" i="10"/>
  <c r="X96" i="10"/>
  <c r="X91" i="10"/>
  <c r="X95" i="10"/>
  <c r="X94" i="10"/>
  <c r="X90" i="10"/>
  <c r="E106" i="8"/>
  <c r="E90" i="8"/>
  <c r="E103" i="8"/>
  <c r="E116" i="8"/>
  <c r="E100" i="8"/>
  <c r="E113" i="8"/>
  <c r="E97" i="8"/>
  <c r="E110" i="8"/>
  <c r="E94" i="8"/>
  <c r="E107" i="8"/>
  <c r="E104" i="8"/>
  <c r="E88" i="8"/>
  <c r="E114" i="8"/>
  <c r="E98" i="8"/>
  <c r="E108" i="8"/>
  <c r="E92" i="8"/>
  <c r="E105" i="8"/>
  <c r="E89" i="8"/>
  <c r="E109" i="8"/>
  <c r="E91" i="8"/>
  <c r="E111" i="8"/>
  <c r="E102" i="8"/>
  <c r="E95" i="8"/>
  <c r="E112" i="8"/>
  <c r="E93" i="8"/>
  <c r="E101" i="8"/>
  <c r="E96" i="8"/>
  <c r="E115" i="8"/>
  <c r="E99" i="8"/>
  <c r="K150" i="13"/>
  <c r="W11" i="16" s="1"/>
  <c r="H113" i="8"/>
  <c r="H97" i="8"/>
  <c r="H110" i="8"/>
  <c r="H94" i="8"/>
  <c r="H107" i="8"/>
  <c r="H91" i="8"/>
  <c r="H104" i="8"/>
  <c r="H88" i="8"/>
  <c r="H101" i="8"/>
  <c r="H114" i="8"/>
  <c r="H98" i="8"/>
  <c r="H111" i="8"/>
  <c r="H95" i="8"/>
  <c r="H105" i="8"/>
  <c r="H89" i="8"/>
  <c r="H115" i="8"/>
  <c r="H99" i="8"/>
  <c r="H112" i="8"/>
  <c r="H96" i="8"/>
  <c r="H116" i="8"/>
  <c r="H100" i="8"/>
  <c r="H102" i="8"/>
  <c r="H109" i="8"/>
  <c r="H92" i="8"/>
  <c r="H93" i="8"/>
  <c r="H103" i="8"/>
  <c r="H108" i="8"/>
  <c r="H106" i="8"/>
  <c r="H90" i="8"/>
  <c r="Z146" i="9"/>
  <c r="Z81" i="9"/>
  <c r="AA116" i="9"/>
  <c r="AA100" i="9"/>
  <c r="AA113" i="9"/>
  <c r="AA110" i="9"/>
  <c r="AA107" i="9"/>
  <c r="AA114" i="9"/>
  <c r="AA115" i="9"/>
  <c r="AA109" i="9"/>
  <c r="AA108" i="9"/>
  <c r="AA99" i="9"/>
  <c r="AA96" i="9"/>
  <c r="AA103" i="9"/>
  <c r="AA93" i="9"/>
  <c r="AA102" i="9"/>
  <c r="AA90" i="9"/>
  <c r="AA94" i="9"/>
  <c r="AA91" i="9"/>
  <c r="AA106" i="9"/>
  <c r="AA88" i="9"/>
  <c r="AA98" i="9"/>
  <c r="AA111" i="9"/>
  <c r="AA104" i="9"/>
  <c r="AA105" i="9"/>
  <c r="AA95" i="9"/>
  <c r="AA92" i="9"/>
  <c r="AA89" i="9"/>
  <c r="AA112" i="9"/>
  <c r="AA101" i="9"/>
  <c r="AA97" i="9"/>
  <c r="S82" i="7"/>
  <c r="S84" i="7" s="1"/>
  <c r="F33" i="16"/>
  <c r="U147" i="6"/>
  <c r="U150" i="6" s="1"/>
  <c r="P21" i="16" s="1"/>
  <c r="S101" i="7"/>
  <c r="S114" i="7"/>
  <c r="S98" i="7"/>
  <c r="S111" i="7"/>
  <c r="S95" i="7"/>
  <c r="S108" i="7"/>
  <c r="S105" i="7"/>
  <c r="S102" i="7"/>
  <c r="S115" i="7"/>
  <c r="S112" i="7"/>
  <c r="S96" i="7"/>
  <c r="S109" i="7"/>
  <c r="S103" i="7"/>
  <c r="S116" i="7"/>
  <c r="S100" i="7"/>
  <c r="S107" i="7"/>
  <c r="S97" i="7"/>
  <c r="S92" i="7"/>
  <c r="S89" i="7"/>
  <c r="S113" i="7"/>
  <c r="S99" i="7"/>
  <c r="S94" i="7"/>
  <c r="S104" i="7"/>
  <c r="S93" i="7"/>
  <c r="S110" i="7"/>
  <c r="S91" i="7"/>
  <c r="S88" i="7"/>
  <c r="S106" i="7"/>
  <c r="S90" i="7"/>
  <c r="R114" i="10"/>
  <c r="R106" i="10"/>
  <c r="R90" i="10"/>
  <c r="R100" i="10"/>
  <c r="R97" i="10"/>
  <c r="R113" i="10"/>
  <c r="R110" i="10"/>
  <c r="R94" i="10"/>
  <c r="R116" i="10"/>
  <c r="R104" i="10"/>
  <c r="R115" i="10"/>
  <c r="R111" i="10"/>
  <c r="R108" i="10"/>
  <c r="R105" i="10"/>
  <c r="R89" i="10"/>
  <c r="R95" i="10"/>
  <c r="R112" i="10"/>
  <c r="R107" i="10"/>
  <c r="R103" i="10"/>
  <c r="R102" i="10"/>
  <c r="R93" i="10"/>
  <c r="R101" i="10"/>
  <c r="R99" i="10"/>
  <c r="R92" i="10"/>
  <c r="R109" i="10"/>
  <c r="R98" i="10"/>
  <c r="R88" i="10"/>
  <c r="R91" i="10"/>
  <c r="R96" i="10"/>
  <c r="H22" i="16"/>
  <c r="J147" i="8"/>
  <c r="Q114" i="9"/>
  <c r="Q111" i="9"/>
  <c r="Q108" i="9"/>
  <c r="Q105" i="9"/>
  <c r="Q115" i="9"/>
  <c r="Q112" i="9"/>
  <c r="Q97" i="9"/>
  <c r="Q94" i="9"/>
  <c r="Q91" i="9"/>
  <c r="Q100" i="9"/>
  <c r="Q88" i="9"/>
  <c r="Q113" i="9"/>
  <c r="Q109" i="9"/>
  <c r="Q98" i="9"/>
  <c r="Q103" i="9"/>
  <c r="Q92" i="9"/>
  <c r="Q89" i="9"/>
  <c r="Q102" i="9"/>
  <c r="Q96" i="9"/>
  <c r="Q107" i="9"/>
  <c r="Q116" i="9"/>
  <c r="Q110" i="9"/>
  <c r="Q95" i="9"/>
  <c r="Q104" i="9"/>
  <c r="Q93" i="9"/>
  <c r="Q99" i="9"/>
  <c r="Q101" i="9"/>
  <c r="Q90" i="9"/>
  <c r="Q106" i="9"/>
  <c r="S116" i="11"/>
  <c r="S100" i="11"/>
  <c r="S113" i="11"/>
  <c r="S97" i="11"/>
  <c r="S107" i="11"/>
  <c r="S91" i="11"/>
  <c r="S111" i="11"/>
  <c r="S95" i="11"/>
  <c r="S102" i="11"/>
  <c r="S112" i="11"/>
  <c r="S109" i="11"/>
  <c r="S89" i="11"/>
  <c r="S94" i="11"/>
  <c r="S114" i="11"/>
  <c r="S99" i="11"/>
  <c r="S93" i="11"/>
  <c r="S88" i="11"/>
  <c r="S115" i="11"/>
  <c r="S98" i="11"/>
  <c r="S106" i="11"/>
  <c r="S105" i="11"/>
  <c r="S103" i="11"/>
  <c r="S96" i="11"/>
  <c r="S104" i="11"/>
  <c r="S108" i="11"/>
  <c r="S92" i="11"/>
  <c r="S101" i="11"/>
  <c r="S90" i="11"/>
  <c r="S110" i="11"/>
  <c r="I38" i="16"/>
  <c r="Z147" i="9"/>
  <c r="G116" i="8"/>
  <c r="G100" i="8"/>
  <c r="G113" i="8"/>
  <c r="G97" i="8"/>
  <c r="G110" i="8"/>
  <c r="G94" i="8"/>
  <c r="G107" i="8"/>
  <c r="G91" i="8"/>
  <c r="G104" i="8"/>
  <c r="G88" i="8"/>
  <c r="G101" i="8"/>
  <c r="G114" i="8"/>
  <c r="G98" i="8"/>
  <c r="G108" i="8"/>
  <c r="G92" i="8"/>
  <c r="G102" i="8"/>
  <c r="G115" i="8"/>
  <c r="G99" i="8"/>
  <c r="G103" i="8"/>
  <c r="G111" i="8"/>
  <c r="G109" i="8"/>
  <c r="G95" i="8"/>
  <c r="G105" i="8"/>
  <c r="G112" i="8"/>
  <c r="G93" i="8"/>
  <c r="G96" i="8"/>
  <c r="G89" i="8"/>
  <c r="G90" i="8"/>
  <c r="G106" i="8"/>
  <c r="V112" i="13"/>
  <c r="V116" i="13"/>
  <c r="V96" i="13"/>
  <c r="V106" i="13"/>
  <c r="V90" i="13"/>
  <c r="V103" i="13"/>
  <c r="V115" i="13"/>
  <c r="V100" i="13"/>
  <c r="V107" i="13"/>
  <c r="V111" i="13"/>
  <c r="V105" i="13"/>
  <c r="V89" i="13"/>
  <c r="V92" i="13"/>
  <c r="V99" i="13"/>
  <c r="V88" i="13"/>
  <c r="V114" i="13"/>
  <c r="V95" i="13"/>
  <c r="V98" i="13"/>
  <c r="V94" i="13"/>
  <c r="V110" i="13"/>
  <c r="V104" i="13"/>
  <c r="V109" i="13"/>
  <c r="V108" i="13"/>
  <c r="V97" i="13"/>
  <c r="V101" i="13"/>
  <c r="V93" i="13"/>
  <c r="V113" i="13"/>
  <c r="V91" i="13"/>
  <c r="V102" i="13"/>
  <c r="P116" i="10"/>
  <c r="P112" i="10"/>
  <c r="P96" i="10"/>
  <c r="P106" i="10"/>
  <c r="P90" i="10"/>
  <c r="P103" i="10"/>
  <c r="P100" i="10"/>
  <c r="P110" i="10"/>
  <c r="P98" i="10"/>
  <c r="P115" i="10"/>
  <c r="P111" i="10"/>
  <c r="P95" i="10"/>
  <c r="P91" i="10"/>
  <c r="P114" i="10"/>
  <c r="P94" i="10"/>
  <c r="P105" i="10"/>
  <c r="P104" i="10"/>
  <c r="P107" i="10"/>
  <c r="P93" i="10"/>
  <c r="P108" i="10"/>
  <c r="P102" i="10"/>
  <c r="P113" i="10"/>
  <c r="P92" i="10"/>
  <c r="P109" i="10"/>
  <c r="P99" i="10"/>
  <c r="P97" i="10"/>
  <c r="P88" i="10"/>
  <c r="P101" i="10"/>
  <c r="P89" i="10"/>
  <c r="R103" i="11"/>
  <c r="R116" i="11"/>
  <c r="R100" i="11"/>
  <c r="R110" i="11"/>
  <c r="R94" i="11"/>
  <c r="R114" i="11"/>
  <c r="R98" i="11"/>
  <c r="R105" i="11"/>
  <c r="R89" i="11"/>
  <c r="R115" i="11"/>
  <c r="R112" i="11"/>
  <c r="R109" i="11"/>
  <c r="R108" i="11"/>
  <c r="R101" i="11"/>
  <c r="R90" i="11"/>
  <c r="R111" i="11"/>
  <c r="R95" i="11"/>
  <c r="R113" i="11"/>
  <c r="R99" i="11"/>
  <c r="R93" i="11"/>
  <c r="R88" i="11"/>
  <c r="R92" i="11"/>
  <c r="R104" i="11"/>
  <c r="R107" i="11"/>
  <c r="R106" i="11"/>
  <c r="R96" i="11"/>
  <c r="R91" i="11"/>
  <c r="R102" i="11"/>
  <c r="R97" i="11"/>
  <c r="AA104" i="8"/>
  <c r="AA88" i="8"/>
  <c r="AA101" i="8"/>
  <c r="AA114" i="8"/>
  <c r="AA98" i="8"/>
  <c r="AA111" i="8"/>
  <c r="AA95" i="8"/>
  <c r="AA108" i="8"/>
  <c r="AA92" i="8"/>
  <c r="AA105" i="8"/>
  <c r="AA102" i="8"/>
  <c r="AA112" i="8"/>
  <c r="AA96" i="8"/>
  <c r="AA106" i="8"/>
  <c r="AA90" i="8"/>
  <c r="AA103" i="8"/>
  <c r="AA107" i="8"/>
  <c r="AA89" i="8"/>
  <c r="AA115" i="8"/>
  <c r="AA110" i="8"/>
  <c r="AA99" i="8"/>
  <c r="AA94" i="8"/>
  <c r="AA113" i="8"/>
  <c r="AA91" i="8"/>
  <c r="AA97" i="8"/>
  <c r="AA116" i="8"/>
  <c r="AA109" i="8"/>
  <c r="AA93" i="8"/>
  <c r="AA100" i="8"/>
  <c r="P112" i="11"/>
  <c r="P109" i="11"/>
  <c r="P93" i="11"/>
  <c r="P106" i="11"/>
  <c r="P90" i="11"/>
  <c r="P116" i="11"/>
  <c r="P100" i="11"/>
  <c r="P104" i="11"/>
  <c r="P88" i="11"/>
  <c r="P111" i="11"/>
  <c r="P95" i="11"/>
  <c r="P105" i="11"/>
  <c r="P107" i="11"/>
  <c r="P102" i="11"/>
  <c r="P110" i="11"/>
  <c r="P108" i="11"/>
  <c r="P101" i="11"/>
  <c r="P96" i="11"/>
  <c r="P113" i="11"/>
  <c r="P89" i="11"/>
  <c r="P94" i="11"/>
  <c r="P114" i="11"/>
  <c r="P99" i="11"/>
  <c r="P98" i="11"/>
  <c r="P92" i="11"/>
  <c r="P97" i="11"/>
  <c r="P103" i="11"/>
  <c r="P91" i="11"/>
  <c r="P115" i="11"/>
  <c r="Z150" i="10"/>
  <c r="T26" i="16" s="1"/>
  <c r="K113" i="13"/>
  <c r="K97" i="13"/>
  <c r="K114" i="13"/>
  <c r="K107" i="13"/>
  <c r="K91" i="13"/>
  <c r="K104" i="13"/>
  <c r="K88" i="13"/>
  <c r="K101" i="13"/>
  <c r="K116" i="13"/>
  <c r="K111" i="13"/>
  <c r="K108" i="13"/>
  <c r="K106" i="13"/>
  <c r="K109" i="13"/>
  <c r="K103" i="13"/>
  <c r="K102" i="13"/>
  <c r="K94" i="13"/>
  <c r="K112" i="13"/>
  <c r="K90" i="13"/>
  <c r="K89" i="13"/>
  <c r="K100" i="13"/>
  <c r="K96" i="13"/>
  <c r="K92" i="13"/>
  <c r="K99" i="13"/>
  <c r="K105" i="13"/>
  <c r="K93" i="13"/>
  <c r="K98" i="13"/>
  <c r="K115" i="13"/>
  <c r="K95" i="13"/>
  <c r="K110" i="13"/>
  <c r="T145" i="10"/>
  <c r="T80" i="10"/>
  <c r="T149" i="10" s="1"/>
  <c r="T109" i="8"/>
  <c r="T93" i="8"/>
  <c r="T106" i="8"/>
  <c r="T90" i="8"/>
  <c r="T103" i="8"/>
  <c r="T116" i="8"/>
  <c r="T100" i="8"/>
  <c r="T113" i="8"/>
  <c r="T97" i="8"/>
  <c r="T110" i="8"/>
  <c r="T94" i="8"/>
  <c r="T107" i="8"/>
  <c r="T91" i="8"/>
  <c r="T101" i="8"/>
  <c r="T111" i="8"/>
  <c r="T95" i="8"/>
  <c r="T108" i="8"/>
  <c r="T92" i="8"/>
  <c r="T112" i="8"/>
  <c r="T96" i="8"/>
  <c r="T114" i="8"/>
  <c r="T105" i="8"/>
  <c r="T98" i="8"/>
  <c r="T88" i="8"/>
  <c r="T89" i="8"/>
  <c r="T115" i="8"/>
  <c r="T104" i="8"/>
  <c r="T99" i="8"/>
  <c r="T102" i="8"/>
  <c r="M114" i="13"/>
  <c r="M107" i="13"/>
  <c r="M91" i="13"/>
  <c r="M101" i="13"/>
  <c r="M98" i="13"/>
  <c r="M95" i="13"/>
  <c r="M116" i="13"/>
  <c r="M111" i="13"/>
  <c r="M108" i="13"/>
  <c r="M112" i="13"/>
  <c r="M110" i="13"/>
  <c r="M104" i="13"/>
  <c r="M102" i="13"/>
  <c r="M90" i="13"/>
  <c r="M97" i="13"/>
  <c r="M113" i="13"/>
  <c r="M93" i="13"/>
  <c r="M89" i="13"/>
  <c r="M92" i="13"/>
  <c r="M99" i="13"/>
  <c r="M115" i="13"/>
  <c r="M88" i="13"/>
  <c r="M105" i="13"/>
  <c r="M96" i="13"/>
  <c r="M100" i="13"/>
  <c r="M106" i="13"/>
  <c r="M94" i="13"/>
  <c r="M103" i="13"/>
  <c r="M109" i="13"/>
  <c r="Y106" i="9"/>
  <c r="Y103" i="9"/>
  <c r="Y116" i="9"/>
  <c r="Y113" i="9"/>
  <c r="Y104" i="9"/>
  <c r="Y114" i="9"/>
  <c r="Y110" i="9"/>
  <c r="Y89" i="9"/>
  <c r="Y112" i="9"/>
  <c r="Y115" i="9"/>
  <c r="Y109" i="9"/>
  <c r="Y108" i="9"/>
  <c r="Y99" i="9"/>
  <c r="Y96" i="9"/>
  <c r="Y93" i="9"/>
  <c r="Y102" i="9"/>
  <c r="Y90" i="9"/>
  <c r="Y101" i="9"/>
  <c r="Y97" i="9"/>
  <c r="Y94" i="9"/>
  <c r="Y98" i="9"/>
  <c r="Y105" i="9"/>
  <c r="Y100" i="9"/>
  <c r="Y95" i="9"/>
  <c r="Y107" i="9"/>
  <c r="Y88" i="9"/>
  <c r="Y92" i="9"/>
  <c r="Y111" i="9"/>
  <c r="Y91" i="9"/>
  <c r="S103" i="10"/>
  <c r="S97" i="10"/>
  <c r="S113" i="10"/>
  <c r="S110" i="10"/>
  <c r="S107" i="10"/>
  <c r="S91" i="10"/>
  <c r="S116" i="10"/>
  <c r="S115" i="10"/>
  <c r="S111" i="10"/>
  <c r="S105" i="10"/>
  <c r="S102" i="10"/>
  <c r="S95" i="10"/>
  <c r="S114" i="10"/>
  <c r="S94" i="10"/>
  <c r="S90" i="10"/>
  <c r="S112" i="10"/>
  <c r="S104" i="10"/>
  <c r="S106" i="10"/>
  <c r="S93" i="10"/>
  <c r="S101" i="10"/>
  <c r="S108" i="10"/>
  <c r="S89" i="10"/>
  <c r="S100" i="10"/>
  <c r="S109" i="10"/>
  <c r="S98" i="10"/>
  <c r="S88" i="10"/>
  <c r="S96" i="10"/>
  <c r="S92" i="10"/>
  <c r="S99" i="10"/>
  <c r="I150" i="13"/>
  <c r="W9" i="16" s="1"/>
  <c r="AA108" i="11"/>
  <c r="AA92" i="11"/>
  <c r="AA105" i="11"/>
  <c r="AA89" i="11"/>
  <c r="AA115" i="11"/>
  <c r="AA99" i="11"/>
  <c r="AA103" i="11"/>
  <c r="AA110" i="11"/>
  <c r="AA94" i="11"/>
  <c r="AA104" i="11"/>
  <c r="AA113" i="11"/>
  <c r="AA114" i="11"/>
  <c r="AA93" i="11"/>
  <c r="AA88" i="11"/>
  <c r="AA98" i="11"/>
  <c r="AA97" i="11"/>
  <c r="AA91" i="11"/>
  <c r="AA96" i="11"/>
  <c r="AA107" i="11"/>
  <c r="AA101" i="11"/>
  <c r="AA109" i="11"/>
  <c r="AA100" i="11"/>
  <c r="AA112" i="11"/>
  <c r="AA116" i="11"/>
  <c r="AA95" i="11"/>
  <c r="AA111" i="11"/>
  <c r="AA106" i="11"/>
  <c r="AA102" i="11"/>
  <c r="AA90" i="11"/>
  <c r="L82" i="13"/>
  <c r="L84" i="13" s="1"/>
  <c r="Z112" i="6"/>
  <c r="Z107" i="6"/>
  <c r="Z104" i="6"/>
  <c r="Z88" i="6"/>
  <c r="Z101" i="6"/>
  <c r="Z98" i="6"/>
  <c r="Z95" i="6"/>
  <c r="Z110" i="6"/>
  <c r="Z92" i="6"/>
  <c r="Z105" i="6"/>
  <c r="Z89" i="6"/>
  <c r="Z108" i="6"/>
  <c r="Z99" i="6"/>
  <c r="Z113" i="6"/>
  <c r="Z96" i="6"/>
  <c r="Z93" i="6"/>
  <c r="Z116" i="6"/>
  <c r="Z100" i="6"/>
  <c r="Z114" i="6"/>
  <c r="Z103" i="6"/>
  <c r="Z97" i="6"/>
  <c r="Z91" i="6"/>
  <c r="Z109" i="6"/>
  <c r="Z94" i="6"/>
  <c r="Z115" i="6"/>
  <c r="Z106" i="6"/>
  <c r="Z102" i="6"/>
  <c r="Z90" i="6"/>
  <c r="Z111" i="6"/>
  <c r="W82" i="13"/>
  <c r="W84" i="13" s="1"/>
  <c r="L31" i="16"/>
  <c r="S147" i="12"/>
  <c r="R113" i="6"/>
  <c r="R96" i="6"/>
  <c r="R93" i="6"/>
  <c r="R111" i="6"/>
  <c r="R106" i="6"/>
  <c r="R90" i="6"/>
  <c r="R103" i="6"/>
  <c r="R116" i="6"/>
  <c r="R100" i="6"/>
  <c r="R109" i="6"/>
  <c r="R97" i="6"/>
  <c r="R91" i="6"/>
  <c r="R107" i="6"/>
  <c r="R104" i="6"/>
  <c r="R88" i="6"/>
  <c r="R112" i="6"/>
  <c r="R101" i="6"/>
  <c r="R110" i="6"/>
  <c r="R92" i="6"/>
  <c r="R99" i="6"/>
  <c r="R114" i="6"/>
  <c r="R94" i="6"/>
  <c r="R105" i="6"/>
  <c r="R108" i="6"/>
  <c r="R115" i="6"/>
  <c r="R98" i="6"/>
  <c r="R95" i="6"/>
  <c r="R89" i="6"/>
  <c r="R102" i="6"/>
  <c r="Y150" i="10"/>
  <c r="T25" i="16" s="1"/>
  <c r="Q113" i="10"/>
  <c r="Q114" i="10"/>
  <c r="Q109" i="10"/>
  <c r="Q93" i="10"/>
  <c r="Q103" i="10"/>
  <c r="Q100" i="10"/>
  <c r="Q97" i="10"/>
  <c r="Q107" i="10"/>
  <c r="Q116" i="10"/>
  <c r="Q115" i="10"/>
  <c r="Q111" i="10"/>
  <c r="Q95" i="10"/>
  <c r="Q108" i="10"/>
  <c r="Q92" i="10"/>
  <c r="Q96" i="10"/>
  <c r="Q94" i="10"/>
  <c r="Q90" i="10"/>
  <c r="Q105" i="10"/>
  <c r="Q104" i="10"/>
  <c r="Q112" i="10"/>
  <c r="Q106" i="10"/>
  <c r="Q102" i="10"/>
  <c r="Q101" i="10"/>
  <c r="Q89" i="10"/>
  <c r="Q99" i="10"/>
  <c r="Q98" i="10"/>
  <c r="Q110" i="10"/>
  <c r="Q88" i="10"/>
  <c r="Q91" i="10"/>
  <c r="H38" i="16"/>
  <c r="Z147" i="8"/>
  <c r="Z150" i="8" s="1"/>
  <c r="R26" i="16" s="1"/>
  <c r="H36" i="16"/>
  <c r="X147" i="8"/>
  <c r="X150" i="8" s="1"/>
  <c r="R24" i="16" s="1"/>
  <c r="R111" i="12"/>
  <c r="R95" i="12"/>
  <c r="R108" i="12"/>
  <c r="R92" i="12"/>
  <c r="R105" i="12"/>
  <c r="R89" i="12"/>
  <c r="R102" i="12"/>
  <c r="R115" i="12"/>
  <c r="R99" i="12"/>
  <c r="R112" i="12"/>
  <c r="R96" i="12"/>
  <c r="R109" i="12"/>
  <c r="R93" i="12"/>
  <c r="R106" i="12"/>
  <c r="R103" i="12"/>
  <c r="R113" i="12"/>
  <c r="R110" i="12"/>
  <c r="R94" i="12"/>
  <c r="R104" i="12"/>
  <c r="R114" i="12"/>
  <c r="R98" i="12"/>
  <c r="R107" i="12"/>
  <c r="R90" i="12"/>
  <c r="R116" i="12"/>
  <c r="R101" i="12"/>
  <c r="R91" i="12"/>
  <c r="R88" i="12"/>
  <c r="R100" i="12"/>
  <c r="R97" i="12"/>
  <c r="F35" i="16"/>
  <c r="W147" i="6"/>
  <c r="W150" i="6" s="1"/>
  <c r="P23" i="16" s="1"/>
  <c r="M146" i="13"/>
  <c r="M81" i="13"/>
  <c r="M82" i="13" s="1"/>
  <c r="M84" i="13" s="1"/>
  <c r="K39" i="16"/>
  <c r="AA147" i="11"/>
  <c r="AA150" i="11" s="1"/>
  <c r="U27" i="16" s="1"/>
  <c r="G38" i="16"/>
  <c r="Z147" i="7"/>
  <c r="Z150" i="7" s="1"/>
  <c r="Q26" i="16" s="1"/>
  <c r="U146" i="10"/>
  <c r="U81" i="10"/>
  <c r="U82" i="10" s="1"/>
  <c r="U84" i="10" s="1"/>
  <c r="AB83" i="13"/>
  <c r="Z150" i="12"/>
  <c r="V26" i="16" s="1"/>
  <c r="F103" i="8"/>
  <c r="F116" i="8"/>
  <c r="F100" i="8"/>
  <c r="F113" i="8"/>
  <c r="F97" i="8"/>
  <c r="F110" i="8"/>
  <c r="F94" i="8"/>
  <c r="F107" i="8"/>
  <c r="F91" i="8"/>
  <c r="F104" i="8"/>
  <c r="F101" i="8"/>
  <c r="F111" i="8"/>
  <c r="F95" i="8"/>
  <c r="F105" i="8"/>
  <c r="F102" i="8"/>
  <c r="F106" i="8"/>
  <c r="F109" i="8"/>
  <c r="F114" i="8"/>
  <c r="F92" i="8"/>
  <c r="F98" i="8"/>
  <c r="F112" i="8"/>
  <c r="F93" i="8"/>
  <c r="F96" i="8"/>
  <c r="F115" i="8"/>
  <c r="F108" i="8"/>
  <c r="F90" i="8"/>
  <c r="F89" i="8"/>
  <c r="F88" i="8"/>
  <c r="F99" i="8"/>
  <c r="M32" i="16"/>
  <c r="T147" i="13"/>
  <c r="U146" i="11"/>
  <c r="U81" i="11"/>
  <c r="U82" i="11" s="1"/>
  <c r="U84" i="11" s="1"/>
  <c r="S93" i="6"/>
  <c r="S111" i="6"/>
  <c r="S106" i="6"/>
  <c r="S90" i="6"/>
  <c r="S103" i="6"/>
  <c r="S116" i="6"/>
  <c r="S100" i="6"/>
  <c r="S109" i="6"/>
  <c r="S97" i="6"/>
  <c r="S114" i="6"/>
  <c r="S94" i="6"/>
  <c r="S107" i="6"/>
  <c r="S104" i="6"/>
  <c r="S88" i="6"/>
  <c r="S112" i="6"/>
  <c r="S101" i="6"/>
  <c r="S98" i="6"/>
  <c r="S115" i="6"/>
  <c r="S105" i="6"/>
  <c r="S89" i="6"/>
  <c r="S91" i="6"/>
  <c r="S95" i="6"/>
  <c r="S92" i="6"/>
  <c r="S96" i="6"/>
  <c r="S110" i="6"/>
  <c r="S102" i="6"/>
  <c r="S113" i="6"/>
  <c r="S108" i="6"/>
  <c r="S99" i="6"/>
  <c r="Y150" i="13"/>
  <c r="W25" i="16" s="1"/>
  <c r="I31" i="16"/>
  <c r="S147" i="9"/>
  <c r="V82" i="8"/>
  <c r="V84" i="8" s="1"/>
  <c r="L32" i="16"/>
  <c r="T147" i="12"/>
  <c r="AB110" i="13"/>
  <c r="AB114" i="13"/>
  <c r="AB94" i="13"/>
  <c r="AB104" i="13"/>
  <c r="AB88" i="13"/>
  <c r="AB101" i="13"/>
  <c r="AB98" i="13"/>
  <c r="AB111" i="13"/>
  <c r="AB103" i="13"/>
  <c r="AB91" i="13"/>
  <c r="AB115" i="13"/>
  <c r="AB105" i="13"/>
  <c r="AB108" i="13"/>
  <c r="AB107" i="13"/>
  <c r="AB102" i="13"/>
  <c r="AB90" i="13"/>
  <c r="AB116" i="13"/>
  <c r="AB97" i="13"/>
  <c r="AB93" i="13"/>
  <c r="AB89" i="13"/>
  <c r="AB96" i="13"/>
  <c r="AB99" i="13"/>
  <c r="AB113" i="13"/>
  <c r="AB95" i="13"/>
  <c r="AB112" i="13"/>
  <c r="AB92" i="13"/>
  <c r="AB100" i="13"/>
  <c r="AB106" i="13"/>
  <c r="AB109" i="13"/>
  <c r="Y82" i="9"/>
  <c r="Y84" i="9" s="1"/>
  <c r="Q106" i="11"/>
  <c r="Q90" i="11"/>
  <c r="Q103" i="11"/>
  <c r="Q113" i="11"/>
  <c r="Q97" i="11"/>
  <c r="Q101" i="11"/>
  <c r="Q108" i="11"/>
  <c r="Q92" i="11"/>
  <c r="Q102" i="11"/>
  <c r="Q115" i="11"/>
  <c r="Q110" i="11"/>
  <c r="Q96" i="11"/>
  <c r="Q109" i="11"/>
  <c r="Q112" i="11"/>
  <c r="Q111" i="11"/>
  <c r="Q95" i="11"/>
  <c r="Q100" i="11"/>
  <c r="Q89" i="11"/>
  <c r="Q94" i="11"/>
  <c r="Q114" i="11"/>
  <c r="Q99" i="11"/>
  <c r="Q91" i="11"/>
  <c r="Q105" i="11"/>
  <c r="Q104" i="11"/>
  <c r="Q88" i="11"/>
  <c r="Q107" i="11"/>
  <c r="Q116" i="11"/>
  <c r="Q98" i="11"/>
  <c r="Q93" i="11"/>
  <c r="U150" i="9"/>
  <c r="S21" i="16" s="1"/>
  <c r="M25" i="16"/>
  <c r="M147" i="13"/>
  <c r="X150" i="10"/>
  <c r="T24" i="16" s="1"/>
  <c r="S146" i="12"/>
  <c r="S81" i="12"/>
  <c r="S82" i="12" s="1"/>
  <c r="S84" i="12" s="1"/>
  <c r="K28" i="16"/>
  <c r="P147" i="11"/>
  <c r="U102" i="12"/>
  <c r="U115" i="12"/>
  <c r="U99" i="12"/>
  <c r="U112" i="12"/>
  <c r="U96" i="12"/>
  <c r="U109" i="12"/>
  <c r="U93" i="12"/>
  <c r="U106" i="12"/>
  <c r="U90" i="12"/>
  <c r="U103" i="12"/>
  <c r="U116" i="12"/>
  <c r="U100" i="12"/>
  <c r="U113" i="12"/>
  <c r="U97" i="12"/>
  <c r="U110" i="12"/>
  <c r="U101" i="12"/>
  <c r="U111" i="12"/>
  <c r="U105" i="12"/>
  <c r="U95" i="12"/>
  <c r="U89" i="12"/>
  <c r="U91" i="12"/>
  <c r="U88" i="12"/>
  <c r="U104" i="12"/>
  <c r="U108" i="12"/>
  <c r="U94" i="12"/>
  <c r="U98" i="12"/>
  <c r="U114" i="12"/>
  <c r="U107" i="12"/>
  <c r="U92" i="12"/>
  <c r="S108" i="9"/>
  <c r="S105" i="9"/>
  <c r="S102" i="9"/>
  <c r="S115" i="9"/>
  <c r="S112" i="9"/>
  <c r="S109" i="9"/>
  <c r="S106" i="9"/>
  <c r="S91" i="9"/>
  <c r="S100" i="9"/>
  <c r="S88" i="9"/>
  <c r="S113" i="9"/>
  <c r="S98" i="9"/>
  <c r="S116" i="9"/>
  <c r="S110" i="9"/>
  <c r="S104" i="9"/>
  <c r="S95" i="9"/>
  <c r="S111" i="9"/>
  <c r="S103" i="9"/>
  <c r="S92" i="9"/>
  <c r="S99" i="9"/>
  <c r="S96" i="9"/>
  <c r="S107" i="9"/>
  <c r="S101" i="9"/>
  <c r="S97" i="9"/>
  <c r="S94" i="9"/>
  <c r="S93" i="9"/>
  <c r="S89" i="9"/>
  <c r="S114" i="9"/>
  <c r="S90" i="9"/>
  <c r="U113" i="11"/>
  <c r="U110" i="11"/>
  <c r="U94" i="11"/>
  <c r="U107" i="11"/>
  <c r="U91" i="11"/>
  <c r="U101" i="11"/>
  <c r="U105" i="11"/>
  <c r="U89" i="11"/>
  <c r="U112" i="11"/>
  <c r="U96" i="11"/>
  <c r="U106" i="11"/>
  <c r="U100" i="11"/>
  <c r="U114" i="11"/>
  <c r="U99" i="11"/>
  <c r="U93" i="11"/>
  <c r="U88" i="11"/>
  <c r="U98" i="11"/>
  <c r="U115" i="11"/>
  <c r="U92" i="11"/>
  <c r="U116" i="11"/>
  <c r="U104" i="11"/>
  <c r="U103" i="11"/>
  <c r="U97" i="11"/>
  <c r="U102" i="11"/>
  <c r="U90" i="11"/>
  <c r="U108" i="11"/>
  <c r="U109" i="11"/>
  <c r="U95" i="11"/>
  <c r="U111" i="11"/>
  <c r="H147" i="13"/>
  <c r="M20" i="16"/>
  <c r="L101" i="8"/>
  <c r="L114" i="8"/>
  <c r="L98" i="8"/>
  <c r="L111" i="8"/>
  <c r="L95" i="8"/>
  <c r="L108" i="8"/>
  <c r="L92" i="8"/>
  <c r="L105" i="8"/>
  <c r="L89" i="8"/>
  <c r="L102" i="8"/>
  <c r="L115" i="8"/>
  <c r="L99" i="8"/>
  <c r="L109" i="8"/>
  <c r="L93" i="8"/>
  <c r="L103" i="8"/>
  <c r="L116" i="8"/>
  <c r="L100" i="8"/>
  <c r="L104" i="8"/>
  <c r="L107" i="8"/>
  <c r="L112" i="8"/>
  <c r="L96" i="8"/>
  <c r="L110" i="8"/>
  <c r="L94" i="8"/>
  <c r="L106" i="8"/>
  <c r="L90" i="8"/>
  <c r="L88" i="8"/>
  <c r="L113" i="8"/>
  <c r="L97" i="8"/>
  <c r="L91" i="8"/>
  <c r="V150" i="8"/>
  <c r="R22" i="16" s="1"/>
  <c r="R84" i="12" l="1"/>
  <c r="U150" i="11"/>
  <c r="U21" i="16" s="1"/>
  <c r="L60" i="6"/>
  <c r="L129" i="6" s="1"/>
  <c r="K62" i="6"/>
  <c r="K131" i="6" s="1"/>
  <c r="O62" i="6"/>
  <c r="M62" i="6"/>
  <c r="M131" i="6" s="1"/>
  <c r="K61" i="6"/>
  <c r="K130" i="6" s="1"/>
  <c r="O61" i="6"/>
  <c r="O130" i="6" s="1"/>
  <c r="O60" i="6"/>
  <c r="O129" i="6" s="1"/>
  <c r="M129" i="6"/>
  <c r="O131" i="6"/>
  <c r="M63" i="6"/>
  <c r="M132" i="6" s="1"/>
  <c r="K65" i="6"/>
  <c r="K134" i="6" s="1"/>
  <c r="J63" i="6"/>
  <c r="J132" i="6" s="1"/>
  <c r="O125" i="6"/>
  <c r="N63" i="6"/>
  <c r="N132" i="6" s="1"/>
  <c r="M61" i="6"/>
  <c r="M130" i="6" s="1"/>
  <c r="J62" i="6"/>
  <c r="J131" i="6" s="1"/>
  <c r="N62" i="6"/>
  <c r="N131" i="6" s="1"/>
  <c r="M125" i="6"/>
  <c r="N61" i="6"/>
  <c r="N130" i="6" s="1"/>
  <c r="J64" i="6"/>
  <c r="J133" i="6" s="1"/>
  <c r="M66" i="6"/>
  <c r="M135" i="6" s="1"/>
  <c r="L63" i="6"/>
  <c r="L132" i="6" s="1"/>
  <c r="K64" i="6"/>
  <c r="K133" i="6" s="1"/>
  <c r="N60" i="6"/>
  <c r="N64" i="6" s="1"/>
  <c r="I60" i="6"/>
  <c r="I64" i="6" s="1"/>
  <c r="I133" i="6" s="1"/>
  <c r="L62" i="6"/>
  <c r="L131" i="6" s="1"/>
  <c r="K125" i="6"/>
  <c r="I62" i="6"/>
  <c r="I131" i="6" s="1"/>
  <c r="L61" i="6"/>
  <c r="L65" i="6" s="1"/>
  <c r="L134" i="6" s="1"/>
  <c r="K60" i="6"/>
  <c r="K66" i="6" s="1"/>
  <c r="K135" i="6" s="1"/>
  <c r="J61" i="6"/>
  <c r="O63" i="6"/>
  <c r="O132" i="6" s="1"/>
  <c r="M64" i="6"/>
  <c r="M133" i="6" s="1"/>
  <c r="K63" i="6"/>
  <c r="K132" i="6" s="1"/>
  <c r="V84" i="7"/>
  <c r="AA82" i="13"/>
  <c r="AA84" i="13" s="1"/>
  <c r="D61" i="11"/>
  <c r="D130" i="11" s="1"/>
  <c r="AA84" i="7"/>
  <c r="K61" i="11"/>
  <c r="K130" i="11" s="1"/>
  <c r="D61" i="12"/>
  <c r="D65" i="12" s="1"/>
  <c r="D134" i="12" s="1"/>
  <c r="J61" i="10"/>
  <c r="J130" i="10" s="1"/>
  <c r="D63" i="6"/>
  <c r="D132" i="6" s="1"/>
  <c r="D63" i="9"/>
  <c r="D132" i="9" s="1"/>
  <c r="E61" i="12"/>
  <c r="E130" i="12" s="1"/>
  <c r="M61" i="9"/>
  <c r="M130" i="9" s="1"/>
  <c r="G62" i="11"/>
  <c r="G131" i="11" s="1"/>
  <c r="K61" i="10"/>
  <c r="K130" i="10" s="1"/>
  <c r="D61" i="13"/>
  <c r="D130" i="13" s="1"/>
  <c r="E61" i="11"/>
  <c r="E130" i="11" s="1"/>
  <c r="D61" i="6"/>
  <c r="D130" i="6" s="1"/>
  <c r="L63" i="7"/>
  <c r="L132" i="7" s="1"/>
  <c r="P150" i="11"/>
  <c r="U16" i="16" s="1"/>
  <c r="E61" i="7"/>
  <c r="E130" i="7" s="1"/>
  <c r="G61" i="6"/>
  <c r="G130" i="6" s="1"/>
  <c r="K60" i="10"/>
  <c r="K129" i="10" s="1"/>
  <c r="K61" i="7"/>
  <c r="K130" i="7" s="1"/>
  <c r="N61" i="11"/>
  <c r="N130" i="11" s="1"/>
  <c r="G61" i="13"/>
  <c r="G130" i="13" s="1"/>
  <c r="K64" i="7"/>
  <c r="K133" i="7" s="1"/>
  <c r="F62" i="11"/>
  <c r="F131" i="11" s="1"/>
  <c r="L61" i="9"/>
  <c r="L130" i="9" s="1"/>
  <c r="G62" i="6"/>
  <c r="G131" i="6" s="1"/>
  <c r="H63" i="10"/>
  <c r="H132" i="10" s="1"/>
  <c r="O62" i="7"/>
  <c r="O131" i="7" s="1"/>
  <c r="H61" i="12"/>
  <c r="H130" i="12" s="1"/>
  <c r="F62" i="7"/>
  <c r="F131" i="7" s="1"/>
  <c r="G64" i="12"/>
  <c r="G133" i="12" s="1"/>
  <c r="L64" i="10"/>
  <c r="L133" i="10" s="1"/>
  <c r="N63" i="9"/>
  <c r="N132" i="9" s="1"/>
  <c r="L63" i="12"/>
  <c r="L132" i="12" s="1"/>
  <c r="L62" i="10"/>
  <c r="L131" i="10" s="1"/>
  <c r="G62" i="9"/>
  <c r="G131" i="9" s="1"/>
  <c r="F61" i="7"/>
  <c r="F130" i="7" s="1"/>
  <c r="E60" i="9"/>
  <c r="E129" i="9" s="1"/>
  <c r="L61" i="12"/>
  <c r="L130" i="12" s="1"/>
  <c r="K63" i="9"/>
  <c r="K132" i="9" s="1"/>
  <c r="F60" i="6"/>
  <c r="F129" i="6" s="1"/>
  <c r="H63" i="6"/>
  <c r="H132" i="6" s="1"/>
  <c r="G63" i="12"/>
  <c r="G132" i="12" s="1"/>
  <c r="G63" i="10"/>
  <c r="G132" i="10" s="1"/>
  <c r="D62" i="12"/>
  <c r="E62" i="6"/>
  <c r="E131" i="6" s="1"/>
  <c r="F63" i="13"/>
  <c r="F132" i="13" s="1"/>
  <c r="L62" i="7"/>
  <c r="L131" i="7" s="1"/>
  <c r="L61" i="11"/>
  <c r="L130" i="11" s="1"/>
  <c r="F63" i="9"/>
  <c r="F132" i="9" s="1"/>
  <c r="O60" i="9"/>
  <c r="O129" i="9" s="1"/>
  <c r="F61" i="11"/>
  <c r="F130" i="11" s="1"/>
  <c r="I62" i="9"/>
  <c r="I131" i="9" s="1"/>
  <c r="G62" i="12"/>
  <c r="G131" i="12" s="1"/>
  <c r="K60" i="9"/>
  <c r="K129" i="9" s="1"/>
  <c r="D62" i="6"/>
  <c r="D131" i="6" s="1"/>
  <c r="K62" i="9"/>
  <c r="K131" i="9" s="1"/>
  <c r="O61" i="10"/>
  <c r="O130" i="10" s="1"/>
  <c r="M61" i="10"/>
  <c r="M130" i="10" s="1"/>
  <c r="F61" i="12"/>
  <c r="F130" i="12" s="1"/>
  <c r="E60" i="13"/>
  <c r="E129" i="13" s="1"/>
  <c r="H61" i="10"/>
  <c r="H130" i="10" s="1"/>
  <c r="H62" i="11"/>
  <c r="H131" i="11" s="1"/>
  <c r="I64" i="12"/>
  <c r="I133" i="12" s="1"/>
  <c r="O63" i="9"/>
  <c r="N62" i="9"/>
  <c r="N131" i="9" s="1"/>
  <c r="E62" i="11"/>
  <c r="E131" i="11" s="1"/>
  <c r="M64" i="9"/>
  <c r="M133" i="9" s="1"/>
  <c r="M62" i="9"/>
  <c r="M131" i="9" s="1"/>
  <c r="G62" i="7"/>
  <c r="G131" i="7" s="1"/>
  <c r="N60" i="12"/>
  <c r="N129" i="12" s="1"/>
  <c r="O61" i="9"/>
  <c r="O130" i="9" s="1"/>
  <c r="L61" i="7"/>
  <c r="L65" i="7" s="1"/>
  <c r="H60" i="10"/>
  <c r="H129" i="10" s="1"/>
  <c r="G61" i="7"/>
  <c r="G130" i="7" s="1"/>
  <c r="G64" i="9"/>
  <c r="G133" i="9" s="1"/>
  <c r="F61" i="6"/>
  <c r="F130" i="6" s="1"/>
  <c r="I63" i="12"/>
  <c r="I132" i="12" s="1"/>
  <c r="F60" i="7"/>
  <c r="F129" i="7" s="1"/>
  <c r="F62" i="9"/>
  <c r="F131" i="9" s="1"/>
  <c r="F63" i="6"/>
  <c r="F132" i="6" s="1"/>
  <c r="M62" i="7"/>
  <c r="M131" i="7" s="1"/>
  <c r="F61" i="9"/>
  <c r="F130" i="9" s="1"/>
  <c r="D63" i="12"/>
  <c r="D132" i="12" s="1"/>
  <c r="O62" i="9"/>
  <c r="O131" i="9" s="1"/>
  <c r="N62" i="7"/>
  <c r="N131" i="7" s="1"/>
  <c r="I61" i="9"/>
  <c r="I130" i="9" s="1"/>
  <c r="N60" i="11"/>
  <c r="N129" i="11" s="1"/>
  <c r="K62" i="12"/>
  <c r="K131" i="12" s="1"/>
  <c r="L60" i="9"/>
  <c r="L129" i="9" s="1"/>
  <c r="K62" i="7"/>
  <c r="K131" i="7" s="1"/>
  <c r="E62" i="7"/>
  <c r="E131" i="7" s="1"/>
  <c r="G63" i="11"/>
  <c r="G132" i="11" s="1"/>
  <c r="K63" i="12"/>
  <c r="K132" i="12" s="1"/>
  <c r="L61" i="10"/>
  <c r="L130" i="10" s="1"/>
  <c r="D61" i="9"/>
  <c r="D130" i="9" s="1"/>
  <c r="G61" i="12"/>
  <c r="G130" i="12" s="1"/>
  <c r="M129" i="7"/>
  <c r="G129" i="7"/>
  <c r="G64" i="7"/>
  <c r="G133" i="7" s="1"/>
  <c r="H129" i="7"/>
  <c r="N125" i="10"/>
  <c r="N61" i="10"/>
  <c r="N130" i="10" s="1"/>
  <c r="I63" i="10"/>
  <c r="I132" i="10" s="1"/>
  <c r="D62" i="9"/>
  <c r="D131" i="9" s="1"/>
  <c r="O125" i="11"/>
  <c r="I63" i="11"/>
  <c r="D62" i="11"/>
  <c r="D131" i="11" s="1"/>
  <c r="L125" i="9"/>
  <c r="L62" i="9"/>
  <c r="G126" i="10"/>
  <c r="G64" i="10"/>
  <c r="G133" i="10" s="1"/>
  <c r="G61" i="10"/>
  <c r="G62" i="10"/>
  <c r="G131" i="10" s="1"/>
  <c r="J61" i="12"/>
  <c r="J130" i="12" s="1"/>
  <c r="L127" i="12"/>
  <c r="L62" i="12"/>
  <c r="H63" i="7"/>
  <c r="H132" i="7" s="1"/>
  <c r="H125" i="6"/>
  <c r="H61" i="6"/>
  <c r="H130" i="6" s="1"/>
  <c r="H62" i="6"/>
  <c r="G127" i="13"/>
  <c r="O125" i="12"/>
  <c r="O63" i="12"/>
  <c r="O132" i="12" s="1"/>
  <c r="O60" i="12"/>
  <c r="O64" i="12" s="1"/>
  <c r="O133" i="12" s="1"/>
  <c r="O61" i="12"/>
  <c r="O130" i="12" s="1"/>
  <c r="O62" i="12"/>
  <c r="O131" i="12" s="1"/>
  <c r="I61" i="10"/>
  <c r="D62" i="10"/>
  <c r="D131" i="10" s="1"/>
  <c r="N61" i="9"/>
  <c r="N130" i="9" s="1"/>
  <c r="M63" i="7"/>
  <c r="M132" i="7" s="1"/>
  <c r="O62" i="11"/>
  <c r="O131" i="11" s="1"/>
  <c r="H60" i="6"/>
  <c r="J64" i="11"/>
  <c r="J133" i="11" s="1"/>
  <c r="D63" i="10"/>
  <c r="D132" i="10" s="1"/>
  <c r="H64" i="7"/>
  <c r="H133" i="7" s="1"/>
  <c r="I125" i="11"/>
  <c r="I61" i="11"/>
  <c r="I130" i="11" s="1"/>
  <c r="K126" i="12"/>
  <c r="K64" i="12"/>
  <c r="K133" i="12" s="1"/>
  <c r="H61" i="9"/>
  <c r="H130" i="9" s="1"/>
  <c r="F64" i="13"/>
  <c r="F133" i="13" s="1"/>
  <c r="M125" i="11"/>
  <c r="M62" i="11"/>
  <c r="M131" i="11" s="1"/>
  <c r="M61" i="11"/>
  <c r="M63" i="11"/>
  <c r="M132" i="11" s="1"/>
  <c r="M64" i="11"/>
  <c r="M133" i="11" s="1"/>
  <c r="G128" i="6"/>
  <c r="K127" i="10"/>
  <c r="K63" i="10"/>
  <c r="K132" i="10" s="1"/>
  <c r="K62" i="10"/>
  <c r="K131" i="10" s="1"/>
  <c r="H63" i="12"/>
  <c r="H132" i="12" s="1"/>
  <c r="J63" i="11"/>
  <c r="N64" i="10"/>
  <c r="N133" i="10" s="1"/>
  <c r="I60" i="10"/>
  <c r="D61" i="10"/>
  <c r="D130" i="10" s="1"/>
  <c r="D60" i="6"/>
  <c r="D129" i="6" s="1"/>
  <c r="M61" i="7"/>
  <c r="M130" i="7" s="1"/>
  <c r="G126" i="12"/>
  <c r="D63" i="11"/>
  <c r="D132" i="11" s="1"/>
  <c r="L127" i="10"/>
  <c r="F128" i="7"/>
  <c r="F63" i="7"/>
  <c r="O128" i="10"/>
  <c r="O63" i="10"/>
  <c r="O132" i="10" s="1"/>
  <c r="J62" i="11"/>
  <c r="J131" i="11" s="1"/>
  <c r="E64" i="11"/>
  <c r="E133" i="11" s="1"/>
  <c r="H62" i="7"/>
  <c r="H131" i="7" s="1"/>
  <c r="L63" i="10"/>
  <c r="G64" i="6"/>
  <c r="G133" i="6" s="1"/>
  <c r="I125" i="10"/>
  <c r="D60" i="10"/>
  <c r="D64" i="10" s="1"/>
  <c r="D133" i="10" s="1"/>
  <c r="F126" i="13"/>
  <c r="F61" i="13"/>
  <c r="J128" i="9"/>
  <c r="J61" i="11"/>
  <c r="J130" i="11" s="1"/>
  <c r="I62" i="10"/>
  <c r="I131" i="10" s="1"/>
  <c r="M64" i="7"/>
  <c r="M133" i="7" s="1"/>
  <c r="M60" i="10"/>
  <c r="F125" i="12"/>
  <c r="F60" i="12"/>
  <c r="F64" i="12" s="1"/>
  <c r="F62" i="12"/>
  <c r="F131" i="12" s="1"/>
  <c r="F63" i="12"/>
  <c r="F132" i="12" s="1"/>
  <c r="N126" i="12"/>
  <c r="N61" i="12"/>
  <c r="I64" i="9"/>
  <c r="I133" i="9" s="1"/>
  <c r="E63" i="11"/>
  <c r="E132" i="11" s="1"/>
  <c r="H62" i="12"/>
  <c r="O64" i="11"/>
  <c r="O133" i="11" s="1"/>
  <c r="E126" i="12"/>
  <c r="N62" i="10"/>
  <c r="N131" i="10" s="1"/>
  <c r="M125" i="7"/>
  <c r="O63" i="11"/>
  <c r="O132" i="11" s="1"/>
  <c r="L64" i="7"/>
  <c r="L133" i="7" s="1"/>
  <c r="G125" i="7"/>
  <c r="G63" i="7"/>
  <c r="G132" i="7" s="1"/>
  <c r="O61" i="11"/>
  <c r="I62" i="11"/>
  <c r="I131" i="11" s="1"/>
  <c r="H127" i="10"/>
  <c r="H62" i="10"/>
  <c r="N63" i="10"/>
  <c r="N132" i="10" s="1"/>
  <c r="I63" i="9"/>
  <c r="I132" i="9" s="1"/>
  <c r="H125" i="7"/>
  <c r="H61" i="7"/>
  <c r="M125" i="10"/>
  <c r="M63" i="10"/>
  <c r="M132" i="10" s="1"/>
  <c r="M62" i="10"/>
  <c r="M131" i="10" s="1"/>
  <c r="M127" i="9"/>
  <c r="I64" i="11"/>
  <c r="I133" i="11" s="1"/>
  <c r="J125" i="12"/>
  <c r="J64" i="12"/>
  <c r="J62" i="12"/>
  <c r="J131" i="12" s="1"/>
  <c r="J63" i="12"/>
  <c r="J132" i="12" s="1"/>
  <c r="J125" i="11"/>
  <c r="I125" i="9"/>
  <c r="E126" i="11"/>
  <c r="L64" i="12"/>
  <c r="L133" i="12" s="1"/>
  <c r="L126" i="7"/>
  <c r="H125" i="9"/>
  <c r="H63" i="9"/>
  <c r="H60" i="9"/>
  <c r="H64" i="9" s="1"/>
  <c r="H133" i="9" s="1"/>
  <c r="H62" i="9"/>
  <c r="H131" i="9" s="1"/>
  <c r="G63" i="13"/>
  <c r="G132" i="13" s="1"/>
  <c r="L63" i="9"/>
  <c r="H125" i="11"/>
  <c r="H63" i="11"/>
  <c r="H132" i="11" s="1"/>
  <c r="H60" i="11"/>
  <c r="H61" i="11"/>
  <c r="H130" i="11" s="1"/>
  <c r="J127" i="7"/>
  <c r="J63" i="7"/>
  <c r="J132" i="7" s="1"/>
  <c r="E61" i="9"/>
  <c r="E130" i="9" s="1"/>
  <c r="D64" i="7"/>
  <c r="D133" i="7" s="1"/>
  <c r="M63" i="9"/>
  <c r="M132" i="9" s="1"/>
  <c r="G64" i="13"/>
  <c r="G61" i="9"/>
  <c r="G125" i="6"/>
  <c r="K125" i="9"/>
  <c r="D62" i="13"/>
  <c r="D131" i="13" s="1"/>
  <c r="O125" i="7"/>
  <c r="G61" i="11"/>
  <c r="I61" i="12"/>
  <c r="I65" i="12" s="1"/>
  <c r="I134" i="12" s="1"/>
  <c r="J63" i="9"/>
  <c r="J132" i="9" s="1"/>
  <c r="O64" i="10"/>
  <c r="O133" i="10" s="1"/>
  <c r="M64" i="12"/>
  <c r="M133" i="12" s="1"/>
  <c r="K63" i="7"/>
  <c r="E64" i="7"/>
  <c r="G60" i="11"/>
  <c r="D64" i="12"/>
  <c r="O125" i="10"/>
  <c r="I60" i="7"/>
  <c r="I64" i="7" s="1"/>
  <c r="I133" i="7" s="1"/>
  <c r="N63" i="7"/>
  <c r="N132" i="7" s="1"/>
  <c r="F125" i="11"/>
  <c r="M62" i="12"/>
  <c r="M131" i="12" s="1"/>
  <c r="G125" i="12"/>
  <c r="N62" i="11"/>
  <c r="G62" i="13"/>
  <c r="F62" i="13"/>
  <c r="F131" i="13" s="1"/>
  <c r="K125" i="7"/>
  <c r="G125" i="10"/>
  <c r="G63" i="6"/>
  <c r="E63" i="7"/>
  <c r="D62" i="7"/>
  <c r="D131" i="7" s="1"/>
  <c r="G125" i="11"/>
  <c r="I61" i="7"/>
  <c r="D125" i="7"/>
  <c r="N64" i="7"/>
  <c r="K60" i="11"/>
  <c r="E62" i="10"/>
  <c r="E131" i="10" s="1"/>
  <c r="E125" i="11"/>
  <c r="M125" i="9"/>
  <c r="N63" i="11"/>
  <c r="N132" i="11" s="1"/>
  <c r="G125" i="13"/>
  <c r="E62" i="12"/>
  <c r="J64" i="7"/>
  <c r="J133" i="7" s="1"/>
  <c r="L63" i="11"/>
  <c r="L132" i="11" s="1"/>
  <c r="J62" i="10"/>
  <c r="J131" i="10" s="1"/>
  <c r="J60" i="9"/>
  <c r="K62" i="11"/>
  <c r="E63" i="10"/>
  <c r="E132" i="10" s="1"/>
  <c r="E61" i="6"/>
  <c r="E130" i="6" s="1"/>
  <c r="M125" i="12"/>
  <c r="L125" i="12"/>
  <c r="G63" i="9"/>
  <c r="G132" i="9" s="1"/>
  <c r="E63" i="12"/>
  <c r="E132" i="12" s="1"/>
  <c r="E61" i="13"/>
  <c r="K125" i="10"/>
  <c r="L62" i="11"/>
  <c r="L131" i="11" s="1"/>
  <c r="F61" i="10"/>
  <c r="O61" i="7"/>
  <c r="O130" i="7" s="1"/>
  <c r="J60" i="10"/>
  <c r="J61" i="9"/>
  <c r="J130" i="9" s="1"/>
  <c r="E60" i="10"/>
  <c r="E129" i="10" s="1"/>
  <c r="E60" i="6"/>
  <c r="E64" i="6" s="1"/>
  <c r="E133" i="6" s="1"/>
  <c r="E60" i="12"/>
  <c r="E64" i="12" s="1"/>
  <c r="L60" i="11"/>
  <c r="L64" i="11" s="1"/>
  <c r="L133" i="11" s="1"/>
  <c r="E125" i="7"/>
  <c r="O60" i="7"/>
  <c r="I62" i="12"/>
  <c r="I131" i="12" s="1"/>
  <c r="E61" i="10"/>
  <c r="I63" i="7"/>
  <c r="I132" i="7" s="1"/>
  <c r="L125" i="7"/>
  <c r="N125" i="11"/>
  <c r="F125" i="13"/>
  <c r="J62" i="7"/>
  <c r="J131" i="7" s="1"/>
  <c r="F62" i="10"/>
  <c r="F131" i="10" s="1"/>
  <c r="D63" i="13"/>
  <c r="D132" i="13" s="1"/>
  <c r="J63" i="10"/>
  <c r="J132" i="10" s="1"/>
  <c r="K125" i="11"/>
  <c r="N125" i="7"/>
  <c r="M63" i="12"/>
  <c r="M132" i="12" s="1"/>
  <c r="G125" i="9"/>
  <c r="E125" i="12"/>
  <c r="E63" i="13"/>
  <c r="E132" i="13" s="1"/>
  <c r="J61" i="7"/>
  <c r="F63" i="10"/>
  <c r="F132" i="10" s="1"/>
  <c r="D60" i="13"/>
  <c r="D129" i="13" s="1"/>
  <c r="N62" i="12"/>
  <c r="N131" i="12" s="1"/>
  <c r="E63" i="6"/>
  <c r="D61" i="7"/>
  <c r="D130" i="7" s="1"/>
  <c r="N61" i="7"/>
  <c r="E62" i="13"/>
  <c r="E131" i="13" s="1"/>
  <c r="L125" i="11"/>
  <c r="O63" i="7"/>
  <c r="O132" i="7" s="1"/>
  <c r="K63" i="11"/>
  <c r="K132" i="11" s="1"/>
  <c r="E62" i="9"/>
  <c r="E131" i="9" s="1"/>
  <c r="D63" i="7"/>
  <c r="D132" i="7" s="1"/>
  <c r="F63" i="11"/>
  <c r="F132" i="11" s="1"/>
  <c r="M61" i="12"/>
  <c r="J125" i="10"/>
  <c r="L125" i="10"/>
  <c r="K61" i="9"/>
  <c r="J125" i="7"/>
  <c r="F125" i="10"/>
  <c r="F60" i="9"/>
  <c r="F62" i="6"/>
  <c r="I125" i="12"/>
  <c r="N63" i="12"/>
  <c r="O62" i="10"/>
  <c r="E63" i="9"/>
  <c r="E132" i="9" s="1"/>
  <c r="F60" i="11"/>
  <c r="F66" i="11" s="1"/>
  <c r="F135" i="11" s="1"/>
  <c r="J62" i="9"/>
  <c r="J131" i="9" s="1"/>
  <c r="E125" i="6"/>
  <c r="I62" i="7"/>
  <c r="I131" i="7" s="1"/>
  <c r="W150" i="7"/>
  <c r="Q23" i="16" s="1"/>
  <c r="C146" i="8"/>
  <c r="H150" i="8"/>
  <c r="R8" i="16" s="1"/>
  <c r="AA150" i="7"/>
  <c r="Q27" i="16" s="1"/>
  <c r="C89" i="8"/>
  <c r="Y149" i="6"/>
  <c r="Y150" i="6" s="1"/>
  <c r="P25" i="16" s="1"/>
  <c r="Y82" i="6"/>
  <c r="Y84" i="6" s="1"/>
  <c r="X82" i="11"/>
  <c r="X84" i="11" s="1"/>
  <c r="C121" i="6"/>
  <c r="C99" i="8"/>
  <c r="AB150" i="13"/>
  <c r="W28" i="16" s="1"/>
  <c r="V150" i="9"/>
  <c r="S22" i="16" s="1"/>
  <c r="C92" i="8"/>
  <c r="S150" i="9"/>
  <c r="S19" i="16" s="1"/>
  <c r="C112" i="8"/>
  <c r="H82" i="13"/>
  <c r="H84" i="13" s="1"/>
  <c r="AB150" i="10"/>
  <c r="T28" i="16" s="1"/>
  <c r="C106" i="8"/>
  <c r="AB82" i="10"/>
  <c r="AB84" i="10" s="1"/>
  <c r="C115" i="8"/>
  <c r="P150" i="10"/>
  <c r="T16" i="16" s="1"/>
  <c r="C102" i="8"/>
  <c r="C96" i="8"/>
  <c r="C104" i="8"/>
  <c r="S150" i="12"/>
  <c r="V19" i="16" s="1"/>
  <c r="C101" i="8"/>
  <c r="C107" i="8"/>
  <c r="C93" i="8"/>
  <c r="C94" i="8"/>
  <c r="C108" i="8"/>
  <c r="C111" i="8"/>
  <c r="C100" i="8"/>
  <c r="T150" i="13"/>
  <c r="W20" i="16" s="1"/>
  <c r="C110" i="8"/>
  <c r="C91" i="8"/>
  <c r="C116" i="8"/>
  <c r="C103" i="8"/>
  <c r="C90" i="8"/>
  <c r="E21" i="14" s="1"/>
  <c r="J6" i="16" s="1"/>
  <c r="C105" i="8"/>
  <c r="C98" i="8"/>
  <c r="C88" i="8"/>
  <c r="H64" i="12"/>
  <c r="H133" i="12" s="1"/>
  <c r="H125" i="12"/>
  <c r="C121" i="9"/>
  <c r="D126" i="12"/>
  <c r="C57" i="12"/>
  <c r="AC54" i="11"/>
  <c r="H20" i="14"/>
  <c r="C56" i="7"/>
  <c r="AC56" i="7" s="1"/>
  <c r="F125" i="7"/>
  <c r="C121" i="13"/>
  <c r="D127" i="12"/>
  <c r="C58" i="12"/>
  <c r="AC58" i="12" s="1"/>
  <c r="Z150" i="9"/>
  <c r="S26" i="16" s="1"/>
  <c r="F64" i="10"/>
  <c r="F133" i="10" s="1"/>
  <c r="F129" i="10"/>
  <c r="D127" i="13"/>
  <c r="C58" i="13"/>
  <c r="AC58" i="13" s="1"/>
  <c r="D128" i="12"/>
  <c r="C128" i="12" s="1"/>
  <c r="C59" i="12"/>
  <c r="AC59" i="12" s="1"/>
  <c r="I128" i="10"/>
  <c r="D126" i="9"/>
  <c r="C126" i="9" s="1"/>
  <c r="C57" i="9"/>
  <c r="AC57" i="9" s="1"/>
  <c r="D128" i="11"/>
  <c r="C128" i="11" s="1"/>
  <c r="C59" i="11"/>
  <c r="AC59" i="11" s="1"/>
  <c r="C121" i="12"/>
  <c r="C109" i="8"/>
  <c r="C57" i="11"/>
  <c r="AC57" i="11" s="1"/>
  <c r="D126" i="11"/>
  <c r="C56" i="12"/>
  <c r="AC56" i="12" s="1"/>
  <c r="D125" i="12"/>
  <c r="C95" i="8"/>
  <c r="C97" i="8"/>
  <c r="I63" i="6"/>
  <c r="I132" i="6" s="1"/>
  <c r="I125" i="6"/>
  <c r="D60" i="11"/>
  <c r="D125" i="11"/>
  <c r="C56" i="11"/>
  <c r="AC56" i="11" s="1"/>
  <c r="G129" i="10"/>
  <c r="D126" i="13"/>
  <c r="C57" i="13"/>
  <c r="C113" i="8"/>
  <c r="D128" i="9"/>
  <c r="C59" i="9"/>
  <c r="AC59" i="9" s="1"/>
  <c r="D127" i="11"/>
  <c r="C127" i="11" s="1"/>
  <c r="C58" i="11"/>
  <c r="AC58" i="11" s="1"/>
  <c r="K61" i="12"/>
  <c r="K125" i="12"/>
  <c r="AB150" i="11"/>
  <c r="U28" i="16" s="1"/>
  <c r="D127" i="10"/>
  <c r="C58" i="10"/>
  <c r="AC58" i="10" s="1"/>
  <c r="D60" i="9"/>
  <c r="D125" i="9"/>
  <c r="C56" i="9"/>
  <c r="AC56" i="9" s="1"/>
  <c r="AB150" i="9"/>
  <c r="S28" i="16" s="1"/>
  <c r="AB82" i="13"/>
  <c r="AB84" i="13" s="1"/>
  <c r="D128" i="10"/>
  <c r="C59" i="10"/>
  <c r="AC59" i="10" s="1"/>
  <c r="D127" i="9"/>
  <c r="C58" i="9"/>
  <c r="AC58" i="9" s="1"/>
  <c r="AC54" i="9"/>
  <c r="F20" i="14"/>
  <c r="C121" i="11"/>
  <c r="AC54" i="12"/>
  <c r="I20" i="14"/>
  <c r="D125" i="6"/>
  <c r="C56" i="6"/>
  <c r="AC56" i="6" s="1"/>
  <c r="D126" i="7"/>
  <c r="C57" i="7"/>
  <c r="AC57" i="7" s="1"/>
  <c r="C57" i="6"/>
  <c r="AC57" i="6" s="1"/>
  <c r="D126" i="6"/>
  <c r="C126" i="6" s="1"/>
  <c r="AC54" i="13"/>
  <c r="J20" i="14"/>
  <c r="C121" i="7"/>
  <c r="D126" i="10"/>
  <c r="C57" i="10"/>
  <c r="AC57" i="10" s="1"/>
  <c r="D128" i="6"/>
  <c r="C59" i="6"/>
  <c r="AC59" i="6" s="1"/>
  <c r="AC54" i="6"/>
  <c r="C20" i="14"/>
  <c r="D133" i="12"/>
  <c r="C59" i="7"/>
  <c r="AC59" i="7" s="1"/>
  <c r="D128" i="7"/>
  <c r="C56" i="10"/>
  <c r="AC56" i="10" s="1"/>
  <c r="D125" i="10"/>
  <c r="N60" i="9"/>
  <c r="N125" i="9"/>
  <c r="AC54" i="10"/>
  <c r="G20" i="14"/>
  <c r="C59" i="13"/>
  <c r="AC59" i="13" s="1"/>
  <c r="D128" i="13"/>
  <c r="C128" i="13" s="1"/>
  <c r="Z150" i="11"/>
  <c r="U26" i="16" s="1"/>
  <c r="AC54" i="7"/>
  <c r="D20" i="14"/>
  <c r="C121" i="10"/>
  <c r="D129" i="7"/>
  <c r="D127" i="6"/>
  <c r="C127" i="6" s="1"/>
  <c r="C58" i="6"/>
  <c r="AC58" i="6" s="1"/>
  <c r="D129" i="12"/>
  <c r="C114" i="8"/>
  <c r="P150" i="9"/>
  <c r="S16" i="16" s="1"/>
  <c r="D125" i="13"/>
  <c r="C56" i="13"/>
  <c r="AC56" i="13" s="1"/>
  <c r="D127" i="7"/>
  <c r="C58" i="7"/>
  <c r="AC58" i="7" s="1"/>
  <c r="T150" i="10"/>
  <c r="T20" i="16" s="1"/>
  <c r="J149" i="8"/>
  <c r="J82" i="8"/>
  <c r="J84" i="8" s="1"/>
  <c r="AC79" i="8"/>
  <c r="E14" i="14"/>
  <c r="U150" i="10"/>
  <c r="T21" i="16" s="1"/>
  <c r="C147" i="8"/>
  <c r="E18" i="14"/>
  <c r="E19" i="14" s="1"/>
  <c r="I6" i="16" s="1"/>
  <c r="AC78" i="8"/>
  <c r="T150" i="12"/>
  <c r="V20" i="16" s="1"/>
  <c r="C145" i="8"/>
  <c r="Q28" i="16"/>
  <c r="Q29" i="16"/>
  <c r="H150" i="13"/>
  <c r="W8" i="16" s="1"/>
  <c r="E150" i="8"/>
  <c r="R5" i="16" s="1"/>
  <c r="M150" i="13"/>
  <c r="W13" i="16" s="1"/>
  <c r="Z82" i="9"/>
  <c r="Z84" i="9" s="1"/>
  <c r="AB82" i="9"/>
  <c r="AB84" i="9" s="1"/>
  <c r="T82" i="10"/>
  <c r="T84" i="10" s="1"/>
  <c r="X150" i="11"/>
  <c r="U24" i="16" s="1"/>
  <c r="T82" i="12"/>
  <c r="T84" i="12" s="1"/>
  <c r="D84" i="8"/>
  <c r="C12" i="8"/>
  <c r="C13" i="8" s="1"/>
  <c r="G6" i="16" s="1"/>
  <c r="C81" i="8"/>
  <c r="K66" i="7" l="1"/>
  <c r="K135" i="7" s="1"/>
  <c r="K65" i="10"/>
  <c r="K134" i="10" s="1"/>
  <c r="L64" i="6"/>
  <c r="L133" i="6" s="1"/>
  <c r="J66" i="6"/>
  <c r="J135" i="6" s="1"/>
  <c r="K65" i="7"/>
  <c r="E65" i="7"/>
  <c r="E134" i="7" s="1"/>
  <c r="C127" i="13"/>
  <c r="G65" i="13"/>
  <c r="G134" i="13" s="1"/>
  <c r="D130" i="12"/>
  <c r="K65" i="11"/>
  <c r="K134" i="11" s="1"/>
  <c r="O66" i="10"/>
  <c r="O135" i="10" s="1"/>
  <c r="G66" i="10"/>
  <c r="G135" i="10" s="1"/>
  <c r="O65" i="10"/>
  <c r="O134" i="10" s="1"/>
  <c r="M65" i="9"/>
  <c r="M134" i="9" s="1"/>
  <c r="O64" i="9"/>
  <c r="O68" i="9" s="1"/>
  <c r="O137" i="9" s="1"/>
  <c r="O66" i="9"/>
  <c r="O135" i="9" s="1"/>
  <c r="I65" i="6"/>
  <c r="I134" i="6" s="1"/>
  <c r="J67" i="6"/>
  <c r="J136" i="6" s="1"/>
  <c r="O66" i="6"/>
  <c r="O135" i="6" s="1"/>
  <c r="C128" i="6"/>
  <c r="O64" i="6"/>
  <c r="O133" i="6" s="1"/>
  <c r="N66" i="6"/>
  <c r="N135" i="6" s="1"/>
  <c r="M68" i="6"/>
  <c r="M137" i="6" s="1"/>
  <c r="I67" i="6"/>
  <c r="I136" i="6" s="1"/>
  <c r="O65" i="6"/>
  <c r="O134" i="6" s="1"/>
  <c r="N133" i="6"/>
  <c r="O69" i="6"/>
  <c r="O138" i="6" s="1"/>
  <c r="K69" i="6"/>
  <c r="K138" i="6" s="1"/>
  <c r="K68" i="6"/>
  <c r="K137" i="6" s="1"/>
  <c r="L69" i="6"/>
  <c r="L138" i="6" s="1"/>
  <c r="O70" i="6"/>
  <c r="O139" i="6" s="1"/>
  <c r="L67" i="6"/>
  <c r="L136" i="6" s="1"/>
  <c r="K67" i="6"/>
  <c r="K136" i="6" s="1"/>
  <c r="I68" i="6"/>
  <c r="I137" i="6" s="1"/>
  <c r="I66" i="6"/>
  <c r="M67" i="6"/>
  <c r="M136" i="6" s="1"/>
  <c r="J130" i="6"/>
  <c r="I129" i="6"/>
  <c r="J68" i="6"/>
  <c r="J137" i="6" s="1"/>
  <c r="M65" i="6"/>
  <c r="M69" i="6" s="1"/>
  <c r="M138" i="6" s="1"/>
  <c r="N129" i="6"/>
  <c r="N65" i="6"/>
  <c r="N134" i="6" s="1"/>
  <c r="N68" i="6"/>
  <c r="N137" i="6" s="1"/>
  <c r="K129" i="6"/>
  <c r="L68" i="6"/>
  <c r="L137" i="6" s="1"/>
  <c r="J65" i="6"/>
  <c r="K70" i="6"/>
  <c r="K139" i="6" s="1"/>
  <c r="L130" i="6"/>
  <c r="L66" i="6"/>
  <c r="L70" i="6" s="1"/>
  <c r="L139" i="6" s="1"/>
  <c r="O67" i="6"/>
  <c r="I69" i="6"/>
  <c r="I138" i="6" s="1"/>
  <c r="N67" i="6"/>
  <c r="N136" i="6" s="1"/>
  <c r="C126" i="13"/>
  <c r="F66" i="9"/>
  <c r="F135" i="9" s="1"/>
  <c r="D67" i="12"/>
  <c r="D136" i="12" s="1"/>
  <c r="K64" i="9"/>
  <c r="K133" i="9" s="1"/>
  <c r="F66" i="6"/>
  <c r="F135" i="6" s="1"/>
  <c r="C126" i="10"/>
  <c r="L130" i="7"/>
  <c r="M66" i="9"/>
  <c r="M135" i="9" s="1"/>
  <c r="G65" i="7"/>
  <c r="G134" i="7" s="1"/>
  <c r="E67" i="7"/>
  <c r="E136" i="7" s="1"/>
  <c r="K67" i="7"/>
  <c r="K136" i="7" s="1"/>
  <c r="N65" i="12"/>
  <c r="N134" i="12" s="1"/>
  <c r="L65" i="12"/>
  <c r="L134" i="12" s="1"/>
  <c r="N64" i="12"/>
  <c r="N133" i="12" s="1"/>
  <c r="C128" i="9"/>
  <c r="C61" i="13"/>
  <c r="AC61" i="13" s="1"/>
  <c r="D129" i="10"/>
  <c r="F64" i="7"/>
  <c r="F133" i="7" s="1"/>
  <c r="K68" i="7"/>
  <c r="K137" i="7" s="1"/>
  <c r="C127" i="12"/>
  <c r="C126" i="11"/>
  <c r="D66" i="12"/>
  <c r="D135" i="12" s="1"/>
  <c r="H67" i="6"/>
  <c r="H136" i="6" s="1"/>
  <c r="C60" i="7"/>
  <c r="AC60" i="7" s="1"/>
  <c r="G66" i="7"/>
  <c r="G135" i="7" s="1"/>
  <c r="H65" i="10"/>
  <c r="H134" i="10" s="1"/>
  <c r="I65" i="10"/>
  <c r="I134" i="10" s="1"/>
  <c r="N65" i="11"/>
  <c r="N134" i="11" s="1"/>
  <c r="C127" i="7"/>
  <c r="C127" i="10"/>
  <c r="C129" i="13"/>
  <c r="O67" i="9"/>
  <c r="O136" i="9" s="1"/>
  <c r="D67" i="6"/>
  <c r="D136" i="6" s="1"/>
  <c r="D131" i="12"/>
  <c r="L66" i="7"/>
  <c r="L135" i="7" s="1"/>
  <c r="C63" i="12"/>
  <c r="AC63" i="12" s="1"/>
  <c r="D68" i="12"/>
  <c r="D137" i="12" s="1"/>
  <c r="F67" i="7"/>
  <c r="F136" i="7" s="1"/>
  <c r="H65" i="12"/>
  <c r="H134" i="12" s="1"/>
  <c r="C131" i="7"/>
  <c r="E65" i="11"/>
  <c r="E134" i="11" s="1"/>
  <c r="H66" i="12"/>
  <c r="H135" i="12" s="1"/>
  <c r="H67" i="10"/>
  <c r="H136" i="10" s="1"/>
  <c r="E64" i="13"/>
  <c r="E133" i="13" s="1"/>
  <c r="E64" i="10"/>
  <c r="E133" i="10" s="1"/>
  <c r="G66" i="12"/>
  <c r="G135" i="12" s="1"/>
  <c r="N64" i="11"/>
  <c r="N133" i="11" s="1"/>
  <c r="L67" i="12"/>
  <c r="L136" i="12" s="1"/>
  <c r="N65" i="10"/>
  <c r="N134" i="10" s="1"/>
  <c r="I66" i="9"/>
  <c r="I135" i="9" s="1"/>
  <c r="G67" i="12"/>
  <c r="G136" i="12" s="1"/>
  <c r="K64" i="10"/>
  <c r="K133" i="10" s="1"/>
  <c r="F65" i="11"/>
  <c r="F134" i="11" s="1"/>
  <c r="G65" i="12"/>
  <c r="G134" i="12" s="1"/>
  <c r="O132" i="9"/>
  <c r="L66" i="10"/>
  <c r="L135" i="10" s="1"/>
  <c r="K66" i="10"/>
  <c r="K135" i="10" s="1"/>
  <c r="E66" i="11"/>
  <c r="E135" i="11" s="1"/>
  <c r="F64" i="11"/>
  <c r="F133" i="11" s="1"/>
  <c r="G66" i="6"/>
  <c r="G135" i="6" s="1"/>
  <c r="C62" i="11"/>
  <c r="AC62" i="11" s="1"/>
  <c r="M67" i="9"/>
  <c r="M136" i="9" s="1"/>
  <c r="G65" i="6"/>
  <c r="G134" i="6" s="1"/>
  <c r="O65" i="9"/>
  <c r="O134" i="9" s="1"/>
  <c r="M66" i="12"/>
  <c r="M135" i="12" s="1"/>
  <c r="C61" i="7"/>
  <c r="AC61" i="7" s="1"/>
  <c r="H64" i="10"/>
  <c r="H133" i="10" s="1"/>
  <c r="G67" i="6"/>
  <c r="G136" i="6" s="1"/>
  <c r="D69" i="12"/>
  <c r="D138" i="12" s="1"/>
  <c r="F65" i="9"/>
  <c r="F134" i="9" s="1"/>
  <c r="D67" i="7"/>
  <c r="D136" i="7" s="1"/>
  <c r="F67" i="10"/>
  <c r="F136" i="10" s="1"/>
  <c r="G65" i="11"/>
  <c r="G134" i="11" s="1"/>
  <c r="D66" i="6"/>
  <c r="D135" i="6" s="1"/>
  <c r="E64" i="9"/>
  <c r="E133" i="9" s="1"/>
  <c r="C61" i="10"/>
  <c r="AC61" i="10" s="1"/>
  <c r="L67" i="10"/>
  <c r="L136" i="10" s="1"/>
  <c r="L67" i="7"/>
  <c r="L136" i="7" s="1"/>
  <c r="L66" i="11"/>
  <c r="L135" i="11" s="1"/>
  <c r="N67" i="7"/>
  <c r="N136" i="7" s="1"/>
  <c r="M67" i="10"/>
  <c r="M136" i="10" s="1"/>
  <c r="I65" i="9"/>
  <c r="I134" i="9" s="1"/>
  <c r="F64" i="6"/>
  <c r="F133" i="6" s="1"/>
  <c r="G68" i="10"/>
  <c r="G137" i="10" s="1"/>
  <c r="C132" i="13"/>
  <c r="G68" i="12"/>
  <c r="G137" i="12" s="1"/>
  <c r="C63" i="11"/>
  <c r="AC63" i="11" s="1"/>
  <c r="C125" i="10"/>
  <c r="C62" i="13"/>
  <c r="AC62" i="13" s="1"/>
  <c r="C63" i="7"/>
  <c r="AC63" i="7" s="1"/>
  <c r="C62" i="7"/>
  <c r="AC62" i="7" s="1"/>
  <c r="N67" i="11"/>
  <c r="N136" i="11" s="1"/>
  <c r="C63" i="13"/>
  <c r="AC63" i="13" s="1"/>
  <c r="K64" i="11"/>
  <c r="K133" i="11" s="1"/>
  <c r="F66" i="7"/>
  <c r="F135" i="7" s="1"/>
  <c r="J67" i="9"/>
  <c r="J136" i="9" s="1"/>
  <c r="C60" i="12"/>
  <c r="AC60" i="12" s="1"/>
  <c r="C62" i="12"/>
  <c r="AC62" i="12" s="1"/>
  <c r="H65" i="6"/>
  <c r="H134" i="6" s="1"/>
  <c r="D66" i="10"/>
  <c r="D135" i="10" s="1"/>
  <c r="C63" i="9"/>
  <c r="AC63" i="9" s="1"/>
  <c r="D66" i="7"/>
  <c r="D135" i="7" s="1"/>
  <c r="C127" i="9"/>
  <c r="C60" i="6"/>
  <c r="AC60" i="6" s="1"/>
  <c r="C61" i="12"/>
  <c r="AC61" i="12" s="1"/>
  <c r="I68" i="12"/>
  <c r="I137" i="12" s="1"/>
  <c r="F65" i="6"/>
  <c r="F134" i="6" s="1"/>
  <c r="G68" i="7"/>
  <c r="G137" i="7" s="1"/>
  <c r="J65" i="11"/>
  <c r="J134" i="11" s="1"/>
  <c r="F65" i="7"/>
  <c r="F134" i="7" s="1"/>
  <c r="O68" i="12"/>
  <c r="O137" i="12" s="1"/>
  <c r="E133" i="12"/>
  <c r="K68" i="10"/>
  <c r="K137" i="10" s="1"/>
  <c r="J66" i="9"/>
  <c r="J135" i="9" s="1"/>
  <c r="E66" i="7"/>
  <c r="E135" i="7" s="1"/>
  <c r="F67" i="12"/>
  <c r="F136" i="12" s="1"/>
  <c r="C128" i="7"/>
  <c r="C60" i="10"/>
  <c r="AC60" i="10" s="1"/>
  <c r="C61" i="6"/>
  <c r="AC61" i="6" s="1"/>
  <c r="L68" i="7"/>
  <c r="L137" i="7" s="1"/>
  <c r="C62" i="9"/>
  <c r="AC62" i="9" s="1"/>
  <c r="L66" i="12"/>
  <c r="L135" i="12" s="1"/>
  <c r="C61" i="11"/>
  <c r="AC61" i="11" s="1"/>
  <c r="J65" i="9"/>
  <c r="J134" i="9" s="1"/>
  <c r="K67" i="10"/>
  <c r="J66" i="7"/>
  <c r="J135" i="7" s="1"/>
  <c r="M64" i="10"/>
  <c r="M133" i="10" s="1"/>
  <c r="I65" i="11"/>
  <c r="I134" i="11" s="1"/>
  <c r="E65" i="9"/>
  <c r="E134" i="9" s="1"/>
  <c r="L65" i="9"/>
  <c r="L134" i="9" s="1"/>
  <c r="O67" i="12"/>
  <c r="O136" i="12" s="1"/>
  <c r="M68" i="11"/>
  <c r="M137" i="11" s="1"/>
  <c r="L64" i="9"/>
  <c r="L133" i="9" s="1"/>
  <c r="L66" i="9"/>
  <c r="L135" i="9" s="1"/>
  <c r="I67" i="12"/>
  <c r="I136" i="12" s="1"/>
  <c r="C62" i="6"/>
  <c r="AC62" i="6" s="1"/>
  <c r="C126" i="12"/>
  <c r="I66" i="12"/>
  <c r="I135" i="12" s="1"/>
  <c r="L65" i="10"/>
  <c r="L134" i="10" s="1"/>
  <c r="J65" i="12"/>
  <c r="J134" i="12" s="1"/>
  <c r="G67" i="10"/>
  <c r="G136" i="10" s="1"/>
  <c r="D64" i="13"/>
  <c r="D68" i="13" s="1"/>
  <c r="D66" i="13"/>
  <c r="D67" i="13"/>
  <c r="D65" i="13"/>
  <c r="C60" i="13"/>
  <c r="AC60" i="13" s="1"/>
  <c r="E67" i="9"/>
  <c r="E136" i="9" s="1"/>
  <c r="K130" i="12"/>
  <c r="K67" i="12"/>
  <c r="K136" i="12" s="1"/>
  <c r="K66" i="12"/>
  <c r="K135" i="12" s="1"/>
  <c r="K68" i="12"/>
  <c r="K137" i="12" s="1"/>
  <c r="K65" i="12"/>
  <c r="O68" i="10"/>
  <c r="O137" i="10" s="1"/>
  <c r="E130" i="10"/>
  <c r="E133" i="7"/>
  <c r="E68" i="7"/>
  <c r="G130" i="9"/>
  <c r="G66" i="9"/>
  <c r="G135" i="9" s="1"/>
  <c r="G68" i="9"/>
  <c r="G137" i="9" s="1"/>
  <c r="G67" i="9"/>
  <c r="G136" i="9" s="1"/>
  <c r="G65" i="9"/>
  <c r="H132" i="9"/>
  <c r="I130" i="10"/>
  <c r="I67" i="10"/>
  <c r="I136" i="10" s="1"/>
  <c r="I132" i="11"/>
  <c r="J130" i="7"/>
  <c r="J68" i="7"/>
  <c r="J137" i="7" s="1"/>
  <c r="J65" i="7"/>
  <c r="J134" i="7" s="1"/>
  <c r="J67" i="7"/>
  <c r="J136" i="7" s="1"/>
  <c r="G133" i="13"/>
  <c r="N67" i="12"/>
  <c r="N136" i="12" s="1"/>
  <c r="D67" i="11"/>
  <c r="D65" i="11"/>
  <c r="D66" i="11"/>
  <c r="D64" i="11"/>
  <c r="D68" i="11" s="1"/>
  <c r="N133" i="7"/>
  <c r="I130" i="12"/>
  <c r="D66" i="9"/>
  <c r="D64" i="9"/>
  <c r="D65" i="9"/>
  <c r="C62" i="10"/>
  <c r="AC62" i="10" s="1"/>
  <c r="K134" i="7"/>
  <c r="E132" i="6"/>
  <c r="F130" i="10"/>
  <c r="F68" i="10"/>
  <c r="F65" i="10"/>
  <c r="F66" i="10"/>
  <c r="F135" i="10" s="1"/>
  <c r="G130" i="11"/>
  <c r="G67" i="11"/>
  <c r="G136" i="11" s="1"/>
  <c r="N129" i="9"/>
  <c r="N65" i="9"/>
  <c r="N134" i="9" s="1"/>
  <c r="N67" i="9"/>
  <c r="N136" i="9" s="1"/>
  <c r="N66" i="9"/>
  <c r="N135" i="9" s="1"/>
  <c r="N64" i="9"/>
  <c r="D67" i="9"/>
  <c r="D136" i="9" s="1"/>
  <c r="F67" i="11"/>
  <c r="H129" i="11"/>
  <c r="H65" i="11"/>
  <c r="H134" i="11" s="1"/>
  <c r="H66" i="11"/>
  <c r="H135" i="11" s="1"/>
  <c r="H67" i="11"/>
  <c r="H136" i="11" s="1"/>
  <c r="O129" i="7"/>
  <c r="O67" i="7"/>
  <c r="O136" i="7" s="1"/>
  <c r="O65" i="7"/>
  <c r="O134" i="7" s="1"/>
  <c r="J132" i="11"/>
  <c r="J68" i="11"/>
  <c r="J137" i="11" s="1"/>
  <c r="I130" i="7"/>
  <c r="I66" i="7"/>
  <c r="E68" i="6"/>
  <c r="E137" i="6" s="1"/>
  <c r="H130" i="7"/>
  <c r="H67" i="7"/>
  <c r="H136" i="7" s="1"/>
  <c r="H65" i="7"/>
  <c r="H68" i="7"/>
  <c r="H137" i="7" s="1"/>
  <c r="L132" i="10"/>
  <c r="C132" i="10" s="1"/>
  <c r="L68" i="10"/>
  <c r="L137" i="10" s="1"/>
  <c r="L134" i="7"/>
  <c r="O131" i="10"/>
  <c r="O67" i="10"/>
  <c r="O70" i="10"/>
  <c r="O139" i="10" s="1"/>
  <c r="I65" i="7"/>
  <c r="I134" i="7" s="1"/>
  <c r="H64" i="11"/>
  <c r="C63" i="10"/>
  <c r="AC63" i="10" s="1"/>
  <c r="E131" i="12"/>
  <c r="E65" i="10"/>
  <c r="E134" i="10" s="1"/>
  <c r="F133" i="12"/>
  <c r="E130" i="13"/>
  <c r="E65" i="13"/>
  <c r="E67" i="13"/>
  <c r="E136" i="13" s="1"/>
  <c r="E66" i="13"/>
  <c r="E135" i="13" s="1"/>
  <c r="E66" i="10"/>
  <c r="L132" i="9"/>
  <c r="C63" i="6"/>
  <c r="AC63" i="6" s="1"/>
  <c r="N132" i="12"/>
  <c r="C132" i="12" s="1"/>
  <c r="K131" i="11"/>
  <c r="E67" i="6"/>
  <c r="I69" i="12"/>
  <c r="M130" i="12"/>
  <c r="M67" i="12"/>
  <c r="M68" i="12"/>
  <c r="M137" i="12" s="1"/>
  <c r="M65" i="12"/>
  <c r="M69" i="12" s="1"/>
  <c r="M138" i="12" s="1"/>
  <c r="J133" i="12"/>
  <c r="O130" i="11"/>
  <c r="O68" i="11"/>
  <c r="O137" i="11" s="1"/>
  <c r="O66" i="11"/>
  <c r="O135" i="11" s="1"/>
  <c r="O65" i="11"/>
  <c r="O67" i="11"/>
  <c r="F130" i="13"/>
  <c r="F67" i="13"/>
  <c r="F136" i="13" s="1"/>
  <c r="F66" i="13"/>
  <c r="F135" i="13" s="1"/>
  <c r="F65" i="13"/>
  <c r="F68" i="13"/>
  <c r="F137" i="13" s="1"/>
  <c r="H66" i="7"/>
  <c r="H131" i="6"/>
  <c r="H66" i="6"/>
  <c r="H135" i="6" s="1"/>
  <c r="O66" i="7"/>
  <c r="K69" i="7"/>
  <c r="K138" i="7" s="1"/>
  <c r="O64" i="7"/>
  <c r="H67" i="9"/>
  <c r="H136" i="9" s="1"/>
  <c r="C125" i="7"/>
  <c r="K130" i="9"/>
  <c r="K65" i="9"/>
  <c r="K134" i="9" s="1"/>
  <c r="K67" i="9"/>
  <c r="K136" i="9" s="1"/>
  <c r="K66" i="9"/>
  <c r="J129" i="10"/>
  <c r="J67" i="10"/>
  <c r="J136" i="10" s="1"/>
  <c r="J66" i="10"/>
  <c r="J135" i="10" s="1"/>
  <c r="J64" i="10"/>
  <c r="J65" i="10"/>
  <c r="J134" i="10" s="1"/>
  <c r="E69" i="7"/>
  <c r="E66" i="12"/>
  <c r="L67" i="9"/>
  <c r="C61" i="9"/>
  <c r="AC61" i="9" s="1"/>
  <c r="N66" i="7"/>
  <c r="N135" i="7" s="1"/>
  <c r="E132" i="7"/>
  <c r="M129" i="10"/>
  <c r="J64" i="9"/>
  <c r="J68" i="9" s="1"/>
  <c r="J137" i="9" s="1"/>
  <c r="M68" i="9"/>
  <c r="M130" i="11"/>
  <c r="H66" i="10"/>
  <c r="N130" i="12"/>
  <c r="I67" i="11"/>
  <c r="I136" i="11" s="1"/>
  <c r="M65" i="11"/>
  <c r="O66" i="12"/>
  <c r="O135" i="12" s="1"/>
  <c r="L131" i="12"/>
  <c r="L68" i="12"/>
  <c r="L68" i="11"/>
  <c r="L137" i="11" s="1"/>
  <c r="F67" i="9"/>
  <c r="F136" i="9" s="1"/>
  <c r="D68" i="7"/>
  <c r="K70" i="7"/>
  <c r="K139" i="7" s="1"/>
  <c r="K129" i="11"/>
  <c r="K66" i="11"/>
  <c r="G69" i="12"/>
  <c r="J67" i="12"/>
  <c r="J136" i="12" s="1"/>
  <c r="L69" i="7"/>
  <c r="N68" i="10"/>
  <c r="N137" i="10" s="1"/>
  <c r="O65" i="12"/>
  <c r="M67" i="11"/>
  <c r="M136" i="11" s="1"/>
  <c r="F129" i="11"/>
  <c r="D65" i="7"/>
  <c r="E129" i="6"/>
  <c r="E65" i="6"/>
  <c r="E66" i="6"/>
  <c r="I67" i="9"/>
  <c r="H131" i="10"/>
  <c r="G67" i="7"/>
  <c r="E67" i="11"/>
  <c r="J66" i="11"/>
  <c r="G68" i="6"/>
  <c r="E69" i="11"/>
  <c r="E138" i="11" s="1"/>
  <c r="J67" i="11"/>
  <c r="J136" i="11" s="1"/>
  <c r="O133" i="9"/>
  <c r="E66" i="9"/>
  <c r="L129" i="11"/>
  <c r="L65" i="11"/>
  <c r="F67" i="6"/>
  <c r="K67" i="11"/>
  <c r="F129" i="12"/>
  <c r="F66" i="12"/>
  <c r="F135" i="12" s="1"/>
  <c r="F68" i="12"/>
  <c r="F137" i="12" s="1"/>
  <c r="M66" i="10"/>
  <c r="M135" i="10" s="1"/>
  <c r="I68" i="9"/>
  <c r="I137" i="9" s="1"/>
  <c r="G130" i="10"/>
  <c r="G65" i="10"/>
  <c r="N66" i="12"/>
  <c r="N135" i="12" s="1"/>
  <c r="G70" i="7"/>
  <c r="G139" i="7" s="1"/>
  <c r="L131" i="9"/>
  <c r="C131" i="9" s="1"/>
  <c r="G131" i="13"/>
  <c r="C131" i="13" s="1"/>
  <c r="G67" i="13"/>
  <c r="G136" i="13" s="1"/>
  <c r="E67" i="12"/>
  <c r="E67" i="10"/>
  <c r="J68" i="12"/>
  <c r="J137" i="12" s="1"/>
  <c r="E68" i="11"/>
  <c r="D67" i="10"/>
  <c r="M66" i="7"/>
  <c r="M135" i="7" s="1"/>
  <c r="D64" i="6"/>
  <c r="D68" i="6" s="1"/>
  <c r="D65" i="6"/>
  <c r="M65" i="7"/>
  <c r="F131" i="6"/>
  <c r="N130" i="7"/>
  <c r="E129" i="12"/>
  <c r="E68" i="12"/>
  <c r="N65" i="7"/>
  <c r="N68" i="7"/>
  <c r="N137" i="7" s="1"/>
  <c r="E65" i="12"/>
  <c r="F132" i="7"/>
  <c r="F69" i="7"/>
  <c r="F138" i="7" s="1"/>
  <c r="D68" i="10"/>
  <c r="N131" i="11"/>
  <c r="I129" i="7"/>
  <c r="I68" i="7"/>
  <c r="I137" i="7" s="1"/>
  <c r="I67" i="7"/>
  <c r="I136" i="7" s="1"/>
  <c r="G129" i="11"/>
  <c r="G66" i="11"/>
  <c r="G135" i="11" s="1"/>
  <c r="G64" i="11"/>
  <c r="N66" i="10"/>
  <c r="M66" i="11"/>
  <c r="M135" i="11" s="1"/>
  <c r="I64" i="10"/>
  <c r="F129" i="9"/>
  <c r="F64" i="9"/>
  <c r="J129" i="9"/>
  <c r="G132" i="6"/>
  <c r="K132" i="7"/>
  <c r="K71" i="7"/>
  <c r="K140" i="7" s="1"/>
  <c r="L67" i="11"/>
  <c r="L136" i="11" s="1"/>
  <c r="J66" i="12"/>
  <c r="N67" i="10"/>
  <c r="N136" i="10" s="1"/>
  <c r="F65" i="12"/>
  <c r="K70" i="10"/>
  <c r="K139" i="10" s="1"/>
  <c r="G68" i="13"/>
  <c r="M67" i="7"/>
  <c r="M136" i="7" s="1"/>
  <c r="H129" i="9"/>
  <c r="H66" i="9"/>
  <c r="H135" i="9" s="1"/>
  <c r="H65" i="9"/>
  <c r="H68" i="9"/>
  <c r="H137" i="9" s="1"/>
  <c r="H68" i="12"/>
  <c r="H137" i="12" s="1"/>
  <c r="G66" i="13"/>
  <c r="M68" i="7"/>
  <c r="M137" i="7" s="1"/>
  <c r="M65" i="10"/>
  <c r="G69" i="13"/>
  <c r="G138" i="13" s="1"/>
  <c r="I66" i="11"/>
  <c r="H131" i="12"/>
  <c r="I68" i="11"/>
  <c r="I137" i="11" s="1"/>
  <c r="D65" i="10"/>
  <c r="I129" i="10"/>
  <c r="O129" i="12"/>
  <c r="H67" i="12"/>
  <c r="I66" i="10"/>
  <c r="H129" i="6"/>
  <c r="H64" i="6"/>
  <c r="N66" i="11"/>
  <c r="C128" i="10"/>
  <c r="C125" i="6"/>
  <c r="C125" i="9"/>
  <c r="C125" i="12"/>
  <c r="D129" i="9"/>
  <c r="C60" i="9"/>
  <c r="AC57" i="12"/>
  <c r="AC57" i="13"/>
  <c r="C125" i="13"/>
  <c r="C126" i="7"/>
  <c r="C84" i="8"/>
  <c r="C82" i="8"/>
  <c r="C125" i="11"/>
  <c r="D129" i="11"/>
  <c r="C60" i="11"/>
  <c r="J150" i="8"/>
  <c r="R10" i="16" s="1"/>
  <c r="C149" i="8"/>
  <c r="C150" i="8" s="1"/>
  <c r="K6" i="16" s="1"/>
  <c r="H70" i="12" l="1"/>
  <c r="H139" i="12" s="1"/>
  <c r="M71" i="6"/>
  <c r="M140" i="6" s="1"/>
  <c r="F70" i="7"/>
  <c r="F139" i="7" s="1"/>
  <c r="M70" i="9"/>
  <c r="M139" i="9" s="1"/>
  <c r="G69" i="7"/>
  <c r="G138" i="7" s="1"/>
  <c r="O68" i="6"/>
  <c r="O137" i="6" s="1"/>
  <c r="O72" i="6"/>
  <c r="O141" i="6" s="1"/>
  <c r="I69" i="10"/>
  <c r="I138" i="10" s="1"/>
  <c r="L70" i="7"/>
  <c r="O69" i="10"/>
  <c r="O138" i="10" s="1"/>
  <c r="E70" i="11"/>
  <c r="E139" i="11" s="1"/>
  <c r="D70" i="7"/>
  <c r="H71" i="12"/>
  <c r="H140" i="12" s="1"/>
  <c r="M69" i="9"/>
  <c r="M138" i="9" s="1"/>
  <c r="F68" i="7"/>
  <c r="F73" i="7" s="1"/>
  <c r="F142" i="7" s="1"/>
  <c r="M71" i="9"/>
  <c r="M140" i="9" s="1"/>
  <c r="G70" i="13"/>
  <c r="G139" i="13" s="1"/>
  <c r="D73" i="12"/>
  <c r="C64" i="12"/>
  <c r="AC64" i="12" s="1"/>
  <c r="N69" i="12"/>
  <c r="N138" i="12" s="1"/>
  <c r="D70" i="12"/>
  <c r="D74" i="12" s="1"/>
  <c r="D143" i="12" s="1"/>
  <c r="N68" i="12"/>
  <c r="N137" i="12" s="1"/>
  <c r="F71" i="11"/>
  <c r="F140" i="11" s="1"/>
  <c r="F68" i="11"/>
  <c r="F137" i="11" s="1"/>
  <c r="N70" i="10"/>
  <c r="N139" i="10" s="1"/>
  <c r="N69" i="10"/>
  <c r="N138" i="10" s="1"/>
  <c r="M68" i="10"/>
  <c r="M137" i="10" s="1"/>
  <c r="D70" i="10"/>
  <c r="D139" i="10" s="1"/>
  <c r="K69" i="10"/>
  <c r="K73" i="10" s="1"/>
  <c r="K142" i="10" s="1"/>
  <c r="K68" i="9"/>
  <c r="K137" i="9" s="1"/>
  <c r="L72" i="6"/>
  <c r="L141" i="6" s="1"/>
  <c r="K72" i="6"/>
  <c r="K141" i="6" s="1"/>
  <c r="N69" i="6"/>
  <c r="N138" i="6" s="1"/>
  <c r="L73" i="6"/>
  <c r="L142" i="6" s="1"/>
  <c r="F68" i="6"/>
  <c r="M72" i="6"/>
  <c r="M141" i="6" s="1"/>
  <c r="C130" i="6"/>
  <c r="N71" i="6"/>
  <c r="N140" i="6" s="1"/>
  <c r="L74" i="6"/>
  <c r="L143" i="6" s="1"/>
  <c r="I73" i="6"/>
  <c r="I142" i="6" s="1"/>
  <c r="I135" i="6"/>
  <c r="I70" i="6"/>
  <c r="I71" i="6"/>
  <c r="I140" i="6" s="1"/>
  <c r="K73" i="6"/>
  <c r="K142" i="6" s="1"/>
  <c r="O74" i="6"/>
  <c r="N72" i="6"/>
  <c r="N141" i="6" s="1"/>
  <c r="M73" i="6"/>
  <c r="M142" i="6" s="1"/>
  <c r="K74" i="6"/>
  <c r="J134" i="6"/>
  <c r="J71" i="6"/>
  <c r="J140" i="6" s="1"/>
  <c r="J72" i="6"/>
  <c r="J141" i="6" s="1"/>
  <c r="N73" i="6"/>
  <c r="N142" i="6" s="1"/>
  <c r="N70" i="6"/>
  <c r="L71" i="6"/>
  <c r="O136" i="6"/>
  <c r="O73" i="6"/>
  <c r="O142" i="6" s="1"/>
  <c r="M70" i="6"/>
  <c r="M74" i="6" s="1"/>
  <c r="O71" i="6"/>
  <c r="O140" i="6" s="1"/>
  <c r="J69" i="6"/>
  <c r="M134" i="6"/>
  <c r="L135" i="6"/>
  <c r="K71" i="6"/>
  <c r="K140" i="6" s="1"/>
  <c r="J70" i="6"/>
  <c r="J139" i="6" s="1"/>
  <c r="I72" i="6"/>
  <c r="I141" i="6" s="1"/>
  <c r="F71" i="6"/>
  <c r="F140" i="6" s="1"/>
  <c r="K72" i="7"/>
  <c r="K141" i="7" s="1"/>
  <c r="L70" i="11"/>
  <c r="L139" i="11" s="1"/>
  <c r="I71" i="9"/>
  <c r="I140" i="9" s="1"/>
  <c r="F70" i="11"/>
  <c r="F139" i="11" s="1"/>
  <c r="O70" i="9"/>
  <c r="O139" i="9" s="1"/>
  <c r="F71" i="7"/>
  <c r="F140" i="7" s="1"/>
  <c r="D71" i="12"/>
  <c r="D140" i="12" s="1"/>
  <c r="O72" i="9"/>
  <c r="O141" i="9" s="1"/>
  <c r="D72" i="12"/>
  <c r="D141" i="12" s="1"/>
  <c r="L69" i="12"/>
  <c r="L138" i="12" s="1"/>
  <c r="E68" i="13"/>
  <c r="E137" i="13" s="1"/>
  <c r="N68" i="11"/>
  <c r="N137" i="11" s="1"/>
  <c r="G69" i="6"/>
  <c r="G138" i="6" s="1"/>
  <c r="M72" i="9"/>
  <c r="M141" i="9" s="1"/>
  <c r="K70" i="11"/>
  <c r="K139" i="11" s="1"/>
  <c r="G72" i="7"/>
  <c r="G141" i="7" s="1"/>
  <c r="G73" i="12"/>
  <c r="G142" i="12" s="1"/>
  <c r="K73" i="7"/>
  <c r="K142" i="7" s="1"/>
  <c r="E68" i="10"/>
  <c r="E137" i="10" s="1"/>
  <c r="N69" i="11"/>
  <c r="N138" i="11" s="1"/>
  <c r="G70" i="6"/>
  <c r="G139" i="6" s="1"/>
  <c r="L72" i="12"/>
  <c r="L141" i="12" s="1"/>
  <c r="G71" i="6"/>
  <c r="G140" i="6" s="1"/>
  <c r="L71" i="7"/>
  <c r="L140" i="7" s="1"/>
  <c r="K72" i="10"/>
  <c r="K141" i="10" s="1"/>
  <c r="K69" i="11"/>
  <c r="K138" i="11" s="1"/>
  <c r="G72" i="12"/>
  <c r="K68" i="11"/>
  <c r="K137" i="11" s="1"/>
  <c r="C130" i="7"/>
  <c r="C132" i="6"/>
  <c r="J69" i="12"/>
  <c r="J138" i="12" s="1"/>
  <c r="O71" i="9"/>
  <c r="O140" i="9" s="1"/>
  <c r="H69" i="12"/>
  <c r="H138" i="12" s="1"/>
  <c r="G70" i="12"/>
  <c r="G139" i="12" s="1"/>
  <c r="O72" i="12"/>
  <c r="O141" i="12" s="1"/>
  <c r="J70" i="9"/>
  <c r="J139" i="9" s="1"/>
  <c r="I69" i="7"/>
  <c r="I138" i="7" s="1"/>
  <c r="L72" i="7"/>
  <c r="L141" i="7" s="1"/>
  <c r="L71" i="12"/>
  <c r="L140" i="12" s="1"/>
  <c r="C132" i="9"/>
  <c r="C129" i="10"/>
  <c r="C130" i="12"/>
  <c r="G71" i="12"/>
  <c r="G140" i="12" s="1"/>
  <c r="O74" i="10"/>
  <c r="O143" i="10" s="1"/>
  <c r="I70" i="9"/>
  <c r="I139" i="9" s="1"/>
  <c r="H68" i="10"/>
  <c r="H137" i="10" s="1"/>
  <c r="J71" i="12"/>
  <c r="J140" i="12" s="1"/>
  <c r="L69" i="11"/>
  <c r="L138" i="11" s="1"/>
  <c r="I69" i="9"/>
  <c r="I138" i="9" s="1"/>
  <c r="H70" i="10"/>
  <c r="H139" i="10" s="1"/>
  <c r="N71" i="7"/>
  <c r="N140" i="7" s="1"/>
  <c r="L71" i="10"/>
  <c r="L140" i="10" s="1"/>
  <c r="H69" i="10"/>
  <c r="H138" i="10" s="1"/>
  <c r="C131" i="6"/>
  <c r="E70" i="10"/>
  <c r="E139" i="10" s="1"/>
  <c r="F69" i="11"/>
  <c r="F138" i="11" s="1"/>
  <c r="E71" i="7"/>
  <c r="E140" i="7" s="1"/>
  <c r="F71" i="9"/>
  <c r="F140" i="9" s="1"/>
  <c r="L68" i="9"/>
  <c r="L137" i="9" s="1"/>
  <c r="O69" i="9"/>
  <c r="C131" i="10"/>
  <c r="L71" i="9"/>
  <c r="L140" i="9" s="1"/>
  <c r="J71" i="9"/>
  <c r="J140" i="9" s="1"/>
  <c r="E71" i="6"/>
  <c r="E140" i="6" s="1"/>
  <c r="C129" i="7"/>
  <c r="C130" i="13"/>
  <c r="O69" i="7"/>
  <c r="O138" i="7" s="1"/>
  <c r="C133" i="12"/>
  <c r="I69" i="11"/>
  <c r="I138" i="11" s="1"/>
  <c r="J70" i="10"/>
  <c r="J139" i="10" s="1"/>
  <c r="C131" i="12"/>
  <c r="C129" i="11"/>
  <c r="C132" i="7"/>
  <c r="E68" i="9"/>
  <c r="E137" i="9" s="1"/>
  <c r="C132" i="11"/>
  <c r="I71" i="12"/>
  <c r="I140" i="12" s="1"/>
  <c r="J69" i="11"/>
  <c r="J138" i="11" s="1"/>
  <c r="L70" i="9"/>
  <c r="L139" i="9" s="1"/>
  <c r="I70" i="12"/>
  <c r="I139" i="12" s="1"/>
  <c r="J68" i="10"/>
  <c r="J72" i="10" s="1"/>
  <c r="J141" i="10" s="1"/>
  <c r="O70" i="11"/>
  <c r="O139" i="11" s="1"/>
  <c r="E72" i="7"/>
  <c r="E141" i="7" s="1"/>
  <c r="L70" i="12"/>
  <c r="L139" i="12" s="1"/>
  <c r="N73" i="12"/>
  <c r="N142" i="12" s="1"/>
  <c r="D70" i="6"/>
  <c r="D139" i="6" s="1"/>
  <c r="L69" i="9"/>
  <c r="L138" i="9" s="1"/>
  <c r="H71" i="11"/>
  <c r="H140" i="11" s="1"/>
  <c r="M73" i="9"/>
  <c r="M142" i="9" s="1"/>
  <c r="M70" i="12"/>
  <c r="M139" i="12" s="1"/>
  <c r="E69" i="10"/>
  <c r="E138" i="10" s="1"/>
  <c r="N71" i="12"/>
  <c r="N140" i="12" s="1"/>
  <c r="E70" i="7"/>
  <c r="E139" i="7" s="1"/>
  <c r="F69" i="6"/>
  <c r="F138" i="6" s="1"/>
  <c r="F70" i="13"/>
  <c r="F139" i="13" s="1"/>
  <c r="C67" i="9"/>
  <c r="AC67" i="9" s="1"/>
  <c r="E69" i="9"/>
  <c r="E138" i="9" s="1"/>
  <c r="F70" i="6"/>
  <c r="F139" i="6" s="1"/>
  <c r="J71" i="7"/>
  <c r="J140" i="7" s="1"/>
  <c r="F70" i="10"/>
  <c r="F139" i="10" s="1"/>
  <c r="D72" i="11"/>
  <c r="D141" i="11" s="1"/>
  <c r="M70" i="10"/>
  <c r="M139" i="10" s="1"/>
  <c r="L72" i="11"/>
  <c r="L141" i="11" s="1"/>
  <c r="L70" i="10"/>
  <c r="L139" i="10" s="1"/>
  <c r="N72" i="10"/>
  <c r="N141" i="10" s="1"/>
  <c r="E72" i="12"/>
  <c r="E141" i="12" s="1"/>
  <c r="I70" i="11"/>
  <c r="I139" i="11" s="1"/>
  <c r="H69" i="11"/>
  <c r="H138" i="11" s="1"/>
  <c r="N70" i="12"/>
  <c r="F71" i="13"/>
  <c r="F140" i="13" s="1"/>
  <c r="C129" i="12"/>
  <c r="O71" i="12"/>
  <c r="O140" i="12" s="1"/>
  <c r="C129" i="6"/>
  <c r="F69" i="13"/>
  <c r="F138" i="13" s="1"/>
  <c r="L72" i="10"/>
  <c r="L141" i="10" s="1"/>
  <c r="I72" i="12"/>
  <c r="I141" i="12" s="1"/>
  <c r="C130" i="11"/>
  <c r="H71" i="7"/>
  <c r="H140" i="7" s="1"/>
  <c r="F71" i="10"/>
  <c r="F140" i="10" s="1"/>
  <c r="K136" i="10"/>
  <c r="K71" i="10"/>
  <c r="K140" i="10" s="1"/>
  <c r="G72" i="13"/>
  <c r="G141" i="13" s="1"/>
  <c r="M72" i="10"/>
  <c r="M141" i="10" s="1"/>
  <c r="J72" i="11"/>
  <c r="J141" i="11" s="1"/>
  <c r="C130" i="10"/>
  <c r="K75" i="7"/>
  <c r="K144" i="7" s="1"/>
  <c r="D69" i="6"/>
  <c r="C129" i="9"/>
  <c r="N71" i="10"/>
  <c r="N140" i="10" s="1"/>
  <c r="C131" i="11"/>
  <c r="L69" i="10"/>
  <c r="L73" i="10" s="1"/>
  <c r="H133" i="6"/>
  <c r="H71" i="6"/>
  <c r="H140" i="6" s="1"/>
  <c r="H69" i="6"/>
  <c r="H138" i="6" s="1"/>
  <c r="H70" i="6"/>
  <c r="H139" i="6" s="1"/>
  <c r="H68" i="6"/>
  <c r="H137" i="6" s="1"/>
  <c r="L139" i="7"/>
  <c r="I135" i="10"/>
  <c r="K136" i="11"/>
  <c r="H72" i="9"/>
  <c r="H141" i="9" s="1"/>
  <c r="G133" i="11"/>
  <c r="G69" i="11"/>
  <c r="G138" i="11" s="1"/>
  <c r="G71" i="11"/>
  <c r="G140" i="11" s="1"/>
  <c r="G70" i="11"/>
  <c r="G139" i="11" s="1"/>
  <c r="G68" i="11"/>
  <c r="G137" i="11" s="1"/>
  <c r="D137" i="6"/>
  <c r="G134" i="10"/>
  <c r="G70" i="10"/>
  <c r="G139" i="10" s="1"/>
  <c r="G71" i="10"/>
  <c r="G140" i="10" s="1"/>
  <c r="G69" i="10"/>
  <c r="G138" i="10" s="1"/>
  <c r="G72" i="10"/>
  <c r="G141" i="10" s="1"/>
  <c r="O135" i="7"/>
  <c r="O136" i="11"/>
  <c r="O71" i="11"/>
  <c r="O140" i="11" s="1"/>
  <c r="F137" i="10"/>
  <c r="F137" i="6"/>
  <c r="G136" i="7"/>
  <c r="C67" i="7"/>
  <c r="AC67" i="7" s="1"/>
  <c r="M134" i="11"/>
  <c r="M70" i="11"/>
  <c r="M139" i="11" s="1"/>
  <c r="M71" i="11"/>
  <c r="M140" i="11" s="1"/>
  <c r="M69" i="11"/>
  <c r="O136" i="10"/>
  <c r="O71" i="10"/>
  <c r="O75" i="10" s="1"/>
  <c r="O73" i="10"/>
  <c r="O142" i="10" s="1"/>
  <c r="O72" i="10"/>
  <c r="O141" i="10" s="1"/>
  <c r="I135" i="11"/>
  <c r="I71" i="11"/>
  <c r="I72" i="11"/>
  <c r="I141" i="11" s="1"/>
  <c r="F134" i="12"/>
  <c r="F71" i="12"/>
  <c r="F140" i="12" s="1"/>
  <c r="F72" i="12"/>
  <c r="F141" i="12" s="1"/>
  <c r="F69" i="12"/>
  <c r="F70" i="12"/>
  <c r="F139" i="12" s="1"/>
  <c r="K74" i="7"/>
  <c r="H134" i="7"/>
  <c r="H72" i="7"/>
  <c r="H141" i="7" s="1"/>
  <c r="H70" i="7"/>
  <c r="H139" i="7" s="1"/>
  <c r="H69" i="7"/>
  <c r="N133" i="9"/>
  <c r="N70" i="9"/>
  <c r="N139" i="9" s="1"/>
  <c r="N71" i="9"/>
  <c r="N140" i="9" s="1"/>
  <c r="N69" i="9"/>
  <c r="N138" i="9" s="1"/>
  <c r="N68" i="9"/>
  <c r="N137" i="9" s="1"/>
  <c r="H72" i="12"/>
  <c r="H141" i="12" s="1"/>
  <c r="G141" i="12"/>
  <c r="I133" i="10"/>
  <c r="C64" i="10"/>
  <c r="AC64" i="10" s="1"/>
  <c r="I70" i="10"/>
  <c r="I139" i="10" s="1"/>
  <c r="I68" i="10"/>
  <c r="I72" i="10" s="1"/>
  <c r="I141" i="10" s="1"/>
  <c r="I71" i="10"/>
  <c r="I140" i="10" s="1"/>
  <c r="M134" i="7"/>
  <c r="M70" i="7"/>
  <c r="M139" i="7" s="1"/>
  <c r="M72" i="7"/>
  <c r="M141" i="7" s="1"/>
  <c r="M69" i="7"/>
  <c r="M73" i="7" s="1"/>
  <c r="M142" i="7" s="1"/>
  <c r="M71" i="7"/>
  <c r="M140" i="7" s="1"/>
  <c r="D134" i="7"/>
  <c r="C65" i="7"/>
  <c r="AC65" i="7" s="1"/>
  <c r="D72" i="7"/>
  <c r="D69" i="7"/>
  <c r="D71" i="7"/>
  <c r="O72" i="11"/>
  <c r="O141" i="11" s="1"/>
  <c r="M136" i="12"/>
  <c r="M73" i="12"/>
  <c r="M142" i="12" s="1"/>
  <c r="D139" i="7"/>
  <c r="F137" i="7"/>
  <c r="F75" i="7"/>
  <c r="F72" i="7"/>
  <c r="F141" i="7" s="1"/>
  <c r="F74" i="7"/>
  <c r="L138" i="7"/>
  <c r="L74" i="7"/>
  <c r="L73" i="7"/>
  <c r="L142" i="7" s="1"/>
  <c r="L136" i="9"/>
  <c r="K135" i="9"/>
  <c r="K70" i="9"/>
  <c r="K139" i="9" s="1"/>
  <c r="D137" i="11"/>
  <c r="D71" i="10"/>
  <c r="H134" i="9"/>
  <c r="H70" i="9"/>
  <c r="H139" i="9" s="1"/>
  <c r="H71" i="9"/>
  <c r="H140" i="9" s="1"/>
  <c r="J135" i="12"/>
  <c r="J70" i="12"/>
  <c r="E136" i="10"/>
  <c r="E71" i="10"/>
  <c r="G71" i="7"/>
  <c r="G140" i="7" s="1"/>
  <c r="E71" i="9"/>
  <c r="E140" i="9" s="1"/>
  <c r="D72" i="6"/>
  <c r="N71" i="11"/>
  <c r="N140" i="11" s="1"/>
  <c r="D133" i="9"/>
  <c r="C64" i="9"/>
  <c r="AC64" i="9" s="1"/>
  <c r="D70" i="9"/>
  <c r="D68" i="9"/>
  <c r="D71" i="9"/>
  <c r="D69" i="9"/>
  <c r="H69" i="9"/>
  <c r="H138" i="9" s="1"/>
  <c r="D72" i="10"/>
  <c r="D69" i="10"/>
  <c r="D134" i="10"/>
  <c r="C65" i="10"/>
  <c r="AC65" i="10" s="1"/>
  <c r="C65" i="12"/>
  <c r="E70" i="12"/>
  <c r="E139" i="12" s="1"/>
  <c r="E71" i="12"/>
  <c r="E134" i="12"/>
  <c r="E135" i="12"/>
  <c r="C66" i="12"/>
  <c r="AC66" i="12" s="1"/>
  <c r="E138" i="7"/>
  <c r="I135" i="7"/>
  <c r="I71" i="7"/>
  <c r="I140" i="7" s="1"/>
  <c r="I70" i="7"/>
  <c r="I139" i="7" s="1"/>
  <c r="I72" i="7"/>
  <c r="I141" i="7" s="1"/>
  <c r="E73" i="7"/>
  <c r="E142" i="7" s="1"/>
  <c r="J72" i="12"/>
  <c r="J141" i="12" s="1"/>
  <c r="N72" i="11"/>
  <c r="N141" i="11" s="1"/>
  <c r="N135" i="11"/>
  <c r="N70" i="11"/>
  <c r="N139" i="11" s="1"/>
  <c r="E69" i="12"/>
  <c r="D136" i="10"/>
  <c r="C67" i="10"/>
  <c r="AC67" i="10" s="1"/>
  <c r="G137" i="6"/>
  <c r="G72" i="6"/>
  <c r="E135" i="6"/>
  <c r="C66" i="6"/>
  <c r="AC66" i="6" s="1"/>
  <c r="E70" i="6"/>
  <c r="E139" i="6" s="1"/>
  <c r="E72" i="6"/>
  <c r="E141" i="6" s="1"/>
  <c r="D142" i="12"/>
  <c r="C130" i="9"/>
  <c r="M72" i="11"/>
  <c r="M141" i="11" s="1"/>
  <c r="H136" i="12"/>
  <c r="G137" i="13"/>
  <c r="G73" i="13"/>
  <c r="G142" i="13" s="1"/>
  <c r="E137" i="11"/>
  <c r="E69" i="13"/>
  <c r="E134" i="13"/>
  <c r="E70" i="13"/>
  <c r="E139" i="13" s="1"/>
  <c r="E71" i="13"/>
  <c r="E140" i="13" s="1"/>
  <c r="D137" i="10"/>
  <c r="E70" i="9"/>
  <c r="E139" i="9" s="1"/>
  <c r="E135" i="9"/>
  <c r="G73" i="7"/>
  <c r="G142" i="7" s="1"/>
  <c r="M137" i="9"/>
  <c r="M74" i="9"/>
  <c r="O71" i="7"/>
  <c r="O140" i="7" s="1"/>
  <c r="H68" i="11"/>
  <c r="H72" i="11" s="1"/>
  <c r="H141" i="11" s="1"/>
  <c r="F69" i="10"/>
  <c r="F138" i="10" s="1"/>
  <c r="F134" i="10"/>
  <c r="D135" i="9"/>
  <c r="C66" i="9"/>
  <c r="AC66" i="9" s="1"/>
  <c r="K134" i="12"/>
  <c r="O69" i="11"/>
  <c r="O138" i="11" s="1"/>
  <c r="C66" i="13"/>
  <c r="AC66" i="13" s="1"/>
  <c r="D135" i="13"/>
  <c r="C65" i="6"/>
  <c r="AC65" i="6" s="1"/>
  <c r="D134" i="6"/>
  <c r="E134" i="6"/>
  <c r="K71" i="9"/>
  <c r="K140" i="9" s="1"/>
  <c r="M134" i="12"/>
  <c r="M72" i="12"/>
  <c r="M141" i="12" s="1"/>
  <c r="M71" i="12"/>
  <c r="M140" i="12" s="1"/>
  <c r="J70" i="11"/>
  <c r="J139" i="11" s="1"/>
  <c r="C64" i="11"/>
  <c r="AC64" i="11" s="1"/>
  <c r="D133" i="11"/>
  <c r="N134" i="7"/>
  <c r="N69" i="7"/>
  <c r="N70" i="7"/>
  <c r="N139" i="7" s="1"/>
  <c r="D71" i="6"/>
  <c r="G138" i="12"/>
  <c r="E135" i="10"/>
  <c r="C66" i="10"/>
  <c r="AC66" i="10" s="1"/>
  <c r="C65" i="9"/>
  <c r="AC65" i="9" s="1"/>
  <c r="D134" i="9"/>
  <c r="D133" i="13"/>
  <c r="C133" i="13" s="1"/>
  <c r="C64" i="13"/>
  <c r="H135" i="7"/>
  <c r="C66" i="7"/>
  <c r="AC66" i="7" s="1"/>
  <c r="C66" i="11"/>
  <c r="AC66" i="11" s="1"/>
  <c r="D135" i="11"/>
  <c r="G134" i="9"/>
  <c r="G71" i="9"/>
  <c r="G140" i="9" s="1"/>
  <c r="K72" i="12"/>
  <c r="K141" i="12" s="1"/>
  <c r="D70" i="13"/>
  <c r="L134" i="11"/>
  <c r="L71" i="11"/>
  <c r="O134" i="12"/>
  <c r="O69" i="12"/>
  <c r="O73" i="12" s="1"/>
  <c r="O142" i="12" s="1"/>
  <c r="O70" i="12"/>
  <c r="O139" i="12" s="1"/>
  <c r="O133" i="7"/>
  <c r="C133" i="7" s="1"/>
  <c r="C64" i="7"/>
  <c r="F72" i="13"/>
  <c r="F141" i="13" s="1"/>
  <c r="E136" i="6"/>
  <c r="C67" i="6"/>
  <c r="AC67" i="6" s="1"/>
  <c r="D69" i="13"/>
  <c r="E137" i="12"/>
  <c r="C68" i="12"/>
  <c r="AC68" i="12" s="1"/>
  <c r="D133" i="6"/>
  <c r="C64" i="6"/>
  <c r="AC64" i="6" s="1"/>
  <c r="M71" i="10"/>
  <c r="M140" i="10" s="1"/>
  <c r="I136" i="9"/>
  <c r="I72" i="9"/>
  <c r="G72" i="9"/>
  <c r="G141" i="9" s="1"/>
  <c r="N72" i="7"/>
  <c r="N141" i="7" s="1"/>
  <c r="D71" i="13"/>
  <c r="J70" i="7"/>
  <c r="J139" i="7" s="1"/>
  <c r="M134" i="10"/>
  <c r="F133" i="9"/>
  <c r="F70" i="9"/>
  <c r="F139" i="9" s="1"/>
  <c r="F68" i="9"/>
  <c r="F69" i="9"/>
  <c r="F138" i="9" s="1"/>
  <c r="N135" i="10"/>
  <c r="J135" i="11"/>
  <c r="K135" i="11"/>
  <c r="K71" i="11"/>
  <c r="K140" i="11" s="1"/>
  <c r="K69" i="9"/>
  <c r="K138" i="9" s="1"/>
  <c r="F134" i="13"/>
  <c r="K76" i="7"/>
  <c r="K145" i="7" s="1"/>
  <c r="D70" i="11"/>
  <c r="D72" i="13"/>
  <c r="H133" i="11"/>
  <c r="M69" i="10"/>
  <c r="D134" i="11"/>
  <c r="C65" i="11"/>
  <c r="AC65" i="11" s="1"/>
  <c r="G69" i="9"/>
  <c r="G138" i="9" s="1"/>
  <c r="K71" i="12"/>
  <c r="K140" i="12" s="1"/>
  <c r="E136" i="12"/>
  <c r="C67" i="12"/>
  <c r="AC67" i="12" s="1"/>
  <c r="E136" i="11"/>
  <c r="E72" i="11"/>
  <c r="E141" i="11" s="1"/>
  <c r="E71" i="11"/>
  <c r="E73" i="11"/>
  <c r="E142" i="11" s="1"/>
  <c r="E74" i="11"/>
  <c r="L137" i="12"/>
  <c r="J133" i="9"/>
  <c r="J72" i="9"/>
  <c r="J141" i="9" s="1"/>
  <c r="O70" i="7"/>
  <c r="O139" i="7" s="1"/>
  <c r="D71" i="11"/>
  <c r="G70" i="9"/>
  <c r="G139" i="9" s="1"/>
  <c r="C65" i="13"/>
  <c r="AC65" i="13" s="1"/>
  <c r="D134" i="13"/>
  <c r="D136" i="11"/>
  <c r="C67" i="11"/>
  <c r="AC67" i="11" s="1"/>
  <c r="J69" i="7"/>
  <c r="K69" i="12"/>
  <c r="H135" i="10"/>
  <c r="H72" i="10"/>
  <c r="H141" i="10" s="1"/>
  <c r="H71" i="10"/>
  <c r="H140" i="10" s="1"/>
  <c r="J133" i="10"/>
  <c r="J71" i="10"/>
  <c r="J140" i="10" s="1"/>
  <c r="H70" i="11"/>
  <c r="H139" i="11" s="1"/>
  <c r="F136" i="11"/>
  <c r="D137" i="13"/>
  <c r="D69" i="11"/>
  <c r="D136" i="13"/>
  <c r="C136" i="13" s="1"/>
  <c r="C67" i="13"/>
  <c r="AC67" i="13" s="1"/>
  <c r="D75" i="12"/>
  <c r="J72" i="7"/>
  <c r="J141" i="7" s="1"/>
  <c r="K70" i="12"/>
  <c r="K139" i="12" s="1"/>
  <c r="G135" i="13"/>
  <c r="F136" i="6"/>
  <c r="F72" i="6"/>
  <c r="E69" i="6"/>
  <c r="J71" i="11"/>
  <c r="J140" i="11" s="1"/>
  <c r="J69" i="9"/>
  <c r="J138" i="9" s="1"/>
  <c r="D137" i="7"/>
  <c r="J69" i="10"/>
  <c r="J138" i="10" s="1"/>
  <c r="O134" i="11"/>
  <c r="I138" i="12"/>
  <c r="I73" i="12"/>
  <c r="O68" i="7"/>
  <c r="O137" i="7" s="1"/>
  <c r="F72" i="10"/>
  <c r="F141" i="10" s="1"/>
  <c r="G71" i="13"/>
  <c r="E137" i="7"/>
  <c r="AC60" i="11"/>
  <c r="AC60" i="9"/>
  <c r="D139" i="12" l="1"/>
  <c r="K73" i="11"/>
  <c r="K142" i="11" s="1"/>
  <c r="O78" i="6"/>
  <c r="O147" i="6" s="1"/>
  <c r="F72" i="11"/>
  <c r="F141" i="11" s="1"/>
  <c r="N73" i="10"/>
  <c r="N142" i="10" s="1"/>
  <c r="L76" i="6"/>
  <c r="L145" i="6" s="1"/>
  <c r="K138" i="10"/>
  <c r="N74" i="10"/>
  <c r="K74" i="10"/>
  <c r="K78" i="10" s="1"/>
  <c r="N72" i="12"/>
  <c r="M75" i="9"/>
  <c r="M79" i="9" s="1"/>
  <c r="M148" i="9" s="1"/>
  <c r="E73" i="10"/>
  <c r="E142" i="10" s="1"/>
  <c r="G74" i="7"/>
  <c r="G78" i="7" s="1"/>
  <c r="D74" i="10"/>
  <c r="G74" i="13"/>
  <c r="G78" i="13" s="1"/>
  <c r="G75" i="13"/>
  <c r="E72" i="13"/>
  <c r="E141" i="13" s="1"/>
  <c r="C68" i="13"/>
  <c r="AC68" i="13" s="1"/>
  <c r="L73" i="12"/>
  <c r="L77" i="12" s="1"/>
  <c r="L146" i="12" s="1"/>
  <c r="D77" i="12"/>
  <c r="D146" i="12" s="1"/>
  <c r="H75" i="12"/>
  <c r="D78" i="12"/>
  <c r="L16" i="16" s="1"/>
  <c r="N76" i="10"/>
  <c r="N145" i="10" s="1"/>
  <c r="E72" i="10"/>
  <c r="E141" i="10" s="1"/>
  <c r="M76" i="9"/>
  <c r="M145" i="9" s="1"/>
  <c r="K72" i="9"/>
  <c r="K141" i="9" s="1"/>
  <c r="O74" i="9"/>
  <c r="O143" i="9" s="1"/>
  <c r="O75" i="6"/>
  <c r="O79" i="6" s="1"/>
  <c r="O148" i="6" s="1"/>
  <c r="O76" i="6"/>
  <c r="O145" i="6" s="1"/>
  <c r="N77" i="6"/>
  <c r="N146" i="6" s="1"/>
  <c r="L77" i="6"/>
  <c r="L146" i="6" s="1"/>
  <c r="N74" i="6"/>
  <c r="N143" i="6" s="1"/>
  <c r="J74" i="6"/>
  <c r="N76" i="6"/>
  <c r="N145" i="6" s="1"/>
  <c r="N75" i="6"/>
  <c r="N86" i="6" s="1"/>
  <c r="M143" i="6"/>
  <c r="I139" i="6"/>
  <c r="I75" i="6"/>
  <c r="K143" i="6"/>
  <c r="K78" i="6"/>
  <c r="M139" i="6"/>
  <c r="M75" i="6"/>
  <c r="M79" i="6" s="1"/>
  <c r="M148" i="6" s="1"/>
  <c r="L83" i="6"/>
  <c r="J143" i="6"/>
  <c r="L140" i="6"/>
  <c r="L78" i="6"/>
  <c r="O77" i="6"/>
  <c r="O146" i="6" s="1"/>
  <c r="K75" i="6"/>
  <c r="K76" i="6"/>
  <c r="K145" i="6" s="1"/>
  <c r="I74" i="6"/>
  <c r="I81" i="6" s="1"/>
  <c r="J138" i="6"/>
  <c r="J76" i="6"/>
  <c r="J145" i="6" s="1"/>
  <c r="J75" i="6"/>
  <c r="J73" i="6"/>
  <c r="J142" i="6" s="1"/>
  <c r="M78" i="6"/>
  <c r="O143" i="6"/>
  <c r="K77" i="6"/>
  <c r="K146" i="6" s="1"/>
  <c r="N139" i="6"/>
  <c r="C135" i="6"/>
  <c r="L75" i="6"/>
  <c r="I76" i="6"/>
  <c r="I145" i="6" s="1"/>
  <c r="M76" i="6"/>
  <c r="M145" i="6" s="1"/>
  <c r="I77" i="6"/>
  <c r="I146" i="6" s="1"/>
  <c r="M77" i="6"/>
  <c r="M146" i="6" s="1"/>
  <c r="G74" i="6"/>
  <c r="G143" i="6" s="1"/>
  <c r="G73" i="6"/>
  <c r="G142" i="6" s="1"/>
  <c r="G75" i="6"/>
  <c r="G144" i="6" s="1"/>
  <c r="H74" i="12"/>
  <c r="H143" i="12" s="1"/>
  <c r="G75" i="12"/>
  <c r="G74" i="12"/>
  <c r="G78" i="12" s="1"/>
  <c r="J74" i="12"/>
  <c r="J143" i="12" s="1"/>
  <c r="F73" i="13"/>
  <c r="F142" i="13" s="1"/>
  <c r="D76" i="12"/>
  <c r="D145" i="12" s="1"/>
  <c r="K79" i="7"/>
  <c r="K148" i="7" s="1"/>
  <c r="M74" i="10"/>
  <c r="K78" i="7"/>
  <c r="J73" i="12"/>
  <c r="J142" i="12" s="1"/>
  <c r="M77" i="9"/>
  <c r="M146" i="9" s="1"/>
  <c r="K77" i="7"/>
  <c r="K146" i="7" s="1"/>
  <c r="O76" i="9"/>
  <c r="O145" i="9" s="1"/>
  <c r="N76" i="12"/>
  <c r="N145" i="12" s="1"/>
  <c r="M74" i="12"/>
  <c r="M78" i="12" s="1"/>
  <c r="H73" i="12"/>
  <c r="H142" i="12" s="1"/>
  <c r="I77" i="12"/>
  <c r="I146" i="12" s="1"/>
  <c r="E72" i="9"/>
  <c r="E141" i="9" s="1"/>
  <c r="F75" i="11"/>
  <c r="F86" i="11" s="1"/>
  <c r="J137" i="10"/>
  <c r="L76" i="7"/>
  <c r="L145" i="7" s="1"/>
  <c r="K72" i="11"/>
  <c r="K141" i="11" s="1"/>
  <c r="F74" i="11"/>
  <c r="N73" i="11"/>
  <c r="N142" i="11" s="1"/>
  <c r="L75" i="7"/>
  <c r="N75" i="10"/>
  <c r="N79" i="10" s="1"/>
  <c r="N148" i="10" s="1"/>
  <c r="D74" i="6"/>
  <c r="D143" i="6" s="1"/>
  <c r="K74" i="11"/>
  <c r="K143" i="11" s="1"/>
  <c r="K86" i="7"/>
  <c r="K99" i="7" s="1"/>
  <c r="L76" i="12"/>
  <c r="L145" i="12" s="1"/>
  <c r="L75" i="12"/>
  <c r="I73" i="7"/>
  <c r="I142" i="7" s="1"/>
  <c r="L74" i="12"/>
  <c r="L143" i="12" s="1"/>
  <c r="H73" i="10"/>
  <c r="H142" i="10" s="1"/>
  <c r="O75" i="9"/>
  <c r="O86" i="9" s="1"/>
  <c r="O93" i="9" s="1"/>
  <c r="C68" i="10"/>
  <c r="AC68" i="10" s="1"/>
  <c r="I73" i="11"/>
  <c r="I142" i="11" s="1"/>
  <c r="E74" i="10"/>
  <c r="E143" i="10" s="1"/>
  <c r="D138" i="6"/>
  <c r="I75" i="9"/>
  <c r="I86" i="9" s="1"/>
  <c r="K77" i="10"/>
  <c r="K146" i="10" s="1"/>
  <c r="E76" i="11"/>
  <c r="E145" i="11" s="1"/>
  <c r="I73" i="9"/>
  <c r="I142" i="9" s="1"/>
  <c r="K75" i="10"/>
  <c r="K79" i="10" s="1"/>
  <c r="K148" i="10" s="1"/>
  <c r="K76" i="10"/>
  <c r="K145" i="10" s="1"/>
  <c r="G77" i="12"/>
  <c r="G146" i="12" s="1"/>
  <c r="I75" i="12"/>
  <c r="I144" i="12" s="1"/>
  <c r="L73" i="11"/>
  <c r="L142" i="11" s="1"/>
  <c r="E74" i="6"/>
  <c r="E143" i="6" s="1"/>
  <c r="D73" i="6"/>
  <c r="D142" i="6" s="1"/>
  <c r="L74" i="11"/>
  <c r="L143" i="11" s="1"/>
  <c r="L75" i="11"/>
  <c r="N78" i="10"/>
  <c r="N147" i="10" s="1"/>
  <c r="E74" i="7"/>
  <c r="E143" i="7" s="1"/>
  <c r="H74" i="10"/>
  <c r="H143" i="10" s="1"/>
  <c r="C70" i="10"/>
  <c r="AC70" i="10" s="1"/>
  <c r="F74" i="6"/>
  <c r="F143" i="6" s="1"/>
  <c r="F73" i="6"/>
  <c r="F142" i="6" s="1"/>
  <c r="E76" i="7"/>
  <c r="E145" i="7" s="1"/>
  <c r="G76" i="12"/>
  <c r="G145" i="12" s="1"/>
  <c r="F75" i="13"/>
  <c r="F144" i="13" s="1"/>
  <c r="F76" i="6"/>
  <c r="F145" i="6" s="1"/>
  <c r="F74" i="13"/>
  <c r="N75" i="12"/>
  <c r="N144" i="12" s="1"/>
  <c r="F75" i="6"/>
  <c r="F144" i="6" s="1"/>
  <c r="I74" i="12"/>
  <c r="I143" i="12" s="1"/>
  <c r="L75" i="10"/>
  <c r="L144" i="10" s="1"/>
  <c r="C133" i="6"/>
  <c r="L74" i="9"/>
  <c r="L143" i="9" s="1"/>
  <c r="L73" i="9"/>
  <c r="L142" i="9" s="1"/>
  <c r="L72" i="9"/>
  <c r="L141" i="9" s="1"/>
  <c r="F73" i="11"/>
  <c r="D83" i="12"/>
  <c r="L75" i="9"/>
  <c r="L144" i="9" s="1"/>
  <c r="D74" i="11"/>
  <c r="D143" i="11" s="1"/>
  <c r="D75" i="6"/>
  <c r="D86" i="6" s="1"/>
  <c r="I74" i="9"/>
  <c r="I143" i="9" s="1"/>
  <c r="J73" i="11"/>
  <c r="J142" i="11" s="1"/>
  <c r="O138" i="9"/>
  <c r="O73" i="9"/>
  <c r="C136" i="10"/>
  <c r="J73" i="9"/>
  <c r="J142" i="9" s="1"/>
  <c r="O74" i="12"/>
  <c r="O78" i="12" s="1"/>
  <c r="D76" i="13"/>
  <c r="D145" i="13" s="1"/>
  <c r="C134" i="13"/>
  <c r="F76" i="11"/>
  <c r="E75" i="7"/>
  <c r="E86" i="7" s="1"/>
  <c r="L77" i="7"/>
  <c r="L146" i="7" s="1"/>
  <c r="J74" i="9"/>
  <c r="J143" i="9" s="1"/>
  <c r="C137" i="13"/>
  <c r="G75" i="7"/>
  <c r="G79" i="7" s="1"/>
  <c r="G148" i="7" s="1"/>
  <c r="G76" i="10"/>
  <c r="G145" i="10" s="1"/>
  <c r="I76" i="12"/>
  <c r="G74" i="10"/>
  <c r="G143" i="10" s="1"/>
  <c r="G73" i="9"/>
  <c r="G142" i="9" s="1"/>
  <c r="G79" i="6"/>
  <c r="G148" i="6" s="1"/>
  <c r="F77" i="7"/>
  <c r="F146" i="7" s="1"/>
  <c r="F76" i="7"/>
  <c r="F145" i="7" s="1"/>
  <c r="N72" i="9"/>
  <c r="N141" i="9" s="1"/>
  <c r="F78" i="7"/>
  <c r="F147" i="7" s="1"/>
  <c r="K75" i="12"/>
  <c r="K144" i="12" s="1"/>
  <c r="J75" i="11"/>
  <c r="J144" i="11" s="1"/>
  <c r="E73" i="9"/>
  <c r="E142" i="9" s="1"/>
  <c r="O77" i="12"/>
  <c r="O146" i="12" s="1"/>
  <c r="O76" i="12"/>
  <c r="O145" i="12" s="1"/>
  <c r="C134" i="6"/>
  <c r="E75" i="12"/>
  <c r="E86" i="12" s="1"/>
  <c r="J76" i="7"/>
  <c r="J145" i="7" s="1"/>
  <c r="E75" i="13"/>
  <c r="E86" i="13" s="1"/>
  <c r="D75" i="11"/>
  <c r="D86" i="11" s="1"/>
  <c r="M75" i="12"/>
  <c r="M86" i="12" s="1"/>
  <c r="N74" i="7"/>
  <c r="N143" i="7" s="1"/>
  <c r="D75" i="10"/>
  <c r="D86" i="10" s="1"/>
  <c r="C136" i="12"/>
  <c r="D74" i="13"/>
  <c r="C134" i="10"/>
  <c r="I76" i="11"/>
  <c r="I145" i="11" s="1"/>
  <c r="E77" i="11"/>
  <c r="E146" i="11" s="1"/>
  <c r="C133" i="11"/>
  <c r="C69" i="6"/>
  <c r="AC69" i="6" s="1"/>
  <c r="C68" i="6"/>
  <c r="AC68" i="6" s="1"/>
  <c r="D76" i="11"/>
  <c r="D145" i="11" s="1"/>
  <c r="M77" i="12"/>
  <c r="M146" i="12" s="1"/>
  <c r="H75" i="7"/>
  <c r="H144" i="7" s="1"/>
  <c r="C137" i="6"/>
  <c r="D73" i="10"/>
  <c r="D77" i="10" s="1"/>
  <c r="I74" i="11"/>
  <c r="I78" i="11" s="1"/>
  <c r="J74" i="11"/>
  <c r="J143" i="11" s="1"/>
  <c r="G76" i="13"/>
  <c r="G145" i="13" s="1"/>
  <c r="H75" i="9"/>
  <c r="H144" i="9" s="1"/>
  <c r="I74" i="10"/>
  <c r="I143" i="10" s="1"/>
  <c r="C134" i="11"/>
  <c r="N75" i="11"/>
  <c r="N144" i="11" s="1"/>
  <c r="M75" i="11"/>
  <c r="M144" i="11" s="1"/>
  <c r="N139" i="12"/>
  <c r="N74" i="12"/>
  <c r="N143" i="12" s="1"/>
  <c r="E75" i="10"/>
  <c r="E86" i="10" s="1"/>
  <c r="L138" i="10"/>
  <c r="L74" i="10"/>
  <c r="L78" i="10" s="1"/>
  <c r="L76" i="10"/>
  <c r="L145" i="10" s="1"/>
  <c r="H76" i="10"/>
  <c r="H145" i="10" s="1"/>
  <c r="J75" i="10"/>
  <c r="J144" i="10" s="1"/>
  <c r="E77" i="7"/>
  <c r="E146" i="7" s="1"/>
  <c r="C135" i="7"/>
  <c r="J76" i="9"/>
  <c r="J145" i="9" s="1"/>
  <c r="N75" i="7"/>
  <c r="N144" i="7" s="1"/>
  <c r="G73" i="10"/>
  <c r="G142" i="10" s="1"/>
  <c r="D73" i="13"/>
  <c r="D77" i="13" s="1"/>
  <c r="D146" i="13" s="1"/>
  <c r="C70" i="6"/>
  <c r="AC70" i="6" s="1"/>
  <c r="D76" i="6"/>
  <c r="C137" i="7"/>
  <c r="D144" i="12"/>
  <c r="D86" i="12"/>
  <c r="J138" i="7"/>
  <c r="J75" i="7"/>
  <c r="J74" i="7"/>
  <c r="J73" i="7"/>
  <c r="E143" i="11"/>
  <c r="F73" i="9"/>
  <c r="F142" i="9" s="1"/>
  <c r="G75" i="9"/>
  <c r="C137" i="12"/>
  <c r="J76" i="10"/>
  <c r="J145" i="10" s="1"/>
  <c r="O75" i="7"/>
  <c r="C135" i="9"/>
  <c r="M144" i="9"/>
  <c r="M86" i="9"/>
  <c r="H144" i="12"/>
  <c r="H86" i="12"/>
  <c r="E76" i="12"/>
  <c r="D140" i="9"/>
  <c r="C140" i="9" s="1"/>
  <c r="C71" i="9"/>
  <c r="AC71" i="9" s="1"/>
  <c r="D141" i="6"/>
  <c r="L143" i="7"/>
  <c r="C139" i="7"/>
  <c r="M138" i="7"/>
  <c r="M76" i="7"/>
  <c r="M145" i="7" s="1"/>
  <c r="M75" i="7"/>
  <c r="F75" i="12"/>
  <c r="F75" i="10"/>
  <c r="M74" i="11"/>
  <c r="H75" i="6"/>
  <c r="L142" i="10"/>
  <c r="C68" i="7"/>
  <c r="AC68" i="7" s="1"/>
  <c r="J75" i="9"/>
  <c r="K143" i="10"/>
  <c r="O143" i="12"/>
  <c r="D138" i="13"/>
  <c r="C69" i="13"/>
  <c r="AC69" i="13" s="1"/>
  <c r="J74" i="10"/>
  <c r="M80" i="9"/>
  <c r="M149" i="9" s="1"/>
  <c r="E75" i="9"/>
  <c r="D137" i="9"/>
  <c r="C68" i="9"/>
  <c r="K74" i="9"/>
  <c r="C70" i="7"/>
  <c r="AC70" i="7" s="1"/>
  <c r="D76" i="7"/>
  <c r="N73" i="9"/>
  <c r="N142" i="9" s="1"/>
  <c r="F76" i="12"/>
  <c r="F145" i="12" s="1"/>
  <c r="O74" i="11"/>
  <c r="G74" i="11"/>
  <c r="O76" i="11"/>
  <c r="O145" i="11" s="1"/>
  <c r="E73" i="13"/>
  <c r="E142" i="13" s="1"/>
  <c r="C136" i="11"/>
  <c r="E140" i="11"/>
  <c r="E75" i="11"/>
  <c r="O73" i="7"/>
  <c r="O142" i="7" s="1"/>
  <c r="C135" i="10"/>
  <c r="N138" i="7"/>
  <c r="N73" i="7"/>
  <c r="N78" i="7" s="1"/>
  <c r="E74" i="13"/>
  <c r="G141" i="6"/>
  <c r="G76" i="6"/>
  <c r="G145" i="6" s="1"/>
  <c r="C139" i="10"/>
  <c r="J75" i="12"/>
  <c r="C71" i="10"/>
  <c r="AC71" i="10" s="1"/>
  <c r="D140" i="10"/>
  <c r="D140" i="7"/>
  <c r="C140" i="7" s="1"/>
  <c r="C71" i="7"/>
  <c r="AC71" i="7" s="1"/>
  <c r="M74" i="7"/>
  <c r="M78" i="7" s="1"/>
  <c r="C133" i="10"/>
  <c r="O79" i="10"/>
  <c r="O148" i="10" s="1"/>
  <c r="O73" i="11"/>
  <c r="O142" i="11" s="1"/>
  <c r="H73" i="6"/>
  <c r="H142" i="6" s="1"/>
  <c r="F143" i="11"/>
  <c r="D141" i="10"/>
  <c r="C141" i="10" s="1"/>
  <c r="C72" i="10"/>
  <c r="AC72" i="10" s="1"/>
  <c r="M143" i="10"/>
  <c r="K77" i="11"/>
  <c r="K146" i="11" s="1"/>
  <c r="G140" i="13"/>
  <c r="G77" i="13"/>
  <c r="G146" i="13" s="1"/>
  <c r="G79" i="13"/>
  <c r="G148" i="13" s="1"/>
  <c r="K76" i="12"/>
  <c r="K145" i="12" s="1"/>
  <c r="I75" i="7"/>
  <c r="F76" i="10"/>
  <c r="F145" i="10" s="1"/>
  <c r="I76" i="7"/>
  <c r="I145" i="7" s="1"/>
  <c r="C135" i="12"/>
  <c r="D139" i="9"/>
  <c r="C139" i="9" s="1"/>
  <c r="C70" i="9"/>
  <c r="AC70" i="9" s="1"/>
  <c r="J76" i="12"/>
  <c r="J145" i="12" s="1"/>
  <c r="D74" i="7"/>
  <c r="K143" i="7"/>
  <c r="K83" i="7"/>
  <c r="F138" i="12"/>
  <c r="F74" i="12"/>
  <c r="G73" i="11"/>
  <c r="G142" i="11" s="1"/>
  <c r="H74" i="9"/>
  <c r="H137" i="11"/>
  <c r="C137" i="11" s="1"/>
  <c r="H75" i="11"/>
  <c r="H74" i="11"/>
  <c r="E138" i="6"/>
  <c r="E76" i="6"/>
  <c r="E145" i="6" s="1"/>
  <c r="O74" i="7"/>
  <c r="D141" i="13"/>
  <c r="C141" i="13" s="1"/>
  <c r="C72" i="13"/>
  <c r="AC72" i="13" s="1"/>
  <c r="F137" i="9"/>
  <c r="F75" i="9"/>
  <c r="F72" i="9"/>
  <c r="D140" i="13"/>
  <c r="C71" i="13"/>
  <c r="AC71" i="13" s="1"/>
  <c r="I141" i="9"/>
  <c r="G74" i="9"/>
  <c r="C70" i="13"/>
  <c r="AC70" i="13" s="1"/>
  <c r="D139" i="13"/>
  <c r="C139" i="13" s="1"/>
  <c r="M143" i="9"/>
  <c r="D143" i="10"/>
  <c r="E74" i="12"/>
  <c r="O144" i="10"/>
  <c r="O86" i="10"/>
  <c r="L78" i="7"/>
  <c r="F141" i="6"/>
  <c r="E138" i="13"/>
  <c r="C68" i="11"/>
  <c r="AC68" i="11" s="1"/>
  <c r="K75" i="11"/>
  <c r="K79" i="11" s="1"/>
  <c r="K148" i="11" s="1"/>
  <c r="I76" i="9"/>
  <c r="D73" i="9"/>
  <c r="H73" i="7"/>
  <c r="H77" i="7" s="1"/>
  <c r="H146" i="7" s="1"/>
  <c r="O77" i="10"/>
  <c r="G78" i="6"/>
  <c r="D138" i="7"/>
  <c r="C69" i="7"/>
  <c r="AC69" i="7" s="1"/>
  <c r="D75" i="7"/>
  <c r="D73" i="7"/>
  <c r="D139" i="11"/>
  <c r="C139" i="11" s="1"/>
  <c r="C70" i="11"/>
  <c r="AC70" i="11" s="1"/>
  <c r="D76" i="10"/>
  <c r="M73" i="10"/>
  <c r="M78" i="10" s="1"/>
  <c r="M76" i="10"/>
  <c r="M145" i="10" s="1"/>
  <c r="J76" i="11"/>
  <c r="L76" i="11"/>
  <c r="L145" i="11" s="1"/>
  <c r="O138" i="12"/>
  <c r="O75" i="12"/>
  <c r="AC64" i="13"/>
  <c r="C135" i="13"/>
  <c r="F74" i="9"/>
  <c r="E138" i="12"/>
  <c r="C69" i="12"/>
  <c r="AC69" i="12" s="1"/>
  <c r="D138" i="10"/>
  <c r="C69" i="10"/>
  <c r="AC69" i="10" s="1"/>
  <c r="M77" i="7"/>
  <c r="M146" i="7" s="1"/>
  <c r="H74" i="7"/>
  <c r="G77" i="7"/>
  <c r="G146" i="7" s="1"/>
  <c r="F74" i="10"/>
  <c r="G75" i="10"/>
  <c r="G72" i="11"/>
  <c r="D75" i="13"/>
  <c r="D138" i="11"/>
  <c r="C69" i="11"/>
  <c r="AC69" i="11" s="1"/>
  <c r="D140" i="11"/>
  <c r="C71" i="11"/>
  <c r="AC71" i="11" s="1"/>
  <c r="G76" i="9"/>
  <c r="G145" i="9" s="1"/>
  <c r="G143" i="12"/>
  <c r="L77" i="10"/>
  <c r="L146" i="10" s="1"/>
  <c r="D141" i="7"/>
  <c r="I142" i="12"/>
  <c r="I78" i="12"/>
  <c r="H75" i="10"/>
  <c r="E75" i="6"/>
  <c r="C136" i="6"/>
  <c r="J73" i="10"/>
  <c r="J142" i="10" s="1"/>
  <c r="G23" i="16"/>
  <c r="K147" i="7"/>
  <c r="H76" i="11"/>
  <c r="H145" i="11" s="1"/>
  <c r="C134" i="12"/>
  <c r="D75" i="9"/>
  <c r="F79" i="7"/>
  <c r="F148" i="7" s="1"/>
  <c r="H76" i="7"/>
  <c r="H145" i="7" s="1"/>
  <c r="O140" i="10"/>
  <c r="O76" i="10"/>
  <c r="O80" i="10" s="1"/>
  <c r="O149" i="10" s="1"/>
  <c r="G76" i="7"/>
  <c r="G145" i="7" s="1"/>
  <c r="F73" i="10"/>
  <c r="F142" i="10" s="1"/>
  <c r="C72" i="12"/>
  <c r="AC72" i="12" s="1"/>
  <c r="N143" i="10"/>
  <c r="E140" i="12"/>
  <c r="C140" i="12" s="1"/>
  <c r="C71" i="12"/>
  <c r="AC71" i="12" s="1"/>
  <c r="M76" i="12"/>
  <c r="M145" i="12" s="1"/>
  <c r="I77" i="7"/>
  <c r="I146" i="7" s="1"/>
  <c r="O78" i="10"/>
  <c r="H73" i="11"/>
  <c r="H142" i="11" s="1"/>
  <c r="G144" i="13"/>
  <c r="G86" i="13"/>
  <c r="C134" i="7"/>
  <c r="H138" i="7"/>
  <c r="N76" i="11"/>
  <c r="N145" i="11" s="1"/>
  <c r="F78" i="11"/>
  <c r="E73" i="6"/>
  <c r="E77" i="6" s="1"/>
  <c r="N74" i="11"/>
  <c r="N78" i="11" s="1"/>
  <c r="C133" i="9"/>
  <c r="K73" i="9"/>
  <c r="K142" i="9" s="1"/>
  <c r="F143" i="7"/>
  <c r="F83" i="7"/>
  <c r="I137" i="10"/>
  <c r="I73" i="10"/>
  <c r="I142" i="10" s="1"/>
  <c r="H72" i="6"/>
  <c r="H141" i="6" s="1"/>
  <c r="C136" i="9"/>
  <c r="J139" i="12"/>
  <c r="AC64" i="7"/>
  <c r="O75" i="11"/>
  <c r="F76" i="13"/>
  <c r="F145" i="13" s="1"/>
  <c r="E76" i="10"/>
  <c r="E145" i="10" s="1"/>
  <c r="D147" i="12"/>
  <c r="L140" i="11"/>
  <c r="C71" i="6"/>
  <c r="AC71" i="6" s="1"/>
  <c r="D140" i="6"/>
  <c r="N141" i="12"/>
  <c r="C141" i="12" s="1"/>
  <c r="N77" i="12"/>
  <c r="N146" i="12" s="1"/>
  <c r="H76" i="12"/>
  <c r="H145" i="12" s="1"/>
  <c r="K76" i="11"/>
  <c r="K145" i="11" s="1"/>
  <c r="E74" i="9"/>
  <c r="D73" i="11"/>
  <c r="E140" i="10"/>
  <c r="H73" i="9"/>
  <c r="H77" i="9" s="1"/>
  <c r="K75" i="9"/>
  <c r="L144" i="7"/>
  <c r="L86" i="7"/>
  <c r="N75" i="9"/>
  <c r="E73" i="12"/>
  <c r="I140" i="11"/>
  <c r="I75" i="11"/>
  <c r="G143" i="7"/>
  <c r="I76" i="10"/>
  <c r="I145" i="10" s="1"/>
  <c r="H74" i="6"/>
  <c r="M138" i="10"/>
  <c r="M75" i="10"/>
  <c r="D79" i="12"/>
  <c r="G143" i="13"/>
  <c r="K138" i="12"/>
  <c r="K74" i="12"/>
  <c r="E78" i="11"/>
  <c r="K73" i="12"/>
  <c r="C70" i="12"/>
  <c r="AC70" i="12" s="1"/>
  <c r="L144" i="11"/>
  <c r="L86" i="11"/>
  <c r="C134" i="9"/>
  <c r="N76" i="7"/>
  <c r="N145" i="7" s="1"/>
  <c r="I74" i="7"/>
  <c r="K80" i="7"/>
  <c r="N77" i="11"/>
  <c r="N146" i="11" s="1"/>
  <c r="D74" i="9"/>
  <c r="AC65" i="12"/>
  <c r="D138" i="9"/>
  <c r="C69" i="9"/>
  <c r="AC69" i="9" s="1"/>
  <c r="F86" i="7"/>
  <c r="F144" i="7"/>
  <c r="G86" i="7"/>
  <c r="G144" i="7"/>
  <c r="M138" i="11"/>
  <c r="M73" i="11"/>
  <c r="C136" i="7"/>
  <c r="G75" i="11"/>
  <c r="C135" i="11"/>
  <c r="O72" i="7"/>
  <c r="M78" i="9"/>
  <c r="I77" i="11"/>
  <c r="I146" i="11" s="1"/>
  <c r="K109" i="7"/>
  <c r="K106" i="7"/>
  <c r="K92" i="7"/>
  <c r="K110" i="7"/>
  <c r="K101" i="7"/>
  <c r="K111" i="7"/>
  <c r="K108" i="7"/>
  <c r="K114" i="7"/>
  <c r="K102" i="7"/>
  <c r="K116" i="7"/>
  <c r="K89" i="7"/>
  <c r="K113" i="7"/>
  <c r="K100" i="7"/>
  <c r="K105" i="7"/>
  <c r="K91" i="7"/>
  <c r="K88" i="7"/>
  <c r="K90" i="7"/>
  <c r="K98" i="7"/>
  <c r="K115" i="7"/>
  <c r="K104" i="7"/>
  <c r="K96" i="7"/>
  <c r="K97" i="7"/>
  <c r="D72" i="9"/>
  <c r="D76" i="9" s="1"/>
  <c r="M76" i="11"/>
  <c r="M145" i="11" s="1"/>
  <c r="H76" i="9"/>
  <c r="H145" i="9" s="1"/>
  <c r="L79" i="7"/>
  <c r="L148" i="7" s="1"/>
  <c r="I75" i="10"/>
  <c r="N74" i="9"/>
  <c r="F73" i="12"/>
  <c r="N78" i="6" l="1"/>
  <c r="J83" i="6"/>
  <c r="N83" i="6"/>
  <c r="I144" i="9"/>
  <c r="O144" i="6"/>
  <c r="E76" i="13"/>
  <c r="E145" i="13" s="1"/>
  <c r="J77" i="12"/>
  <c r="J146" i="12" s="1"/>
  <c r="O86" i="6"/>
  <c r="O110" i="6" s="1"/>
  <c r="N83" i="10"/>
  <c r="E77" i="10"/>
  <c r="E146" i="10" s="1"/>
  <c r="F27" i="16"/>
  <c r="N77" i="10"/>
  <c r="N146" i="10" s="1"/>
  <c r="K76" i="9"/>
  <c r="K145" i="9" s="1"/>
  <c r="G83" i="13"/>
  <c r="L142" i="12"/>
  <c r="I77" i="9"/>
  <c r="I146" i="9" s="1"/>
  <c r="J80" i="6"/>
  <c r="J149" i="6" s="1"/>
  <c r="L78" i="12"/>
  <c r="K112" i="7"/>
  <c r="E78" i="10"/>
  <c r="K95" i="7"/>
  <c r="L86" i="10"/>
  <c r="L108" i="10" s="1"/>
  <c r="J78" i="12"/>
  <c r="I78" i="6"/>
  <c r="F21" i="16" s="1"/>
  <c r="K93" i="7"/>
  <c r="N144" i="6"/>
  <c r="K107" i="7"/>
  <c r="L83" i="7"/>
  <c r="N86" i="11"/>
  <c r="N115" i="11" s="1"/>
  <c r="K94" i="7"/>
  <c r="K103" i="7"/>
  <c r="J79" i="12"/>
  <c r="J148" i="12" s="1"/>
  <c r="D80" i="12"/>
  <c r="K78" i="11"/>
  <c r="N81" i="6"/>
  <c r="O83" i="6"/>
  <c r="F77" i="13"/>
  <c r="F146" i="13" s="1"/>
  <c r="C73" i="13"/>
  <c r="AC73" i="13" s="1"/>
  <c r="D142" i="13"/>
  <c r="C142" i="13" s="1"/>
  <c r="F86" i="13"/>
  <c r="F78" i="13"/>
  <c r="G83" i="12"/>
  <c r="D81" i="12"/>
  <c r="G81" i="12"/>
  <c r="N80" i="12"/>
  <c r="N149" i="12" s="1"/>
  <c r="L80" i="12"/>
  <c r="L149" i="12" s="1"/>
  <c r="M143" i="12"/>
  <c r="N79" i="12"/>
  <c r="N148" i="12" s="1"/>
  <c r="I80" i="12"/>
  <c r="I149" i="12" s="1"/>
  <c r="G144" i="12"/>
  <c r="M144" i="12"/>
  <c r="H79" i="12"/>
  <c r="H148" i="12" s="1"/>
  <c r="L86" i="12"/>
  <c r="L108" i="12" s="1"/>
  <c r="L144" i="12"/>
  <c r="G86" i="12"/>
  <c r="G91" i="12" s="1"/>
  <c r="H77" i="12"/>
  <c r="H146" i="12" s="1"/>
  <c r="G79" i="12"/>
  <c r="G148" i="12" s="1"/>
  <c r="H78" i="12"/>
  <c r="L20" i="16" s="1"/>
  <c r="N86" i="12"/>
  <c r="N114" i="12" s="1"/>
  <c r="L83" i="12"/>
  <c r="F79" i="11"/>
  <c r="F148" i="11" s="1"/>
  <c r="D78" i="11"/>
  <c r="K16" i="16" s="1"/>
  <c r="D83" i="11"/>
  <c r="F144" i="11"/>
  <c r="I79" i="11"/>
  <c r="I148" i="11" s="1"/>
  <c r="I143" i="11"/>
  <c r="L78" i="11"/>
  <c r="E81" i="11"/>
  <c r="J77" i="11"/>
  <c r="J146" i="11" s="1"/>
  <c r="G78" i="10"/>
  <c r="H78" i="10"/>
  <c r="D79" i="10"/>
  <c r="K81" i="10"/>
  <c r="K80" i="10"/>
  <c r="K149" i="10" s="1"/>
  <c r="D78" i="10"/>
  <c r="E144" i="10"/>
  <c r="H77" i="10"/>
  <c r="H146" i="10" s="1"/>
  <c r="H83" i="10"/>
  <c r="K86" i="10"/>
  <c r="K144" i="10"/>
  <c r="O83" i="9"/>
  <c r="C138" i="9"/>
  <c r="O97" i="9"/>
  <c r="O79" i="9"/>
  <c r="O148" i="9" s="1"/>
  <c r="M83" i="9"/>
  <c r="O107" i="9"/>
  <c r="L78" i="9"/>
  <c r="O98" i="9"/>
  <c r="O104" i="9"/>
  <c r="O92" i="9"/>
  <c r="O103" i="9"/>
  <c r="N76" i="9"/>
  <c r="N145" i="9" s="1"/>
  <c r="O90" i="9"/>
  <c r="E76" i="9"/>
  <c r="E145" i="9" s="1"/>
  <c r="H86" i="9"/>
  <c r="H97" i="9" s="1"/>
  <c r="O95" i="9"/>
  <c r="O88" i="9"/>
  <c r="O110" i="9"/>
  <c r="M81" i="9"/>
  <c r="M82" i="9" s="1"/>
  <c r="O99" i="9"/>
  <c r="O113" i="9"/>
  <c r="O111" i="9"/>
  <c r="N79" i="6"/>
  <c r="N148" i="6" s="1"/>
  <c r="J79" i="6"/>
  <c r="J148" i="6" s="1"/>
  <c r="K81" i="6"/>
  <c r="D77" i="6"/>
  <c r="K83" i="6"/>
  <c r="O80" i="6"/>
  <c r="O149" i="6" s="1"/>
  <c r="O150" i="6"/>
  <c r="P15" i="16" s="1"/>
  <c r="C139" i="6"/>
  <c r="O81" i="6"/>
  <c r="M80" i="6"/>
  <c r="M149" i="6" s="1"/>
  <c r="G77" i="6"/>
  <c r="G146" i="6" s="1"/>
  <c r="N80" i="6"/>
  <c r="N149" i="6" s="1"/>
  <c r="L86" i="6"/>
  <c r="L144" i="6"/>
  <c r="L79" i="6"/>
  <c r="L148" i="6" s="1"/>
  <c r="J144" i="6"/>
  <c r="J86" i="6"/>
  <c r="I86" i="6"/>
  <c r="I144" i="6"/>
  <c r="I83" i="6"/>
  <c r="I143" i="6"/>
  <c r="I80" i="6"/>
  <c r="I149" i="6" s="1"/>
  <c r="N93" i="6"/>
  <c r="N90" i="6"/>
  <c r="N115" i="6"/>
  <c r="N91" i="6"/>
  <c r="N98" i="6"/>
  <c r="N92" i="6"/>
  <c r="N109" i="6"/>
  <c r="N114" i="6"/>
  <c r="N102" i="6"/>
  <c r="N96" i="6"/>
  <c r="N105" i="6"/>
  <c r="N103" i="6"/>
  <c r="N111" i="6"/>
  <c r="N101" i="6"/>
  <c r="N95" i="6"/>
  <c r="N89" i="6"/>
  <c r="N94" i="6"/>
  <c r="N110" i="6"/>
  <c r="N100" i="6"/>
  <c r="N108" i="6"/>
  <c r="N97" i="6"/>
  <c r="N107" i="6"/>
  <c r="N104" i="6"/>
  <c r="N113" i="6"/>
  <c r="N116" i="6"/>
  <c r="N106" i="6"/>
  <c r="N112" i="6"/>
  <c r="N99" i="6"/>
  <c r="N88" i="6"/>
  <c r="M81" i="6"/>
  <c r="I79" i="6"/>
  <c r="I148" i="6" s="1"/>
  <c r="F26" i="16"/>
  <c r="N147" i="6"/>
  <c r="N150" i="6" s="1"/>
  <c r="P14" i="16" s="1"/>
  <c r="F86" i="6"/>
  <c r="F97" i="6" s="1"/>
  <c r="K144" i="6"/>
  <c r="K86" i="6"/>
  <c r="M86" i="6"/>
  <c r="M144" i="6"/>
  <c r="G86" i="6"/>
  <c r="G91" i="6" s="1"/>
  <c r="L80" i="6"/>
  <c r="L149" i="6" s="1"/>
  <c r="F25" i="16"/>
  <c r="M147" i="6"/>
  <c r="K79" i="6"/>
  <c r="K148" i="6" s="1"/>
  <c r="K80" i="6"/>
  <c r="K149" i="6" s="1"/>
  <c r="J78" i="6"/>
  <c r="L81" i="6"/>
  <c r="O97" i="6"/>
  <c r="O102" i="6"/>
  <c r="O112" i="6"/>
  <c r="O113" i="6"/>
  <c r="O91" i="6"/>
  <c r="O88" i="6"/>
  <c r="O106" i="6"/>
  <c r="O99" i="6"/>
  <c r="O90" i="6"/>
  <c r="O111" i="6"/>
  <c r="O108" i="6"/>
  <c r="O92" i="6"/>
  <c r="O104" i="6"/>
  <c r="O107" i="6"/>
  <c r="O114" i="6"/>
  <c r="O109" i="6"/>
  <c r="O115" i="6"/>
  <c r="O96" i="6"/>
  <c r="O94" i="6"/>
  <c r="O100" i="6"/>
  <c r="O93" i="6"/>
  <c r="O105" i="6"/>
  <c r="O98" i="6"/>
  <c r="O101" i="6"/>
  <c r="O95" i="6"/>
  <c r="O89" i="6"/>
  <c r="O116" i="6"/>
  <c r="O103" i="6"/>
  <c r="M83" i="6"/>
  <c r="J77" i="6"/>
  <c r="J146" i="6" s="1"/>
  <c r="L147" i="6"/>
  <c r="F24" i="16"/>
  <c r="F23" i="16"/>
  <c r="K147" i="6"/>
  <c r="D79" i="6"/>
  <c r="D148" i="6" s="1"/>
  <c r="G106" i="6"/>
  <c r="F80" i="6"/>
  <c r="F149" i="6" s="1"/>
  <c r="D78" i="6"/>
  <c r="D147" i="6" s="1"/>
  <c r="F77" i="6"/>
  <c r="F146" i="6" s="1"/>
  <c r="C138" i="6"/>
  <c r="D83" i="6"/>
  <c r="C74" i="6"/>
  <c r="AC74" i="6" s="1"/>
  <c r="G77" i="9"/>
  <c r="G146" i="9" s="1"/>
  <c r="G78" i="9"/>
  <c r="I19" i="16" s="1"/>
  <c r="E79" i="7"/>
  <c r="E148" i="7" s="1"/>
  <c r="L79" i="11"/>
  <c r="L148" i="11" s="1"/>
  <c r="L86" i="9"/>
  <c r="L116" i="9" s="1"/>
  <c r="O81" i="12"/>
  <c r="N81" i="10"/>
  <c r="N144" i="10"/>
  <c r="N150" i="10" s="1"/>
  <c r="T14" i="16" s="1"/>
  <c r="J79" i="7"/>
  <c r="J148" i="7" s="1"/>
  <c r="N80" i="10"/>
  <c r="N149" i="10" s="1"/>
  <c r="N86" i="10"/>
  <c r="N99" i="10" s="1"/>
  <c r="M79" i="12"/>
  <c r="M148" i="12" s="1"/>
  <c r="K83" i="10"/>
  <c r="F83" i="6"/>
  <c r="F78" i="6"/>
  <c r="F18" i="16" s="1"/>
  <c r="O105" i="9"/>
  <c r="O112" i="9"/>
  <c r="E79" i="13"/>
  <c r="E148" i="13" s="1"/>
  <c r="J80" i="9"/>
  <c r="J149" i="9" s="1"/>
  <c r="O108" i="9"/>
  <c r="O109" i="9"/>
  <c r="O114" i="9"/>
  <c r="O94" i="9"/>
  <c r="J26" i="16"/>
  <c r="F81" i="7"/>
  <c r="D142" i="10"/>
  <c r="O115" i="9"/>
  <c r="K81" i="7"/>
  <c r="O100" i="9"/>
  <c r="O96" i="9"/>
  <c r="O116" i="9"/>
  <c r="O91" i="9"/>
  <c r="O106" i="9"/>
  <c r="N83" i="12"/>
  <c r="O101" i="9"/>
  <c r="O102" i="9"/>
  <c r="E144" i="7"/>
  <c r="O89" i="9"/>
  <c r="C74" i="13"/>
  <c r="AC74" i="13" s="1"/>
  <c r="L81" i="7"/>
  <c r="L82" i="7" s="1"/>
  <c r="L84" i="7" s="1"/>
  <c r="E78" i="7"/>
  <c r="G17" i="16" s="1"/>
  <c r="L79" i="12"/>
  <c r="L148" i="12" s="1"/>
  <c r="O144" i="9"/>
  <c r="D143" i="13"/>
  <c r="G18" i="16"/>
  <c r="G77" i="11"/>
  <c r="G146" i="11" s="1"/>
  <c r="I78" i="9"/>
  <c r="F79" i="6"/>
  <c r="F148" i="6" s="1"/>
  <c r="N78" i="12"/>
  <c r="L26" i="16" s="1"/>
  <c r="E80" i="7"/>
  <c r="E149" i="7" s="1"/>
  <c r="F79" i="13"/>
  <c r="F148" i="13" s="1"/>
  <c r="L80" i="7"/>
  <c r="L149" i="7" s="1"/>
  <c r="J78" i="9"/>
  <c r="J147" i="9" s="1"/>
  <c r="F143" i="13"/>
  <c r="I83" i="11"/>
  <c r="E77" i="9"/>
  <c r="E146" i="9" s="1"/>
  <c r="J77" i="9"/>
  <c r="J146" i="9" s="1"/>
  <c r="I81" i="12"/>
  <c r="J80" i="10"/>
  <c r="J149" i="10" s="1"/>
  <c r="F80" i="11"/>
  <c r="F149" i="11" s="1"/>
  <c r="L80" i="10"/>
  <c r="L149" i="10" s="1"/>
  <c r="D83" i="13"/>
  <c r="L77" i="11"/>
  <c r="L146" i="11" s="1"/>
  <c r="I86" i="12"/>
  <c r="I110" i="12" s="1"/>
  <c r="K86" i="12"/>
  <c r="K101" i="12" s="1"/>
  <c r="G81" i="13"/>
  <c r="J80" i="11"/>
  <c r="J149" i="11" s="1"/>
  <c r="E144" i="13"/>
  <c r="O80" i="9"/>
  <c r="O149" i="9" s="1"/>
  <c r="J79" i="10"/>
  <c r="J148" i="10" s="1"/>
  <c r="E80" i="6"/>
  <c r="E149" i="6" s="1"/>
  <c r="E80" i="11"/>
  <c r="E149" i="11" s="1"/>
  <c r="D144" i="6"/>
  <c r="E83" i="11"/>
  <c r="J86" i="11"/>
  <c r="O77" i="7"/>
  <c r="O146" i="7" s="1"/>
  <c r="E83" i="7"/>
  <c r="L79" i="10"/>
  <c r="L148" i="10" s="1"/>
  <c r="J79" i="11"/>
  <c r="J148" i="11" s="1"/>
  <c r="L76" i="9"/>
  <c r="L79" i="9"/>
  <c r="L148" i="9" s="1"/>
  <c r="E79" i="12"/>
  <c r="E148" i="12" s="1"/>
  <c r="I79" i="12"/>
  <c r="I148" i="12" s="1"/>
  <c r="C139" i="12"/>
  <c r="I81" i="7"/>
  <c r="E79" i="10"/>
  <c r="E148" i="10" s="1"/>
  <c r="G80" i="12"/>
  <c r="G149" i="12" s="1"/>
  <c r="C140" i="13"/>
  <c r="O83" i="12"/>
  <c r="D82" i="12"/>
  <c r="D84" i="12" s="1"/>
  <c r="M86" i="11"/>
  <c r="M95" i="11" s="1"/>
  <c r="G79" i="9"/>
  <c r="G148" i="9" s="1"/>
  <c r="D79" i="11"/>
  <c r="H78" i="7"/>
  <c r="G20" i="16" s="1"/>
  <c r="I79" i="9"/>
  <c r="I148" i="9" s="1"/>
  <c r="J86" i="10"/>
  <c r="J104" i="10" s="1"/>
  <c r="O142" i="9"/>
  <c r="O77" i="9"/>
  <c r="F83" i="11"/>
  <c r="D144" i="10"/>
  <c r="O80" i="11"/>
  <c r="O149" i="11" s="1"/>
  <c r="G79" i="10"/>
  <c r="G148" i="10" s="1"/>
  <c r="D144" i="11"/>
  <c r="J78" i="11"/>
  <c r="K22" i="16" s="1"/>
  <c r="J83" i="9"/>
  <c r="E79" i="6"/>
  <c r="E148" i="6" s="1"/>
  <c r="O78" i="9"/>
  <c r="G83" i="10"/>
  <c r="E78" i="13"/>
  <c r="M17" i="16" s="1"/>
  <c r="H76" i="6"/>
  <c r="H145" i="6" s="1"/>
  <c r="F142" i="11"/>
  <c r="F77" i="11"/>
  <c r="F146" i="11" s="1"/>
  <c r="O78" i="11"/>
  <c r="O147" i="11" s="1"/>
  <c r="G77" i="10"/>
  <c r="G146" i="10" s="1"/>
  <c r="O77" i="11"/>
  <c r="O146" i="11" s="1"/>
  <c r="E144" i="12"/>
  <c r="F145" i="11"/>
  <c r="D78" i="13"/>
  <c r="D80" i="6"/>
  <c r="L77" i="9"/>
  <c r="G76" i="11"/>
  <c r="G145" i="11" s="1"/>
  <c r="G78" i="11"/>
  <c r="G147" i="11" s="1"/>
  <c r="C74" i="11"/>
  <c r="AC74" i="11" s="1"/>
  <c r="L83" i="11"/>
  <c r="M79" i="10"/>
  <c r="M148" i="10" s="1"/>
  <c r="N86" i="7"/>
  <c r="N99" i="7" s="1"/>
  <c r="E81" i="7"/>
  <c r="C72" i="11"/>
  <c r="AC72" i="11" s="1"/>
  <c r="D81" i="10"/>
  <c r="D146" i="10"/>
  <c r="G80" i="9"/>
  <c r="G149" i="9" s="1"/>
  <c r="F80" i="12"/>
  <c r="F149" i="12" s="1"/>
  <c r="E78" i="9"/>
  <c r="E147" i="9" s="1"/>
  <c r="G80" i="10"/>
  <c r="G149" i="10" s="1"/>
  <c r="I78" i="10"/>
  <c r="J21" i="16" s="1"/>
  <c r="F78" i="10"/>
  <c r="J18" i="16" s="1"/>
  <c r="H79" i="7"/>
  <c r="H148" i="7" s="1"/>
  <c r="K78" i="12"/>
  <c r="K147" i="12" s="1"/>
  <c r="H79" i="10"/>
  <c r="H148" i="10" s="1"/>
  <c r="D145" i="6"/>
  <c r="G83" i="7"/>
  <c r="M81" i="7"/>
  <c r="M79" i="7"/>
  <c r="M148" i="7" s="1"/>
  <c r="G80" i="13"/>
  <c r="G149" i="13" s="1"/>
  <c r="F80" i="7"/>
  <c r="F149" i="7" s="1"/>
  <c r="F150" i="7" s="1"/>
  <c r="Q6" i="16" s="1"/>
  <c r="I145" i="12"/>
  <c r="I83" i="12"/>
  <c r="C74" i="10"/>
  <c r="AC74" i="10" s="1"/>
  <c r="F78" i="9"/>
  <c r="I18" i="16" s="1"/>
  <c r="G81" i="7"/>
  <c r="G79" i="11"/>
  <c r="G148" i="11" s="1"/>
  <c r="E78" i="12"/>
  <c r="J78" i="10"/>
  <c r="J147" i="10" s="1"/>
  <c r="H80" i="7"/>
  <c r="H149" i="7" s="1"/>
  <c r="N80" i="11"/>
  <c r="N149" i="11" s="1"/>
  <c r="N79" i="11"/>
  <c r="N148" i="11" s="1"/>
  <c r="L143" i="10"/>
  <c r="L83" i="10"/>
  <c r="F79" i="10"/>
  <c r="F148" i="10" s="1"/>
  <c r="N80" i="7"/>
  <c r="N149" i="7" s="1"/>
  <c r="I81" i="9"/>
  <c r="K81" i="11"/>
  <c r="E79" i="9"/>
  <c r="E148" i="9" s="1"/>
  <c r="L81" i="10"/>
  <c r="E79" i="11"/>
  <c r="E148" i="11" s="1"/>
  <c r="F80" i="13"/>
  <c r="F149" i="13" s="1"/>
  <c r="D80" i="9"/>
  <c r="D149" i="9" s="1"/>
  <c r="H80" i="11"/>
  <c r="H149" i="11" s="1"/>
  <c r="H77" i="6"/>
  <c r="H146" i="6" s="1"/>
  <c r="F79" i="9"/>
  <c r="F148" i="9" s="1"/>
  <c r="J80" i="7"/>
  <c r="J149" i="7" s="1"/>
  <c r="H86" i="7"/>
  <c r="H94" i="7" s="1"/>
  <c r="I80" i="10"/>
  <c r="I149" i="10" s="1"/>
  <c r="N83" i="7"/>
  <c r="H79" i="6"/>
  <c r="H148" i="6" s="1"/>
  <c r="F77" i="10"/>
  <c r="F76" i="9"/>
  <c r="F145" i="9" s="1"/>
  <c r="C75" i="10"/>
  <c r="AC75" i="10" s="1"/>
  <c r="G80" i="6"/>
  <c r="G149" i="6" s="1"/>
  <c r="K26" i="16"/>
  <c r="N147" i="11"/>
  <c r="E146" i="6"/>
  <c r="H146" i="9"/>
  <c r="H81" i="9"/>
  <c r="N143" i="9"/>
  <c r="M142" i="11"/>
  <c r="M78" i="11"/>
  <c r="D83" i="10"/>
  <c r="D145" i="10"/>
  <c r="C76" i="10"/>
  <c r="AC76" i="10" s="1"/>
  <c r="N79" i="9"/>
  <c r="N148" i="9" s="1"/>
  <c r="F81" i="13"/>
  <c r="K23" i="16"/>
  <c r="K147" i="11"/>
  <c r="F98" i="7"/>
  <c r="F110" i="7"/>
  <c r="F113" i="7"/>
  <c r="F94" i="7"/>
  <c r="F114" i="7"/>
  <c r="F103" i="7"/>
  <c r="F97" i="7"/>
  <c r="F108" i="7"/>
  <c r="F96" i="7"/>
  <c r="F95" i="7"/>
  <c r="F91" i="7"/>
  <c r="F90" i="7"/>
  <c r="F111" i="7"/>
  <c r="F105" i="7"/>
  <c r="F93" i="7"/>
  <c r="F104" i="7"/>
  <c r="F89" i="7"/>
  <c r="F101" i="7"/>
  <c r="F102" i="7"/>
  <c r="F115" i="7"/>
  <c r="F106" i="7"/>
  <c r="F99" i="7"/>
  <c r="F88" i="7"/>
  <c r="F112" i="7"/>
  <c r="F109" i="7"/>
  <c r="F107" i="7"/>
  <c r="F116" i="7"/>
  <c r="F92" i="7"/>
  <c r="F100" i="7"/>
  <c r="I93" i="9"/>
  <c r="I104" i="9"/>
  <c r="I97" i="9"/>
  <c r="I94" i="9"/>
  <c r="I109" i="9"/>
  <c r="I107" i="9"/>
  <c r="I103" i="9"/>
  <c r="I91" i="9"/>
  <c r="I110" i="9"/>
  <c r="I98" i="9"/>
  <c r="I112" i="9"/>
  <c r="I95" i="9"/>
  <c r="I88" i="9"/>
  <c r="I105" i="9"/>
  <c r="I92" i="9"/>
  <c r="I96" i="9"/>
  <c r="I102" i="9"/>
  <c r="I90" i="9"/>
  <c r="I89" i="9"/>
  <c r="I114" i="9"/>
  <c r="I100" i="9"/>
  <c r="I111" i="9"/>
  <c r="I99" i="9"/>
  <c r="I101" i="9"/>
  <c r="I115" i="9"/>
  <c r="I106" i="9"/>
  <c r="I108" i="9"/>
  <c r="I116" i="9"/>
  <c r="I113" i="9"/>
  <c r="G144" i="11"/>
  <c r="G86" i="11"/>
  <c r="O144" i="11"/>
  <c r="O86" i="11"/>
  <c r="N78" i="9"/>
  <c r="G104" i="13"/>
  <c r="G110" i="13"/>
  <c r="G108" i="13"/>
  <c r="G100" i="13"/>
  <c r="G93" i="13"/>
  <c r="G92" i="13"/>
  <c r="G101" i="13"/>
  <c r="G96" i="13"/>
  <c r="G107" i="13"/>
  <c r="G111" i="13"/>
  <c r="G105" i="13"/>
  <c r="G116" i="13"/>
  <c r="G115" i="13"/>
  <c r="G97" i="13"/>
  <c r="G109" i="13"/>
  <c r="G106" i="13"/>
  <c r="G114" i="13"/>
  <c r="G103" i="13"/>
  <c r="G89" i="13"/>
  <c r="G112" i="13"/>
  <c r="G91" i="13"/>
  <c r="G99" i="13"/>
  <c r="G88" i="13"/>
  <c r="G102" i="13"/>
  <c r="G95" i="13"/>
  <c r="G98" i="13"/>
  <c r="G113" i="13"/>
  <c r="G94" i="13"/>
  <c r="G90" i="13"/>
  <c r="C72" i="7"/>
  <c r="C140" i="11"/>
  <c r="I147" i="11"/>
  <c r="K21" i="16"/>
  <c r="M142" i="10"/>
  <c r="M77" i="10"/>
  <c r="C73" i="9"/>
  <c r="AC73" i="9" s="1"/>
  <c r="D142" i="9"/>
  <c r="M83" i="10"/>
  <c r="AC68" i="9"/>
  <c r="F144" i="12"/>
  <c r="F86" i="12"/>
  <c r="D107" i="11"/>
  <c r="D111" i="11"/>
  <c r="D100" i="11"/>
  <c r="D101" i="11"/>
  <c r="D103" i="11"/>
  <c r="D90" i="11"/>
  <c r="D96" i="11"/>
  <c r="D106" i="11"/>
  <c r="D94" i="11"/>
  <c r="D99" i="11"/>
  <c r="D116" i="11"/>
  <c r="D109" i="11"/>
  <c r="D97" i="11"/>
  <c r="D93" i="11"/>
  <c r="D91" i="11"/>
  <c r="D98" i="11"/>
  <c r="D108" i="11"/>
  <c r="D88" i="11"/>
  <c r="D105" i="11"/>
  <c r="D102" i="11"/>
  <c r="D113" i="11"/>
  <c r="D95" i="11"/>
  <c r="D110" i="11"/>
  <c r="D112" i="11"/>
  <c r="D92" i="11"/>
  <c r="D114" i="11"/>
  <c r="D89" i="11"/>
  <c r="D104" i="11"/>
  <c r="D115" i="11"/>
  <c r="D83" i="9"/>
  <c r="D145" i="9"/>
  <c r="I143" i="7"/>
  <c r="I83" i="7"/>
  <c r="H83" i="12"/>
  <c r="L110" i="10"/>
  <c r="L102" i="10"/>
  <c r="L101" i="10"/>
  <c r="L111" i="10"/>
  <c r="L98" i="10"/>
  <c r="L99" i="10"/>
  <c r="L106" i="10"/>
  <c r="L113" i="10"/>
  <c r="L97" i="10"/>
  <c r="L91" i="10"/>
  <c r="L92" i="10"/>
  <c r="L95" i="10"/>
  <c r="L94" i="10"/>
  <c r="L88" i="10"/>
  <c r="L115" i="10"/>
  <c r="L100" i="10"/>
  <c r="L109" i="10"/>
  <c r="L114" i="10"/>
  <c r="L93" i="10"/>
  <c r="L90" i="10"/>
  <c r="L103" i="10"/>
  <c r="L96" i="10"/>
  <c r="L107" i="10"/>
  <c r="L105" i="10"/>
  <c r="L89" i="10"/>
  <c r="L116" i="10"/>
  <c r="K143" i="12"/>
  <c r="K83" i="12"/>
  <c r="K83" i="11"/>
  <c r="K86" i="9"/>
  <c r="K144" i="9"/>
  <c r="E142" i="6"/>
  <c r="C142" i="6" s="1"/>
  <c r="E81" i="6"/>
  <c r="C137" i="10"/>
  <c r="H147" i="10"/>
  <c r="J20" i="16"/>
  <c r="D80" i="7"/>
  <c r="E80" i="10"/>
  <c r="E149" i="10" s="1"/>
  <c r="E77" i="12"/>
  <c r="E81" i="12" s="1"/>
  <c r="I147" i="9"/>
  <c r="I21" i="16"/>
  <c r="O143" i="7"/>
  <c r="D80" i="10"/>
  <c r="E143" i="13"/>
  <c r="E83" i="13"/>
  <c r="C137" i="9"/>
  <c r="N77" i="9"/>
  <c r="N146" i="9" s="1"/>
  <c r="F111" i="11"/>
  <c r="F94" i="11"/>
  <c r="F113" i="11"/>
  <c r="F100" i="11"/>
  <c r="F107" i="11"/>
  <c r="F116" i="11"/>
  <c r="F110" i="11"/>
  <c r="F92" i="11"/>
  <c r="F96" i="11"/>
  <c r="F105" i="11"/>
  <c r="F114" i="11"/>
  <c r="F95" i="11"/>
  <c r="F112" i="11"/>
  <c r="F106" i="11"/>
  <c r="F98" i="11"/>
  <c r="F88" i="11"/>
  <c r="F102" i="11"/>
  <c r="F91" i="11"/>
  <c r="F104" i="11"/>
  <c r="F101" i="11"/>
  <c r="F109" i="11"/>
  <c r="F93" i="11"/>
  <c r="F115" i="11"/>
  <c r="F103" i="11"/>
  <c r="F99" i="11"/>
  <c r="F89" i="11"/>
  <c r="F90" i="11"/>
  <c r="F97" i="11"/>
  <c r="F108" i="11"/>
  <c r="L91" i="9"/>
  <c r="L105" i="9"/>
  <c r="L101" i="9"/>
  <c r="L109" i="9"/>
  <c r="O98" i="10"/>
  <c r="O96" i="10"/>
  <c r="O88" i="10"/>
  <c r="O92" i="10"/>
  <c r="O95" i="10"/>
  <c r="O104" i="10"/>
  <c r="O109" i="10"/>
  <c r="O105" i="10"/>
  <c r="O93" i="10"/>
  <c r="O111" i="10"/>
  <c r="O101" i="10"/>
  <c r="O113" i="10"/>
  <c r="O115" i="10"/>
  <c r="O97" i="10"/>
  <c r="O108" i="10"/>
  <c r="O110" i="10"/>
  <c r="O114" i="10"/>
  <c r="O100" i="10"/>
  <c r="O116" i="10"/>
  <c r="O91" i="10"/>
  <c r="O107" i="10"/>
  <c r="O90" i="10"/>
  <c r="O89" i="10"/>
  <c r="O94" i="10"/>
  <c r="O102" i="10"/>
  <c r="O103" i="10"/>
  <c r="O106" i="10"/>
  <c r="O99" i="10"/>
  <c r="O112" i="10"/>
  <c r="E78" i="6"/>
  <c r="O79" i="11"/>
  <c r="O148" i="11" s="1"/>
  <c r="K79" i="9"/>
  <c r="K148" i="9" s="1"/>
  <c r="G143" i="11"/>
  <c r="C138" i="13"/>
  <c r="F83" i="13"/>
  <c r="M144" i="7"/>
  <c r="M86" i="7"/>
  <c r="H102" i="12"/>
  <c r="H101" i="12"/>
  <c r="H114" i="12"/>
  <c r="H98" i="12"/>
  <c r="H108" i="12"/>
  <c r="H95" i="12"/>
  <c r="H109" i="12"/>
  <c r="H110" i="12"/>
  <c r="H105" i="12"/>
  <c r="H94" i="12"/>
  <c r="H99" i="12"/>
  <c r="H91" i="12"/>
  <c r="H104" i="12"/>
  <c r="H92" i="12"/>
  <c r="H93" i="12"/>
  <c r="H103" i="12"/>
  <c r="H96" i="12"/>
  <c r="H100" i="12"/>
  <c r="H90" i="12"/>
  <c r="H89" i="12"/>
  <c r="H97" i="12"/>
  <c r="H106" i="12"/>
  <c r="H111" i="12"/>
  <c r="H116" i="12"/>
  <c r="H113" i="12"/>
  <c r="H88" i="12"/>
  <c r="H115" i="12"/>
  <c r="H107" i="12"/>
  <c r="H112" i="12"/>
  <c r="E96" i="13"/>
  <c r="E92" i="13"/>
  <c r="E109" i="13"/>
  <c r="E93" i="13"/>
  <c r="E107" i="13"/>
  <c r="E106" i="13"/>
  <c r="E114" i="13"/>
  <c r="E90" i="13"/>
  <c r="E88" i="13"/>
  <c r="E108" i="13"/>
  <c r="E91" i="13"/>
  <c r="E94" i="13"/>
  <c r="E98" i="13"/>
  <c r="E95" i="13"/>
  <c r="E105" i="13"/>
  <c r="E104" i="13"/>
  <c r="E115" i="13"/>
  <c r="E99" i="13"/>
  <c r="E97" i="13"/>
  <c r="E89" i="13"/>
  <c r="E112" i="13"/>
  <c r="E116" i="13"/>
  <c r="E103" i="13"/>
  <c r="E100" i="13"/>
  <c r="E113" i="13"/>
  <c r="E110" i="13"/>
  <c r="E111" i="13"/>
  <c r="E102" i="13"/>
  <c r="E101" i="13"/>
  <c r="L25" i="16"/>
  <c r="M147" i="12"/>
  <c r="F88" i="13"/>
  <c r="F101" i="13"/>
  <c r="F108" i="13"/>
  <c r="F91" i="13"/>
  <c r="F106" i="13"/>
  <c r="F98" i="13"/>
  <c r="F113" i="13"/>
  <c r="F111" i="13"/>
  <c r="F90" i="13"/>
  <c r="F115" i="13"/>
  <c r="F109" i="13"/>
  <c r="F104" i="13"/>
  <c r="F93" i="13"/>
  <c r="F112" i="13"/>
  <c r="F116" i="13"/>
  <c r="F99" i="13"/>
  <c r="F94" i="13"/>
  <c r="F96" i="13"/>
  <c r="F114" i="13"/>
  <c r="F102" i="13"/>
  <c r="F103" i="13"/>
  <c r="F100" i="13"/>
  <c r="F89" i="13"/>
  <c r="F107" i="13"/>
  <c r="F97" i="13"/>
  <c r="F105" i="13"/>
  <c r="F110" i="13"/>
  <c r="F95" i="13"/>
  <c r="F92" i="13"/>
  <c r="F147" i="6"/>
  <c r="F142" i="12"/>
  <c r="F77" i="12"/>
  <c r="F146" i="12" s="1"/>
  <c r="F79" i="12"/>
  <c r="F148" i="12" s="1"/>
  <c r="K18" i="16"/>
  <c r="F147" i="11"/>
  <c r="L23" i="16"/>
  <c r="C138" i="11"/>
  <c r="K82" i="10"/>
  <c r="C140" i="10"/>
  <c r="O143" i="11"/>
  <c r="O83" i="11"/>
  <c r="J142" i="7"/>
  <c r="J77" i="7"/>
  <c r="J146" i="7" s="1"/>
  <c r="M18" i="16"/>
  <c r="F147" i="13"/>
  <c r="M99" i="11"/>
  <c r="M105" i="11"/>
  <c r="M109" i="11"/>
  <c r="M92" i="11"/>
  <c r="M108" i="11"/>
  <c r="M114" i="11"/>
  <c r="M98" i="11"/>
  <c r="M101" i="11"/>
  <c r="M107" i="11"/>
  <c r="M113" i="11"/>
  <c r="M110" i="11"/>
  <c r="M97" i="11"/>
  <c r="M104" i="11"/>
  <c r="M94" i="11"/>
  <c r="M116" i="11"/>
  <c r="M91" i="11"/>
  <c r="M111" i="11"/>
  <c r="M102" i="11"/>
  <c r="M106" i="11"/>
  <c r="M115" i="11"/>
  <c r="M100" i="11"/>
  <c r="M103" i="11"/>
  <c r="M96" i="11"/>
  <c r="M89" i="11"/>
  <c r="M112" i="11"/>
  <c r="M90" i="11"/>
  <c r="M88" i="11"/>
  <c r="M93" i="11"/>
  <c r="D144" i="13"/>
  <c r="D86" i="13"/>
  <c r="C75" i="13"/>
  <c r="AC75" i="13" s="1"/>
  <c r="D80" i="13"/>
  <c r="E143" i="12"/>
  <c r="E83" i="12"/>
  <c r="C74" i="12"/>
  <c r="AC74" i="12" s="1"/>
  <c r="M77" i="11"/>
  <c r="M146" i="11" s="1"/>
  <c r="E105" i="7"/>
  <c r="E91" i="7"/>
  <c r="E115" i="7"/>
  <c r="E110" i="7"/>
  <c r="E102" i="7"/>
  <c r="E97" i="7"/>
  <c r="E95" i="7"/>
  <c r="E88" i="7"/>
  <c r="E111" i="7"/>
  <c r="E99" i="7"/>
  <c r="E93" i="7"/>
  <c r="E89" i="7"/>
  <c r="E112" i="7"/>
  <c r="E107" i="7"/>
  <c r="E96" i="7"/>
  <c r="E94" i="7"/>
  <c r="E109" i="7"/>
  <c r="E90" i="7"/>
  <c r="E106" i="7"/>
  <c r="E98" i="7"/>
  <c r="E114" i="7"/>
  <c r="E103" i="7"/>
  <c r="E113" i="7"/>
  <c r="E100" i="7"/>
  <c r="E101" i="7"/>
  <c r="E104" i="7"/>
  <c r="E108" i="7"/>
  <c r="E92" i="7"/>
  <c r="E116" i="7"/>
  <c r="I144" i="7"/>
  <c r="I86" i="7"/>
  <c r="M80" i="7"/>
  <c r="M149" i="7" s="1"/>
  <c r="M79" i="11"/>
  <c r="M148" i="11" s="1"/>
  <c r="J143" i="7"/>
  <c r="J83" i="7"/>
  <c r="J86" i="12"/>
  <c r="J144" i="12"/>
  <c r="N142" i="7"/>
  <c r="N77" i="7"/>
  <c r="N146" i="7" s="1"/>
  <c r="M92" i="9"/>
  <c r="M114" i="9"/>
  <c r="M99" i="9"/>
  <c r="M106" i="9"/>
  <c r="M96" i="9"/>
  <c r="M94" i="9"/>
  <c r="M115" i="9"/>
  <c r="M100" i="9"/>
  <c r="M116" i="9"/>
  <c r="M109" i="9"/>
  <c r="M95" i="9"/>
  <c r="M98" i="9"/>
  <c r="M102" i="9"/>
  <c r="M112" i="9"/>
  <c r="M90" i="9"/>
  <c r="M91" i="9"/>
  <c r="M108" i="9"/>
  <c r="M93" i="9"/>
  <c r="M105" i="9"/>
  <c r="M101" i="9"/>
  <c r="M97" i="9"/>
  <c r="M89" i="9"/>
  <c r="M88" i="9"/>
  <c r="M110" i="9"/>
  <c r="M113" i="9"/>
  <c r="M107" i="9"/>
  <c r="M104" i="9"/>
  <c r="M103" i="9"/>
  <c r="M111" i="9"/>
  <c r="J144" i="7"/>
  <c r="J86" i="7"/>
  <c r="M80" i="11"/>
  <c r="M149" i="11" s="1"/>
  <c r="H142" i="9"/>
  <c r="H80" i="9"/>
  <c r="H149" i="9" s="1"/>
  <c r="D146" i="6"/>
  <c r="D148" i="11"/>
  <c r="F141" i="9"/>
  <c r="F143" i="12"/>
  <c r="F83" i="12"/>
  <c r="E83" i="10"/>
  <c r="H79" i="9"/>
  <c r="H148" i="9" s="1"/>
  <c r="E83" i="6"/>
  <c r="G83" i="6"/>
  <c r="M83" i="12"/>
  <c r="J78" i="7"/>
  <c r="H95" i="7"/>
  <c r="L80" i="11"/>
  <c r="L149" i="11" s="1"/>
  <c r="L101" i="11"/>
  <c r="L104" i="11"/>
  <c r="L115" i="11"/>
  <c r="L95" i="11"/>
  <c r="L99" i="11"/>
  <c r="L88" i="11"/>
  <c r="L93" i="11"/>
  <c r="L105" i="11"/>
  <c r="L102" i="11"/>
  <c r="L96" i="11"/>
  <c r="L113" i="11"/>
  <c r="L107" i="11"/>
  <c r="L91" i="11"/>
  <c r="L114" i="11"/>
  <c r="L97" i="11"/>
  <c r="L98" i="11"/>
  <c r="L103" i="11"/>
  <c r="L100" i="11"/>
  <c r="L106" i="11"/>
  <c r="L90" i="11"/>
  <c r="L110" i="11"/>
  <c r="L94" i="11"/>
  <c r="L112" i="11"/>
  <c r="L92" i="11"/>
  <c r="L108" i="11"/>
  <c r="L116" i="11"/>
  <c r="L89" i="11"/>
  <c r="L109" i="11"/>
  <c r="L111" i="11"/>
  <c r="K95" i="10"/>
  <c r="K97" i="10"/>
  <c r="K105" i="10"/>
  <c r="K104" i="10"/>
  <c r="K114" i="10"/>
  <c r="K94" i="10"/>
  <c r="K108" i="10"/>
  <c r="K91" i="10"/>
  <c r="K100" i="10"/>
  <c r="K89" i="10"/>
  <c r="K96" i="10"/>
  <c r="K106" i="10"/>
  <c r="K115" i="10"/>
  <c r="K102" i="10"/>
  <c r="K99" i="10"/>
  <c r="K92" i="10"/>
  <c r="K109" i="10"/>
  <c r="K111" i="10"/>
  <c r="K116" i="10"/>
  <c r="K90" i="10"/>
  <c r="K88" i="10"/>
  <c r="K103" i="10"/>
  <c r="K93" i="10"/>
  <c r="K110" i="10"/>
  <c r="K101" i="10"/>
  <c r="K112" i="10"/>
  <c r="K113" i="10"/>
  <c r="K107" i="10"/>
  <c r="K98" i="10"/>
  <c r="D142" i="7"/>
  <c r="C73" i="7"/>
  <c r="AC73" i="7" s="1"/>
  <c r="J16" i="16"/>
  <c r="D147" i="10"/>
  <c r="C138" i="10"/>
  <c r="O144" i="12"/>
  <c r="O86" i="12"/>
  <c r="O79" i="12"/>
  <c r="L81" i="12"/>
  <c r="L82" i="12" s="1"/>
  <c r="F86" i="9"/>
  <c r="F144" i="9"/>
  <c r="H143" i="11"/>
  <c r="H83" i="11"/>
  <c r="H80" i="12"/>
  <c r="H149" i="12" s="1"/>
  <c r="N110" i="7"/>
  <c r="N96" i="7"/>
  <c r="N101" i="7"/>
  <c r="N102" i="7"/>
  <c r="N116" i="7"/>
  <c r="N104" i="7"/>
  <c r="N94" i="7"/>
  <c r="N106" i="7"/>
  <c r="N91" i="7"/>
  <c r="N81" i="12"/>
  <c r="I83" i="10"/>
  <c r="H78" i="11"/>
  <c r="M80" i="12"/>
  <c r="M149" i="12" s="1"/>
  <c r="M147" i="7"/>
  <c r="G25" i="16"/>
  <c r="D143" i="9"/>
  <c r="C74" i="9"/>
  <c r="AC74" i="9" s="1"/>
  <c r="E99" i="10"/>
  <c r="E107" i="10"/>
  <c r="E114" i="10"/>
  <c r="E115" i="10"/>
  <c r="E96" i="10"/>
  <c r="E101" i="10"/>
  <c r="E108" i="10"/>
  <c r="E100" i="10"/>
  <c r="E89" i="10"/>
  <c r="E97" i="10"/>
  <c r="E92" i="10"/>
  <c r="E106" i="10"/>
  <c r="E91" i="10"/>
  <c r="E105" i="10"/>
  <c r="E112" i="10"/>
  <c r="E104" i="10"/>
  <c r="E109" i="10"/>
  <c r="E113" i="10"/>
  <c r="E98" i="10"/>
  <c r="E110" i="10"/>
  <c r="E116" i="10"/>
  <c r="E88" i="10"/>
  <c r="E95" i="10"/>
  <c r="E111" i="10"/>
  <c r="E94" i="10"/>
  <c r="E93" i="10"/>
  <c r="E90" i="10"/>
  <c r="E103" i="10"/>
  <c r="E102" i="10"/>
  <c r="C138" i="7"/>
  <c r="H144" i="11"/>
  <c r="H86" i="11"/>
  <c r="E81" i="10"/>
  <c r="D105" i="10"/>
  <c r="D94" i="10"/>
  <c r="D110" i="10"/>
  <c r="D108" i="10"/>
  <c r="D91" i="10"/>
  <c r="D113" i="10"/>
  <c r="D107" i="10"/>
  <c r="D101" i="10"/>
  <c r="D112" i="10"/>
  <c r="D114" i="10"/>
  <c r="D95" i="10"/>
  <c r="D116" i="10"/>
  <c r="D88" i="10"/>
  <c r="D92" i="10"/>
  <c r="D99" i="10"/>
  <c r="D103" i="10"/>
  <c r="D111" i="10"/>
  <c r="D89" i="10"/>
  <c r="D100" i="10"/>
  <c r="D97" i="10"/>
  <c r="D109" i="10"/>
  <c r="D96" i="10"/>
  <c r="D115" i="10"/>
  <c r="D106" i="10"/>
  <c r="D104" i="10"/>
  <c r="D98" i="10"/>
  <c r="D102" i="10"/>
  <c r="D90" i="10"/>
  <c r="D93" i="10"/>
  <c r="K80" i="9"/>
  <c r="K149" i="9" s="1"/>
  <c r="E77" i="13"/>
  <c r="E81" i="13" s="1"/>
  <c r="J144" i="9"/>
  <c r="J86" i="9"/>
  <c r="J79" i="9"/>
  <c r="J148" i="9" s="1"/>
  <c r="K78" i="9"/>
  <c r="D81" i="6"/>
  <c r="D144" i="9"/>
  <c r="D86" i="9"/>
  <c r="C75" i="9"/>
  <c r="AC75" i="9" s="1"/>
  <c r="D142" i="11"/>
  <c r="C73" i="11"/>
  <c r="AC73" i="11" s="1"/>
  <c r="J25" i="16"/>
  <c r="M147" i="10"/>
  <c r="O141" i="7"/>
  <c r="C141" i="7" s="1"/>
  <c r="O78" i="7"/>
  <c r="O79" i="7"/>
  <c r="O148" i="7" s="1"/>
  <c r="I144" i="11"/>
  <c r="I86" i="11"/>
  <c r="I81" i="11"/>
  <c r="G26" i="16"/>
  <c r="N147" i="7"/>
  <c r="I80" i="11"/>
  <c r="I149" i="11" s="1"/>
  <c r="E143" i="9"/>
  <c r="L22" i="16"/>
  <c r="J147" i="12"/>
  <c r="G80" i="11"/>
  <c r="G149" i="11" s="1"/>
  <c r="L147" i="11"/>
  <c r="K24" i="16"/>
  <c r="M144" i="10"/>
  <c r="M86" i="10"/>
  <c r="O145" i="10"/>
  <c r="O83" i="10"/>
  <c r="E86" i="6"/>
  <c r="E144" i="6"/>
  <c r="G141" i="11"/>
  <c r="N110" i="11"/>
  <c r="N99" i="11"/>
  <c r="N88" i="11"/>
  <c r="I78" i="7"/>
  <c r="D143" i="7"/>
  <c r="D83" i="7"/>
  <c r="C74" i="7"/>
  <c r="AC74" i="7" s="1"/>
  <c r="D78" i="7"/>
  <c r="G147" i="13"/>
  <c r="M19" i="16"/>
  <c r="J95" i="11"/>
  <c r="J97" i="11"/>
  <c r="J107" i="11"/>
  <c r="J92" i="11"/>
  <c r="J105" i="11"/>
  <c r="J99" i="11"/>
  <c r="J108" i="11"/>
  <c r="J112" i="11"/>
  <c r="J102" i="11"/>
  <c r="J114" i="11"/>
  <c r="J106" i="11"/>
  <c r="J111" i="11"/>
  <c r="J88" i="11"/>
  <c r="J89" i="11"/>
  <c r="J90" i="11"/>
  <c r="J98" i="11"/>
  <c r="J94" i="11"/>
  <c r="J96" i="11"/>
  <c r="J109" i="11"/>
  <c r="J100" i="11"/>
  <c r="J110" i="11"/>
  <c r="J101" i="11"/>
  <c r="J116" i="11"/>
  <c r="J93" i="11"/>
  <c r="J113" i="11"/>
  <c r="J104" i="11"/>
  <c r="J103" i="11"/>
  <c r="J115" i="11"/>
  <c r="J91" i="11"/>
  <c r="E86" i="9"/>
  <c r="E144" i="9"/>
  <c r="J77" i="10"/>
  <c r="E96" i="12"/>
  <c r="E101" i="12"/>
  <c r="E113" i="12"/>
  <c r="E97" i="12"/>
  <c r="E109" i="12"/>
  <c r="E99" i="12"/>
  <c r="E106" i="12"/>
  <c r="E115" i="12"/>
  <c r="E90" i="12"/>
  <c r="E93" i="12"/>
  <c r="E88" i="12"/>
  <c r="E103" i="12"/>
  <c r="E116" i="12"/>
  <c r="E105" i="12"/>
  <c r="E108" i="12"/>
  <c r="E92" i="12"/>
  <c r="E114" i="12"/>
  <c r="E89" i="12"/>
  <c r="E100" i="12"/>
  <c r="E95" i="12"/>
  <c r="E110" i="12"/>
  <c r="E102" i="12"/>
  <c r="E111" i="12"/>
  <c r="E94" i="12"/>
  <c r="E112" i="12"/>
  <c r="E107" i="12"/>
  <c r="E91" i="12"/>
  <c r="E98" i="12"/>
  <c r="E104" i="12"/>
  <c r="D149" i="6"/>
  <c r="O144" i="7"/>
  <c r="O86" i="7"/>
  <c r="C75" i="12"/>
  <c r="AC75" i="12" s="1"/>
  <c r="D115" i="6"/>
  <c r="D109" i="6"/>
  <c r="D89" i="6"/>
  <c r="D103" i="6"/>
  <c r="D114" i="6"/>
  <c r="D106" i="6"/>
  <c r="D88" i="6"/>
  <c r="D90" i="6"/>
  <c r="D97" i="6"/>
  <c r="D111" i="6"/>
  <c r="D94" i="6"/>
  <c r="D98" i="6"/>
  <c r="D91" i="6"/>
  <c r="D101" i="6"/>
  <c r="D104" i="6"/>
  <c r="D112" i="6"/>
  <c r="D96" i="6"/>
  <c r="D107" i="6"/>
  <c r="D92" i="6"/>
  <c r="D110" i="6"/>
  <c r="D95" i="6"/>
  <c r="D102" i="6"/>
  <c r="D113" i="6"/>
  <c r="D108" i="6"/>
  <c r="D116" i="6"/>
  <c r="D105" i="6"/>
  <c r="D99" i="6"/>
  <c r="D93" i="6"/>
  <c r="D100" i="6"/>
  <c r="D86" i="7"/>
  <c r="D144" i="7"/>
  <c r="C75" i="7"/>
  <c r="AC75" i="7" s="1"/>
  <c r="D77" i="11"/>
  <c r="D81" i="11" s="1"/>
  <c r="E142" i="12"/>
  <c r="C73" i="12"/>
  <c r="D81" i="13"/>
  <c r="H78" i="9"/>
  <c r="H144" i="10"/>
  <c r="H86" i="10"/>
  <c r="G144" i="10"/>
  <c r="G86" i="10"/>
  <c r="C73" i="10"/>
  <c r="AC73" i="10" s="1"/>
  <c r="F19" i="16"/>
  <c r="G147" i="6"/>
  <c r="D80" i="11"/>
  <c r="L147" i="7"/>
  <c r="L150" i="7" s="1"/>
  <c r="Q12" i="16" s="1"/>
  <c r="G24" i="16"/>
  <c r="K80" i="11"/>
  <c r="K149" i="11" s="1"/>
  <c r="H79" i="11"/>
  <c r="H148" i="11" s="1"/>
  <c r="M81" i="12"/>
  <c r="C76" i="13"/>
  <c r="AC76" i="13" s="1"/>
  <c r="D145" i="7"/>
  <c r="J83" i="11"/>
  <c r="H144" i="6"/>
  <c r="H86" i="6"/>
  <c r="C72" i="6"/>
  <c r="AC72" i="6" s="1"/>
  <c r="D91" i="12"/>
  <c r="D100" i="12"/>
  <c r="D102" i="12"/>
  <c r="D113" i="12"/>
  <c r="D112" i="12"/>
  <c r="D103" i="12"/>
  <c r="D95" i="12"/>
  <c r="D101" i="12"/>
  <c r="D96" i="12"/>
  <c r="D108" i="12"/>
  <c r="D115" i="12"/>
  <c r="D93" i="12"/>
  <c r="D90" i="12"/>
  <c r="D105" i="12"/>
  <c r="D109" i="12"/>
  <c r="D89" i="12"/>
  <c r="D94" i="12"/>
  <c r="D110" i="12"/>
  <c r="D106" i="12"/>
  <c r="D97" i="12"/>
  <c r="D98" i="12"/>
  <c r="D116" i="12"/>
  <c r="D104" i="12"/>
  <c r="D99" i="12"/>
  <c r="D92" i="12"/>
  <c r="D114" i="12"/>
  <c r="D111" i="12"/>
  <c r="D107" i="12"/>
  <c r="D88" i="12"/>
  <c r="C75" i="6"/>
  <c r="AC75" i="6" s="1"/>
  <c r="L147" i="12"/>
  <c r="L24" i="16"/>
  <c r="K142" i="12"/>
  <c r="K79" i="12"/>
  <c r="K148" i="12" s="1"/>
  <c r="K77" i="12"/>
  <c r="M80" i="10"/>
  <c r="M149" i="10" s="1"/>
  <c r="C73" i="6"/>
  <c r="AC73" i="6" s="1"/>
  <c r="I79" i="7"/>
  <c r="I148" i="7" s="1"/>
  <c r="F143" i="10"/>
  <c r="F83" i="10"/>
  <c r="C138" i="12"/>
  <c r="I145" i="9"/>
  <c r="I83" i="9"/>
  <c r="G143" i="9"/>
  <c r="G83" i="9"/>
  <c r="N79" i="7"/>
  <c r="N148" i="7" s="1"/>
  <c r="D149" i="12"/>
  <c r="C145" i="13"/>
  <c r="F80" i="10"/>
  <c r="F149" i="10" s="1"/>
  <c r="C141" i="6"/>
  <c r="J83" i="12"/>
  <c r="M143" i="7"/>
  <c r="M83" i="7"/>
  <c r="J83" i="10"/>
  <c r="J143" i="10"/>
  <c r="G86" i="9"/>
  <c r="G144" i="9"/>
  <c r="F77" i="9"/>
  <c r="F146" i="9" s="1"/>
  <c r="G147" i="7"/>
  <c r="G19" i="16"/>
  <c r="G147" i="12"/>
  <c r="L19" i="16"/>
  <c r="D79" i="9"/>
  <c r="D148" i="12"/>
  <c r="D148" i="10"/>
  <c r="K149" i="7"/>
  <c r="K150" i="7" s="1"/>
  <c r="Q11" i="16" s="1"/>
  <c r="K82" i="7"/>
  <c r="K84" i="7" s="1"/>
  <c r="G108" i="7"/>
  <c r="G94" i="7"/>
  <c r="G106" i="7"/>
  <c r="G90" i="7"/>
  <c r="G104" i="7"/>
  <c r="G111" i="7"/>
  <c r="G116" i="7"/>
  <c r="G105" i="7"/>
  <c r="G113" i="7"/>
  <c r="G93" i="7"/>
  <c r="G98" i="7"/>
  <c r="G115" i="7"/>
  <c r="G107" i="7"/>
  <c r="G114" i="7"/>
  <c r="G99" i="7"/>
  <c r="G88" i="7"/>
  <c r="G112" i="7"/>
  <c r="G109" i="7"/>
  <c r="G92" i="7"/>
  <c r="G89" i="7"/>
  <c r="G97" i="7"/>
  <c r="G100" i="7"/>
  <c r="G95" i="7"/>
  <c r="G96" i="7"/>
  <c r="G102" i="7"/>
  <c r="G103" i="7"/>
  <c r="G110" i="7"/>
  <c r="G91" i="7"/>
  <c r="G101" i="7"/>
  <c r="I80" i="7"/>
  <c r="I149" i="7" s="1"/>
  <c r="J145" i="11"/>
  <c r="J81" i="11"/>
  <c r="F146" i="10"/>
  <c r="F81" i="10"/>
  <c r="K80" i="12"/>
  <c r="K149" i="12" s="1"/>
  <c r="J19" i="16"/>
  <c r="G147" i="10"/>
  <c r="N81" i="11"/>
  <c r="J17" i="16"/>
  <c r="E147" i="10"/>
  <c r="E150" i="10" s="1"/>
  <c r="T5" i="16" s="1"/>
  <c r="I77" i="10"/>
  <c r="I146" i="10" s="1"/>
  <c r="M108" i="12"/>
  <c r="M97" i="12"/>
  <c r="M96" i="12"/>
  <c r="M105" i="12"/>
  <c r="M114" i="12"/>
  <c r="M109" i="12"/>
  <c r="M115" i="12"/>
  <c r="M103" i="12"/>
  <c r="M106" i="12"/>
  <c r="M107" i="12"/>
  <c r="M116" i="12"/>
  <c r="M113" i="12"/>
  <c r="M88" i="12"/>
  <c r="M95" i="12"/>
  <c r="M112" i="12"/>
  <c r="M110" i="12"/>
  <c r="M99" i="12"/>
  <c r="M104" i="12"/>
  <c r="M89" i="12"/>
  <c r="M101" i="12"/>
  <c r="M102" i="12"/>
  <c r="M90" i="12"/>
  <c r="M93" i="12"/>
  <c r="M111" i="12"/>
  <c r="M94" i="12"/>
  <c r="M98" i="12"/>
  <c r="M100" i="12"/>
  <c r="M92" i="12"/>
  <c r="M91" i="12"/>
  <c r="N83" i="11"/>
  <c r="N143" i="11"/>
  <c r="G80" i="7"/>
  <c r="G149" i="7" s="1"/>
  <c r="L21" i="16"/>
  <c r="I147" i="12"/>
  <c r="H80" i="10"/>
  <c r="H149" i="10" s="1"/>
  <c r="F143" i="9"/>
  <c r="F83" i="9"/>
  <c r="O146" i="10"/>
  <c r="O81" i="10"/>
  <c r="O82" i="10" s="1"/>
  <c r="H142" i="7"/>
  <c r="H81" i="7"/>
  <c r="K144" i="11"/>
  <c r="K86" i="11"/>
  <c r="I80" i="9"/>
  <c r="I149" i="9" s="1"/>
  <c r="H78" i="6"/>
  <c r="L27" i="16"/>
  <c r="O147" i="12"/>
  <c r="J111" i="10"/>
  <c r="J102" i="10"/>
  <c r="J99" i="10"/>
  <c r="J98" i="10"/>
  <c r="J108" i="10"/>
  <c r="J113" i="10"/>
  <c r="J95" i="10"/>
  <c r="J114" i="10"/>
  <c r="G81" i="6"/>
  <c r="E144" i="11"/>
  <c r="E86" i="11"/>
  <c r="K143" i="9"/>
  <c r="K83" i="9"/>
  <c r="M83" i="11"/>
  <c r="M143" i="11"/>
  <c r="C75" i="11"/>
  <c r="AC75" i="11" s="1"/>
  <c r="J23" i="16"/>
  <c r="K147" i="10"/>
  <c r="K150" i="10" s="1"/>
  <c r="T11" i="16" s="1"/>
  <c r="C140" i="6"/>
  <c r="I144" i="10"/>
  <c r="I86" i="10"/>
  <c r="I25" i="16"/>
  <c r="M147" i="9"/>
  <c r="M150" i="9" s="1"/>
  <c r="S13" i="16" s="1"/>
  <c r="L17" i="16"/>
  <c r="E147" i="12"/>
  <c r="N86" i="9"/>
  <c r="N144" i="9"/>
  <c r="E80" i="12"/>
  <c r="E149" i="12" s="1"/>
  <c r="I79" i="10"/>
  <c r="I148" i="10" s="1"/>
  <c r="D141" i="9"/>
  <c r="C72" i="9"/>
  <c r="AC72" i="9" s="1"/>
  <c r="D78" i="9"/>
  <c r="D77" i="9"/>
  <c r="E147" i="11"/>
  <c r="K17" i="16"/>
  <c r="H143" i="6"/>
  <c r="H83" i="6"/>
  <c r="L104" i="7"/>
  <c r="L115" i="7"/>
  <c r="L102" i="7"/>
  <c r="L116" i="7"/>
  <c r="L90" i="7"/>
  <c r="L113" i="7"/>
  <c r="L98" i="7"/>
  <c r="L108" i="7"/>
  <c r="L92" i="7"/>
  <c r="L109" i="7"/>
  <c r="L93" i="7"/>
  <c r="L110" i="7"/>
  <c r="L106" i="7"/>
  <c r="L96" i="7"/>
  <c r="L112" i="7"/>
  <c r="L99" i="7"/>
  <c r="L97" i="7"/>
  <c r="L94" i="7"/>
  <c r="L103" i="7"/>
  <c r="L89" i="7"/>
  <c r="L91" i="7"/>
  <c r="L95" i="7"/>
  <c r="L100" i="7"/>
  <c r="L101" i="7"/>
  <c r="L107" i="7"/>
  <c r="L88" i="7"/>
  <c r="L105" i="7"/>
  <c r="L111" i="7"/>
  <c r="L114" i="7"/>
  <c r="D79" i="13"/>
  <c r="J27" i="16"/>
  <c r="O147" i="10"/>
  <c r="D77" i="7"/>
  <c r="D81" i="7" s="1"/>
  <c r="H143" i="7"/>
  <c r="H83" i="7"/>
  <c r="O76" i="7"/>
  <c r="O80" i="7" s="1"/>
  <c r="O149" i="7" s="1"/>
  <c r="L147" i="9"/>
  <c r="I24" i="16"/>
  <c r="F78" i="12"/>
  <c r="J80" i="12"/>
  <c r="J149" i="12" s="1"/>
  <c r="O81" i="11"/>
  <c r="H143" i="9"/>
  <c r="H83" i="9"/>
  <c r="K77" i="9"/>
  <c r="K146" i="9" s="1"/>
  <c r="J81" i="12"/>
  <c r="O80" i="12"/>
  <c r="O149" i="12" s="1"/>
  <c r="J24" i="16"/>
  <c r="L147" i="10"/>
  <c r="F86" i="10"/>
  <c r="F144" i="10"/>
  <c r="E145" i="12"/>
  <c r="C76" i="12"/>
  <c r="AC76" i="12" s="1"/>
  <c r="H77" i="11"/>
  <c r="H146" i="11" s="1"/>
  <c r="D79" i="7"/>
  <c r="C143" i="6" l="1"/>
  <c r="I147" i="6"/>
  <c r="J106" i="10"/>
  <c r="N97" i="11"/>
  <c r="N115" i="7"/>
  <c r="L84" i="12"/>
  <c r="J89" i="10"/>
  <c r="G147" i="9"/>
  <c r="N116" i="11"/>
  <c r="N103" i="7"/>
  <c r="C144" i="13"/>
  <c r="N106" i="11"/>
  <c r="N100" i="7"/>
  <c r="J109" i="10"/>
  <c r="J100" i="10"/>
  <c r="N98" i="11"/>
  <c r="N90" i="7"/>
  <c r="N97" i="7"/>
  <c r="N89" i="11"/>
  <c r="N105" i="7"/>
  <c r="N111" i="11"/>
  <c r="N92" i="7"/>
  <c r="J107" i="10"/>
  <c r="J116" i="10"/>
  <c r="N80" i="9"/>
  <c r="N149" i="9" s="1"/>
  <c r="N101" i="11"/>
  <c r="N108" i="7"/>
  <c r="N95" i="11"/>
  <c r="J101" i="10"/>
  <c r="J90" i="10"/>
  <c r="N102" i="11"/>
  <c r="N114" i="7"/>
  <c r="D147" i="11"/>
  <c r="J93" i="10"/>
  <c r="N94" i="11"/>
  <c r="N111" i="7"/>
  <c r="J94" i="10"/>
  <c r="N82" i="11"/>
  <c r="N100" i="11"/>
  <c r="N95" i="7"/>
  <c r="N93" i="11"/>
  <c r="N114" i="11"/>
  <c r="N90" i="11"/>
  <c r="N107" i="7"/>
  <c r="F109" i="6"/>
  <c r="H108" i="9"/>
  <c r="N105" i="11"/>
  <c r="J91" i="10"/>
  <c r="N91" i="11"/>
  <c r="N93" i="7"/>
  <c r="F95" i="6"/>
  <c r="N109" i="11"/>
  <c r="J103" i="10"/>
  <c r="J112" i="10"/>
  <c r="J88" i="10"/>
  <c r="N112" i="11"/>
  <c r="N89" i="7"/>
  <c r="F113" i="6"/>
  <c r="N103" i="11"/>
  <c r="J105" i="10"/>
  <c r="N104" i="11"/>
  <c r="N112" i="7"/>
  <c r="N102" i="12"/>
  <c r="E147" i="7"/>
  <c r="E150" i="7" s="1"/>
  <c r="Q5" i="16" s="1"/>
  <c r="N108" i="11"/>
  <c r="N107" i="11"/>
  <c r="N113" i="7"/>
  <c r="L106" i="9"/>
  <c r="N107" i="12"/>
  <c r="J92" i="10"/>
  <c r="N113" i="11"/>
  <c r="J115" i="10"/>
  <c r="J97" i="10"/>
  <c r="N96" i="11"/>
  <c r="N109" i="7"/>
  <c r="L90" i="9"/>
  <c r="L112" i="10"/>
  <c r="N97" i="12"/>
  <c r="E80" i="13"/>
  <c r="E149" i="13" s="1"/>
  <c r="M84" i="9"/>
  <c r="N92" i="11"/>
  <c r="N99" i="12"/>
  <c r="N98" i="7"/>
  <c r="N101" i="12"/>
  <c r="J110" i="10"/>
  <c r="N88" i="7"/>
  <c r="L110" i="9"/>
  <c r="L104" i="10"/>
  <c r="L112" i="12"/>
  <c r="J96" i="10"/>
  <c r="L89" i="9"/>
  <c r="E147" i="13"/>
  <c r="E82" i="13"/>
  <c r="E84" i="13" s="1"/>
  <c r="C143" i="13"/>
  <c r="K107" i="12"/>
  <c r="K99" i="12"/>
  <c r="H147" i="12"/>
  <c r="H150" i="12" s="1"/>
  <c r="V8" i="16" s="1"/>
  <c r="G106" i="12"/>
  <c r="G93" i="12"/>
  <c r="G116" i="12"/>
  <c r="G96" i="12"/>
  <c r="G98" i="12"/>
  <c r="K100" i="12"/>
  <c r="K108" i="12"/>
  <c r="K112" i="12"/>
  <c r="G90" i="12"/>
  <c r="G95" i="12"/>
  <c r="K94" i="12"/>
  <c r="G114" i="12"/>
  <c r="G101" i="12"/>
  <c r="L102" i="12"/>
  <c r="K95" i="12"/>
  <c r="K116" i="12"/>
  <c r="G107" i="12"/>
  <c r="G104" i="12"/>
  <c r="L90" i="12"/>
  <c r="K98" i="12"/>
  <c r="K110" i="12"/>
  <c r="H81" i="12"/>
  <c r="G92" i="12"/>
  <c r="G99" i="12"/>
  <c r="L105" i="12"/>
  <c r="G94" i="12"/>
  <c r="G102" i="12"/>
  <c r="K102" i="12"/>
  <c r="N82" i="12"/>
  <c r="N84" i="12" s="1"/>
  <c r="G110" i="12"/>
  <c r="G113" i="12"/>
  <c r="G111" i="12"/>
  <c r="K103" i="12"/>
  <c r="K93" i="12"/>
  <c r="G89" i="12"/>
  <c r="G108" i="12"/>
  <c r="K91" i="12"/>
  <c r="K115" i="12"/>
  <c r="K109" i="12"/>
  <c r="G100" i="12"/>
  <c r="K111" i="12"/>
  <c r="K89" i="12"/>
  <c r="K88" i="12"/>
  <c r="K113" i="12"/>
  <c r="G115" i="12"/>
  <c r="K97" i="12"/>
  <c r="K104" i="12"/>
  <c r="K114" i="12"/>
  <c r="G97" i="12"/>
  <c r="C78" i="12"/>
  <c r="G112" i="12"/>
  <c r="K90" i="12"/>
  <c r="N147" i="12"/>
  <c r="N150" i="12" s="1"/>
  <c r="V14" i="16" s="1"/>
  <c r="K92" i="12"/>
  <c r="K105" i="12"/>
  <c r="G88" i="12"/>
  <c r="G109" i="12"/>
  <c r="K106" i="12"/>
  <c r="G105" i="12"/>
  <c r="K96" i="12"/>
  <c r="G103" i="12"/>
  <c r="L97" i="12"/>
  <c r="L95" i="12"/>
  <c r="L104" i="12"/>
  <c r="L103" i="12"/>
  <c r="L115" i="12"/>
  <c r="L110" i="12"/>
  <c r="L107" i="12"/>
  <c r="L113" i="12"/>
  <c r="L88" i="12"/>
  <c r="L92" i="12"/>
  <c r="L89" i="12"/>
  <c r="L109" i="12"/>
  <c r="L99" i="12"/>
  <c r="L106" i="12"/>
  <c r="L98" i="12"/>
  <c r="L101" i="12"/>
  <c r="L93" i="12"/>
  <c r="L150" i="12"/>
  <c r="V12" i="16" s="1"/>
  <c r="L116" i="12"/>
  <c r="L91" i="12"/>
  <c r="L94" i="12"/>
  <c r="L100" i="12"/>
  <c r="L111" i="12"/>
  <c r="L114" i="12"/>
  <c r="N103" i="12"/>
  <c r="N90" i="12"/>
  <c r="N98" i="12"/>
  <c r="N88" i="12"/>
  <c r="N105" i="12"/>
  <c r="N112" i="12"/>
  <c r="N113" i="12"/>
  <c r="N89" i="12"/>
  <c r="N96" i="12"/>
  <c r="N104" i="12"/>
  <c r="N109" i="12"/>
  <c r="N100" i="12"/>
  <c r="I150" i="12"/>
  <c r="V9" i="16" s="1"/>
  <c r="G150" i="12"/>
  <c r="V7" i="16" s="1"/>
  <c r="N92" i="12"/>
  <c r="N115" i="12"/>
  <c r="G82" i="12"/>
  <c r="G84" i="12" s="1"/>
  <c r="C145" i="12"/>
  <c r="N94" i="12"/>
  <c r="N91" i="12"/>
  <c r="N116" i="12"/>
  <c r="N95" i="12"/>
  <c r="L96" i="12"/>
  <c r="N110" i="12"/>
  <c r="N111" i="12"/>
  <c r="N106" i="12"/>
  <c r="N93" i="12"/>
  <c r="N108" i="12"/>
  <c r="K27" i="16"/>
  <c r="O82" i="11"/>
  <c r="O84" i="11" s="1"/>
  <c r="N150" i="11"/>
  <c r="U14" i="16" s="1"/>
  <c r="J82" i="11"/>
  <c r="J147" i="11"/>
  <c r="J150" i="11" s="1"/>
  <c r="U10" i="16" s="1"/>
  <c r="C142" i="10"/>
  <c r="N90" i="10"/>
  <c r="N96" i="10"/>
  <c r="N110" i="10"/>
  <c r="N93" i="10"/>
  <c r="N114" i="10"/>
  <c r="N89" i="10"/>
  <c r="N105" i="10"/>
  <c r="N112" i="10"/>
  <c r="N116" i="10"/>
  <c r="N102" i="10"/>
  <c r="N103" i="10"/>
  <c r="N100" i="10"/>
  <c r="N95" i="10"/>
  <c r="H81" i="10"/>
  <c r="H82" i="10" s="1"/>
  <c r="H84" i="10" s="1"/>
  <c r="N111" i="10"/>
  <c r="N107" i="10"/>
  <c r="N88" i="10"/>
  <c r="N94" i="10"/>
  <c r="L150" i="10"/>
  <c r="T12" i="16" s="1"/>
  <c r="N91" i="10"/>
  <c r="N101" i="10"/>
  <c r="N106" i="10"/>
  <c r="N97" i="10"/>
  <c r="J22" i="16"/>
  <c r="K84" i="10"/>
  <c r="N98" i="10"/>
  <c r="N113" i="10"/>
  <c r="L82" i="10"/>
  <c r="L84" i="10" s="1"/>
  <c r="N109" i="10"/>
  <c r="N108" i="10"/>
  <c r="N82" i="10"/>
  <c r="N84" i="10" s="1"/>
  <c r="N104" i="10"/>
  <c r="N92" i="10"/>
  <c r="N115" i="10"/>
  <c r="L112" i="9"/>
  <c r="L93" i="9"/>
  <c r="L100" i="9"/>
  <c r="L99" i="9"/>
  <c r="L94" i="9"/>
  <c r="L108" i="9"/>
  <c r="L114" i="9"/>
  <c r="L111" i="9"/>
  <c r="L98" i="9"/>
  <c r="L104" i="9"/>
  <c r="L92" i="9"/>
  <c r="L102" i="9"/>
  <c r="L97" i="9"/>
  <c r="L95" i="9"/>
  <c r="L96" i="9"/>
  <c r="L107" i="9"/>
  <c r="G81" i="9"/>
  <c r="G82" i="9" s="1"/>
  <c r="G84" i="9" s="1"/>
  <c r="L113" i="9"/>
  <c r="H92" i="9"/>
  <c r="H89" i="9"/>
  <c r="H116" i="9"/>
  <c r="H94" i="9"/>
  <c r="H103" i="9"/>
  <c r="F147" i="9"/>
  <c r="H100" i="9"/>
  <c r="H106" i="9"/>
  <c r="H105" i="9"/>
  <c r="H91" i="9"/>
  <c r="H102" i="9"/>
  <c r="H112" i="9"/>
  <c r="H111" i="9"/>
  <c r="H109" i="9"/>
  <c r="H98" i="9"/>
  <c r="L88" i="9"/>
  <c r="L115" i="9"/>
  <c r="H114" i="9"/>
  <c r="H93" i="9"/>
  <c r="E80" i="9"/>
  <c r="E149" i="9" s="1"/>
  <c r="E150" i="9" s="1"/>
  <c r="S5" i="16" s="1"/>
  <c r="I17" i="16"/>
  <c r="H96" i="9"/>
  <c r="H107" i="9"/>
  <c r="H101" i="9"/>
  <c r="H88" i="9"/>
  <c r="H90" i="9"/>
  <c r="H110" i="9"/>
  <c r="I22" i="16"/>
  <c r="H99" i="9"/>
  <c r="H104" i="9"/>
  <c r="N83" i="9"/>
  <c r="E83" i="9"/>
  <c r="L103" i="9"/>
  <c r="H113" i="9"/>
  <c r="H95" i="9"/>
  <c r="H115" i="9"/>
  <c r="J81" i="9"/>
  <c r="F114" i="6"/>
  <c r="F103" i="6"/>
  <c r="F111" i="6"/>
  <c r="F106" i="6"/>
  <c r="F88" i="6"/>
  <c r="F105" i="6"/>
  <c r="F90" i="6"/>
  <c r="F91" i="6"/>
  <c r="F100" i="6"/>
  <c r="F112" i="6"/>
  <c r="F98" i="6"/>
  <c r="F99" i="6"/>
  <c r="F93" i="6"/>
  <c r="F107" i="6"/>
  <c r="F110" i="6"/>
  <c r="G82" i="6"/>
  <c r="G84" i="6" s="1"/>
  <c r="F94" i="6"/>
  <c r="F102" i="6"/>
  <c r="F116" i="6"/>
  <c r="F101" i="6"/>
  <c r="M82" i="6"/>
  <c r="M84" i="6" s="1"/>
  <c r="N82" i="6"/>
  <c r="N84" i="6" s="1"/>
  <c r="F92" i="6"/>
  <c r="F96" i="6"/>
  <c r="L150" i="6"/>
  <c r="P12" i="16" s="1"/>
  <c r="I82" i="6"/>
  <c r="I84" i="6" s="1"/>
  <c r="F108" i="6"/>
  <c r="F104" i="6"/>
  <c r="F115" i="6"/>
  <c r="F89" i="6"/>
  <c r="O82" i="6"/>
  <c r="O84" i="6" s="1"/>
  <c r="G107" i="6"/>
  <c r="M150" i="6"/>
  <c r="P13" i="16" s="1"/>
  <c r="F16" i="16"/>
  <c r="G104" i="6"/>
  <c r="G98" i="6"/>
  <c r="G115" i="6"/>
  <c r="G97" i="6"/>
  <c r="G90" i="6"/>
  <c r="G109" i="6"/>
  <c r="G93" i="6"/>
  <c r="K150" i="6"/>
  <c r="P11" i="16" s="1"/>
  <c r="I90" i="6"/>
  <c r="I88" i="6"/>
  <c r="I95" i="6"/>
  <c r="I97" i="6"/>
  <c r="I96" i="6"/>
  <c r="I100" i="6"/>
  <c r="I113" i="6"/>
  <c r="I92" i="6"/>
  <c r="I101" i="6"/>
  <c r="I103" i="6"/>
  <c r="I102" i="6"/>
  <c r="I94" i="6"/>
  <c r="I98" i="6"/>
  <c r="I108" i="6"/>
  <c r="I93" i="6"/>
  <c r="I116" i="6"/>
  <c r="I89" i="6"/>
  <c r="I91" i="6"/>
  <c r="I110" i="6"/>
  <c r="I107" i="6"/>
  <c r="I111" i="6"/>
  <c r="I112" i="6"/>
  <c r="I114" i="6"/>
  <c r="I104" i="6"/>
  <c r="I115" i="6"/>
  <c r="I105" i="6"/>
  <c r="I106" i="6"/>
  <c r="I99" i="6"/>
  <c r="I109" i="6"/>
  <c r="K82" i="6"/>
  <c r="K84" i="6" s="1"/>
  <c r="G89" i="6"/>
  <c r="G103" i="6"/>
  <c r="G92" i="6"/>
  <c r="G105" i="6"/>
  <c r="G110" i="6"/>
  <c r="G99" i="6"/>
  <c r="G113" i="6"/>
  <c r="G95" i="6"/>
  <c r="G108" i="6"/>
  <c r="G101" i="6"/>
  <c r="G102" i="6"/>
  <c r="J93" i="6"/>
  <c r="J92" i="6"/>
  <c r="J96" i="6"/>
  <c r="J103" i="6"/>
  <c r="J113" i="6"/>
  <c r="J111" i="6"/>
  <c r="J106" i="6"/>
  <c r="J115" i="6"/>
  <c r="J105" i="6"/>
  <c r="J90" i="6"/>
  <c r="J110" i="6"/>
  <c r="J109" i="6"/>
  <c r="J97" i="6"/>
  <c r="J112" i="6"/>
  <c r="J108" i="6"/>
  <c r="J100" i="6"/>
  <c r="J94" i="6"/>
  <c r="J89" i="6"/>
  <c r="J104" i="6"/>
  <c r="J91" i="6"/>
  <c r="J98" i="6"/>
  <c r="J107" i="6"/>
  <c r="J88" i="6"/>
  <c r="J116" i="6"/>
  <c r="J101" i="6"/>
  <c r="J95" i="6"/>
  <c r="J114" i="6"/>
  <c r="J102" i="6"/>
  <c r="J99" i="6"/>
  <c r="G94" i="6"/>
  <c r="G100" i="6"/>
  <c r="M96" i="6"/>
  <c r="M102" i="6"/>
  <c r="M104" i="6"/>
  <c r="M94" i="6"/>
  <c r="M111" i="6"/>
  <c r="M99" i="6"/>
  <c r="M110" i="6"/>
  <c r="M101" i="6"/>
  <c r="M112" i="6"/>
  <c r="M98" i="6"/>
  <c r="M95" i="6"/>
  <c r="M92" i="6"/>
  <c r="M113" i="6"/>
  <c r="M100" i="6"/>
  <c r="M108" i="6"/>
  <c r="M90" i="6"/>
  <c r="M97" i="6"/>
  <c r="M107" i="6"/>
  <c r="M106" i="6"/>
  <c r="M88" i="6"/>
  <c r="M91" i="6"/>
  <c r="M116" i="6"/>
  <c r="M89" i="6"/>
  <c r="M115" i="6"/>
  <c r="M103" i="6"/>
  <c r="M114" i="6"/>
  <c r="M109" i="6"/>
  <c r="M105" i="6"/>
  <c r="M93" i="6"/>
  <c r="K111" i="6"/>
  <c r="K113" i="6"/>
  <c r="K109" i="6"/>
  <c r="K98" i="6"/>
  <c r="K105" i="6"/>
  <c r="K90" i="6"/>
  <c r="K95" i="6"/>
  <c r="K108" i="6"/>
  <c r="K112" i="6"/>
  <c r="K89" i="6"/>
  <c r="K97" i="6"/>
  <c r="K96" i="6"/>
  <c r="K116" i="6"/>
  <c r="K99" i="6"/>
  <c r="K101" i="6"/>
  <c r="K102" i="6"/>
  <c r="K115" i="6"/>
  <c r="K110" i="6"/>
  <c r="K93" i="6"/>
  <c r="K106" i="6"/>
  <c r="K103" i="6"/>
  <c r="K100" i="6"/>
  <c r="K92" i="6"/>
  <c r="K94" i="6"/>
  <c r="K88" i="6"/>
  <c r="K114" i="6"/>
  <c r="K104" i="6"/>
  <c r="K91" i="6"/>
  <c r="K107" i="6"/>
  <c r="G114" i="6"/>
  <c r="G88" i="6"/>
  <c r="L82" i="6"/>
  <c r="L84" i="6" s="1"/>
  <c r="G111" i="6"/>
  <c r="J81" i="6"/>
  <c r="J82" i="6" s="1"/>
  <c r="J84" i="6" s="1"/>
  <c r="L103" i="6"/>
  <c r="L113" i="6"/>
  <c r="L110" i="6"/>
  <c r="L99" i="6"/>
  <c r="L94" i="6"/>
  <c r="L114" i="6"/>
  <c r="L93" i="6"/>
  <c r="L97" i="6"/>
  <c r="L90" i="6"/>
  <c r="L100" i="6"/>
  <c r="L112" i="6"/>
  <c r="L105" i="6"/>
  <c r="L111" i="6"/>
  <c r="L106" i="6"/>
  <c r="L115" i="6"/>
  <c r="L96" i="6"/>
  <c r="L102" i="6"/>
  <c r="L88" i="6"/>
  <c r="L107" i="6"/>
  <c r="L89" i="6"/>
  <c r="L95" i="6"/>
  <c r="L109" i="6"/>
  <c r="L108" i="6"/>
  <c r="L116" i="6"/>
  <c r="L104" i="6"/>
  <c r="L92" i="6"/>
  <c r="L98" i="6"/>
  <c r="L91" i="6"/>
  <c r="L101" i="6"/>
  <c r="J147" i="6"/>
  <c r="J150" i="6" s="1"/>
  <c r="P10" i="16" s="1"/>
  <c r="F22" i="16"/>
  <c r="G112" i="6"/>
  <c r="I150" i="6"/>
  <c r="P9" i="16" s="1"/>
  <c r="G116" i="6"/>
  <c r="G96" i="6"/>
  <c r="C79" i="6"/>
  <c r="AC79" i="6" s="1"/>
  <c r="F81" i="6"/>
  <c r="F82" i="6" s="1"/>
  <c r="F84" i="6" s="1"/>
  <c r="C148" i="6"/>
  <c r="F150" i="6"/>
  <c r="P6" i="16" s="1"/>
  <c r="G81" i="11"/>
  <c r="G82" i="11" s="1"/>
  <c r="F147" i="10"/>
  <c r="F150" i="10" s="1"/>
  <c r="T6" i="16" s="1"/>
  <c r="G83" i="11"/>
  <c r="C83" i="11" s="1"/>
  <c r="C144" i="6"/>
  <c r="E81" i="9"/>
  <c r="L81" i="11"/>
  <c r="L82" i="11" s="1"/>
  <c r="L84" i="11" s="1"/>
  <c r="I100" i="12"/>
  <c r="I102" i="12"/>
  <c r="I94" i="12"/>
  <c r="M150" i="12"/>
  <c r="V13" i="16" s="1"/>
  <c r="C86" i="12"/>
  <c r="E82" i="7"/>
  <c r="E84" i="7" s="1"/>
  <c r="C145" i="6"/>
  <c r="E82" i="10"/>
  <c r="E84" i="10" s="1"/>
  <c r="C142" i="11"/>
  <c r="H113" i="7"/>
  <c r="H112" i="7"/>
  <c r="C86" i="10"/>
  <c r="C86" i="11"/>
  <c r="I82" i="12"/>
  <c r="I84" i="12" s="1"/>
  <c r="H93" i="7"/>
  <c r="H99" i="7"/>
  <c r="H104" i="7"/>
  <c r="I93" i="12"/>
  <c r="I92" i="12"/>
  <c r="I107" i="12"/>
  <c r="I109" i="12"/>
  <c r="I104" i="12"/>
  <c r="I106" i="12"/>
  <c r="I88" i="12"/>
  <c r="I111" i="12"/>
  <c r="I113" i="12"/>
  <c r="I97" i="12"/>
  <c r="I95" i="12"/>
  <c r="I99" i="12"/>
  <c r="I112" i="12"/>
  <c r="I108" i="12"/>
  <c r="I96" i="12"/>
  <c r="I101" i="12"/>
  <c r="I103" i="12"/>
  <c r="I89" i="12"/>
  <c r="I91" i="12"/>
  <c r="I105" i="12"/>
  <c r="I116" i="12"/>
  <c r="I114" i="12"/>
  <c r="I90" i="12"/>
  <c r="I115" i="12"/>
  <c r="H110" i="7"/>
  <c r="H92" i="7"/>
  <c r="H100" i="7"/>
  <c r="C86" i="6"/>
  <c r="H96" i="7"/>
  <c r="I98" i="12"/>
  <c r="H107" i="7"/>
  <c r="L145" i="9"/>
  <c r="C145" i="9" s="1"/>
  <c r="L80" i="9"/>
  <c r="L149" i="9" s="1"/>
  <c r="C78" i="13"/>
  <c r="J18" i="14" s="1"/>
  <c r="J19" i="14" s="1"/>
  <c r="I11" i="16" s="1"/>
  <c r="C78" i="10"/>
  <c r="AC78" i="10" s="1"/>
  <c r="I147" i="10"/>
  <c r="I150" i="10" s="1"/>
  <c r="T9" i="16" s="1"/>
  <c r="L83" i="9"/>
  <c r="G150" i="6"/>
  <c r="P7" i="16" s="1"/>
  <c r="K19" i="16"/>
  <c r="F150" i="13"/>
  <c r="W6" i="16" s="1"/>
  <c r="G150" i="13"/>
  <c r="W7" i="16" s="1"/>
  <c r="H82" i="7"/>
  <c r="H84" i="7" s="1"/>
  <c r="C78" i="11"/>
  <c r="AC78" i="11" s="1"/>
  <c r="M16" i="16"/>
  <c r="H80" i="6"/>
  <c r="H149" i="6" s="1"/>
  <c r="C149" i="6" s="1"/>
  <c r="D147" i="13"/>
  <c r="C146" i="6"/>
  <c r="C77" i="6"/>
  <c r="AC77" i="6" s="1"/>
  <c r="D82" i="10"/>
  <c r="D84" i="10" s="1"/>
  <c r="H147" i="7"/>
  <c r="H150" i="7" s="1"/>
  <c r="Q8" i="16" s="1"/>
  <c r="C83" i="13"/>
  <c r="H106" i="7"/>
  <c r="H97" i="7"/>
  <c r="H109" i="7"/>
  <c r="H111" i="7"/>
  <c r="H115" i="7"/>
  <c r="I27" i="16"/>
  <c r="O147" i="9"/>
  <c r="H98" i="7"/>
  <c r="H88" i="7"/>
  <c r="C76" i="6"/>
  <c r="AC76" i="6" s="1"/>
  <c r="H105" i="7"/>
  <c r="H102" i="7"/>
  <c r="L146" i="9"/>
  <c r="L81" i="9"/>
  <c r="H90" i="7"/>
  <c r="H91" i="7"/>
  <c r="F150" i="11"/>
  <c r="U6" i="16" s="1"/>
  <c r="H114" i="7"/>
  <c r="H108" i="7"/>
  <c r="H116" i="7"/>
  <c r="H103" i="7"/>
  <c r="H89" i="7"/>
  <c r="O146" i="9"/>
  <c r="O81" i="9"/>
  <c r="O82" i="9" s="1"/>
  <c r="O84" i="9" s="1"/>
  <c r="G81" i="10"/>
  <c r="G82" i="10" s="1"/>
  <c r="G84" i="10" s="1"/>
  <c r="F81" i="11"/>
  <c r="F82" i="11" s="1"/>
  <c r="F84" i="11" s="1"/>
  <c r="C141" i="9"/>
  <c r="E82" i="6"/>
  <c r="E84" i="6" s="1"/>
  <c r="F82" i="7"/>
  <c r="F84" i="7" s="1"/>
  <c r="H81" i="6"/>
  <c r="L150" i="11"/>
  <c r="U12" i="16" s="1"/>
  <c r="H101" i="7"/>
  <c r="C76" i="11"/>
  <c r="AC76" i="11" s="1"/>
  <c r="G82" i="13"/>
  <c r="G84" i="13" s="1"/>
  <c r="E150" i="11"/>
  <c r="U5" i="16" s="1"/>
  <c r="C76" i="9"/>
  <c r="AC76" i="9" s="1"/>
  <c r="J82" i="12"/>
  <c r="J84" i="12" s="1"/>
  <c r="F80" i="9"/>
  <c r="F149" i="9" s="1"/>
  <c r="F82" i="10"/>
  <c r="F84" i="10" s="1"/>
  <c r="J84" i="11"/>
  <c r="G150" i="10"/>
  <c r="T7" i="16" s="1"/>
  <c r="I82" i="11"/>
  <c r="I84" i="11" s="1"/>
  <c r="F82" i="13"/>
  <c r="F84" i="13" s="1"/>
  <c r="D150" i="12"/>
  <c r="V4" i="16" s="1"/>
  <c r="E82" i="12"/>
  <c r="E84" i="12" s="1"/>
  <c r="C79" i="11"/>
  <c r="AC79" i="11" s="1"/>
  <c r="G150" i="7"/>
  <c r="Q7" i="16" s="1"/>
  <c r="O150" i="11"/>
  <c r="U15" i="16" s="1"/>
  <c r="J82" i="9"/>
  <c r="J84" i="9" s="1"/>
  <c r="N81" i="9"/>
  <c r="N82" i="9" s="1"/>
  <c r="C144" i="10"/>
  <c r="H81" i="11"/>
  <c r="C79" i="10"/>
  <c r="AC79" i="10" s="1"/>
  <c r="I150" i="9"/>
  <c r="S9" i="16" s="1"/>
  <c r="C83" i="6"/>
  <c r="M82" i="12"/>
  <c r="M84" i="12" s="1"/>
  <c r="F81" i="12"/>
  <c r="F82" i="12" s="1"/>
  <c r="F84" i="12" s="1"/>
  <c r="C144" i="7"/>
  <c r="C79" i="12"/>
  <c r="AC79" i="12" s="1"/>
  <c r="E82" i="11"/>
  <c r="E84" i="11" s="1"/>
  <c r="J150" i="9"/>
  <c r="S10" i="16" s="1"/>
  <c r="G82" i="7"/>
  <c r="G84" i="7" s="1"/>
  <c r="N81" i="7"/>
  <c r="N82" i="7" s="1"/>
  <c r="N84" i="7" s="1"/>
  <c r="D150" i="6"/>
  <c r="P4" i="16" s="1"/>
  <c r="F81" i="9"/>
  <c r="C144" i="12"/>
  <c r="D82" i="7"/>
  <c r="D82" i="11"/>
  <c r="C83" i="10"/>
  <c r="C76" i="7"/>
  <c r="AC76" i="7" s="1"/>
  <c r="H100" i="10"/>
  <c r="H96" i="10"/>
  <c r="H91" i="10"/>
  <c r="H113" i="10"/>
  <c r="H90" i="10"/>
  <c r="H89" i="10"/>
  <c r="H107" i="10"/>
  <c r="H98" i="10"/>
  <c r="H110" i="10"/>
  <c r="H103" i="10"/>
  <c r="H101" i="10"/>
  <c r="H97" i="10"/>
  <c r="H116" i="10"/>
  <c r="H95" i="10"/>
  <c r="H105" i="10"/>
  <c r="H115" i="10"/>
  <c r="H109" i="10"/>
  <c r="H104" i="10"/>
  <c r="H99" i="10"/>
  <c r="H114" i="10"/>
  <c r="H88" i="10"/>
  <c r="H106" i="10"/>
  <c r="H108" i="10"/>
  <c r="H92" i="10"/>
  <c r="H94" i="10"/>
  <c r="H111" i="10"/>
  <c r="H102" i="10"/>
  <c r="H93" i="10"/>
  <c r="H112" i="10"/>
  <c r="H115" i="11"/>
  <c r="H92" i="11"/>
  <c r="H88" i="11"/>
  <c r="H96" i="11"/>
  <c r="H107" i="11"/>
  <c r="H94" i="11"/>
  <c r="H98" i="11"/>
  <c r="H116" i="11"/>
  <c r="H102" i="11"/>
  <c r="H111" i="11"/>
  <c r="H112" i="11"/>
  <c r="H95" i="11"/>
  <c r="H103" i="11"/>
  <c r="H89" i="11"/>
  <c r="H113" i="11"/>
  <c r="H110" i="11"/>
  <c r="H99" i="11"/>
  <c r="H105" i="11"/>
  <c r="H93" i="11"/>
  <c r="H97" i="11"/>
  <c r="H101" i="11"/>
  <c r="H114" i="11"/>
  <c r="H106" i="11"/>
  <c r="H91" i="11"/>
  <c r="H108" i="11"/>
  <c r="H109" i="11"/>
  <c r="H90" i="11"/>
  <c r="H104" i="11"/>
  <c r="H100" i="11"/>
  <c r="H82" i="12"/>
  <c r="H84" i="12" s="1"/>
  <c r="C78" i="6"/>
  <c r="E146" i="12"/>
  <c r="C77" i="12"/>
  <c r="AC77" i="12" s="1"/>
  <c r="D146" i="7"/>
  <c r="C146" i="7" s="1"/>
  <c r="C77" i="7"/>
  <c r="AC77" i="7" s="1"/>
  <c r="H150" i="10"/>
  <c r="T8" i="16" s="1"/>
  <c r="C143" i="7"/>
  <c r="J81" i="7"/>
  <c r="J82" i="7" s="1"/>
  <c r="J84" i="7" s="1"/>
  <c r="I26" i="16"/>
  <c r="N147" i="9"/>
  <c r="N150" i="9" s="1"/>
  <c r="S14" i="16" s="1"/>
  <c r="I20" i="16"/>
  <c r="H147" i="9"/>
  <c r="H150" i="9" s="1"/>
  <c r="S8" i="16" s="1"/>
  <c r="M115" i="7"/>
  <c r="M106" i="7"/>
  <c r="M114" i="7"/>
  <c r="M92" i="7"/>
  <c r="M102" i="7"/>
  <c r="M93" i="7"/>
  <c r="M89" i="7"/>
  <c r="M116" i="7"/>
  <c r="M100" i="7"/>
  <c r="M113" i="7"/>
  <c r="M107" i="7"/>
  <c r="M97" i="7"/>
  <c r="M98" i="7"/>
  <c r="M104" i="7"/>
  <c r="M111" i="7"/>
  <c r="M101" i="7"/>
  <c r="M105" i="7"/>
  <c r="M90" i="7"/>
  <c r="M109" i="7"/>
  <c r="M112" i="7"/>
  <c r="M91" i="7"/>
  <c r="M96" i="7"/>
  <c r="M103" i="7"/>
  <c r="M88" i="7"/>
  <c r="M94" i="7"/>
  <c r="M108" i="7"/>
  <c r="M99" i="7"/>
  <c r="M110" i="7"/>
  <c r="M95" i="7"/>
  <c r="D149" i="7"/>
  <c r="C149" i="7" s="1"/>
  <c r="C80" i="7"/>
  <c r="AC80" i="7" s="1"/>
  <c r="AC72" i="7"/>
  <c r="O107" i="11"/>
  <c r="O102" i="11"/>
  <c r="O105" i="11"/>
  <c r="O114" i="11"/>
  <c r="O115" i="11"/>
  <c r="O92" i="11"/>
  <c r="O93" i="11"/>
  <c r="O99" i="11"/>
  <c r="O103" i="11"/>
  <c r="O108" i="11"/>
  <c r="O116" i="11"/>
  <c r="O110" i="11"/>
  <c r="O97" i="11"/>
  <c r="O101" i="11"/>
  <c r="O104" i="11"/>
  <c r="O113" i="11"/>
  <c r="O95" i="11"/>
  <c r="O96" i="11"/>
  <c r="O100" i="11"/>
  <c r="O106" i="11"/>
  <c r="O109" i="11"/>
  <c r="O88" i="11"/>
  <c r="O89" i="11"/>
  <c r="O98" i="11"/>
  <c r="O94" i="11"/>
  <c r="O90" i="11"/>
  <c r="O111" i="11"/>
  <c r="O112" i="11"/>
  <c r="O91" i="11"/>
  <c r="I18" i="14"/>
  <c r="I19" i="14" s="1"/>
  <c r="I10" i="16" s="1"/>
  <c r="AC78" i="12"/>
  <c r="I112" i="10"/>
  <c r="I115" i="10"/>
  <c r="I109" i="10"/>
  <c r="I96" i="10"/>
  <c r="I113" i="10"/>
  <c r="I114" i="10"/>
  <c r="I93" i="10"/>
  <c r="I108" i="10"/>
  <c r="I110" i="10"/>
  <c r="I91" i="10"/>
  <c r="I92" i="10"/>
  <c r="I94" i="10"/>
  <c r="I106" i="10"/>
  <c r="I107" i="10"/>
  <c r="I104" i="10"/>
  <c r="I103" i="10"/>
  <c r="I97" i="10"/>
  <c r="I102" i="10"/>
  <c r="I101" i="10"/>
  <c r="I116" i="10"/>
  <c r="I111" i="10"/>
  <c r="I95" i="10"/>
  <c r="I88" i="10"/>
  <c r="I105" i="10"/>
  <c r="I89" i="10"/>
  <c r="I100" i="10"/>
  <c r="I99" i="10"/>
  <c r="I90" i="10"/>
  <c r="I98" i="10"/>
  <c r="E112" i="11"/>
  <c r="E106" i="11"/>
  <c r="E111" i="11"/>
  <c r="E97" i="11"/>
  <c r="E109" i="11"/>
  <c r="E102" i="11"/>
  <c r="E92" i="11"/>
  <c r="E90" i="11"/>
  <c r="E104" i="11"/>
  <c r="E95" i="11"/>
  <c r="E113" i="11"/>
  <c r="E100" i="11"/>
  <c r="E116" i="11"/>
  <c r="E93" i="11"/>
  <c r="E98" i="11"/>
  <c r="E99" i="11"/>
  <c r="E103" i="11"/>
  <c r="E94" i="11"/>
  <c r="E108" i="11"/>
  <c r="E91" i="11"/>
  <c r="E107" i="11"/>
  <c r="E105" i="11"/>
  <c r="E101" i="11"/>
  <c r="E110" i="11"/>
  <c r="E88" i="11"/>
  <c r="E89" i="11"/>
  <c r="E114" i="11"/>
  <c r="E96" i="11"/>
  <c r="E115" i="11"/>
  <c r="G90" i="9"/>
  <c r="G96" i="9"/>
  <c r="G97" i="9"/>
  <c r="G92" i="9"/>
  <c r="G102" i="9"/>
  <c r="G105" i="9"/>
  <c r="G88" i="9"/>
  <c r="G106" i="9"/>
  <c r="G91" i="9"/>
  <c r="G103" i="9"/>
  <c r="G98" i="9"/>
  <c r="G116" i="9"/>
  <c r="G93" i="9"/>
  <c r="G111" i="9"/>
  <c r="G107" i="9"/>
  <c r="G94" i="9"/>
  <c r="G89" i="9"/>
  <c r="G113" i="9"/>
  <c r="G114" i="9"/>
  <c r="G115" i="9"/>
  <c r="G99" i="9"/>
  <c r="G110" i="9"/>
  <c r="G108" i="9"/>
  <c r="G95" i="9"/>
  <c r="G101" i="9"/>
  <c r="G109" i="9"/>
  <c r="G112" i="9"/>
  <c r="G100" i="9"/>
  <c r="G104" i="9"/>
  <c r="AC73" i="12"/>
  <c r="I147" i="7"/>
  <c r="I150" i="7" s="1"/>
  <c r="Q9" i="16" s="1"/>
  <c r="G21" i="16"/>
  <c r="C143" i="10"/>
  <c r="C142" i="7"/>
  <c r="G111" i="11"/>
  <c r="G89" i="11"/>
  <c r="G101" i="11"/>
  <c r="G105" i="11"/>
  <c r="G107" i="11"/>
  <c r="G94" i="11"/>
  <c r="G102" i="11"/>
  <c r="G116" i="11"/>
  <c r="G90" i="11"/>
  <c r="G100" i="11"/>
  <c r="G98" i="11"/>
  <c r="G103" i="11"/>
  <c r="G92" i="11"/>
  <c r="G104" i="11"/>
  <c r="G112" i="11"/>
  <c r="G99" i="11"/>
  <c r="G96" i="11"/>
  <c r="G109" i="11"/>
  <c r="G106" i="11"/>
  <c r="G88" i="11"/>
  <c r="G93" i="11"/>
  <c r="G114" i="11"/>
  <c r="G113" i="11"/>
  <c r="G97" i="11"/>
  <c r="G108" i="11"/>
  <c r="G91" i="11"/>
  <c r="G95" i="11"/>
  <c r="G110" i="11"/>
  <c r="G115" i="11"/>
  <c r="C80" i="12"/>
  <c r="AC80" i="12" s="1"/>
  <c r="C142" i="12"/>
  <c r="E93" i="6"/>
  <c r="E108" i="6"/>
  <c r="E104" i="6"/>
  <c r="E114" i="6"/>
  <c r="E98" i="6"/>
  <c r="E89" i="6"/>
  <c r="E116" i="6"/>
  <c r="E105" i="6"/>
  <c r="E100" i="6"/>
  <c r="E94" i="6"/>
  <c r="E102" i="6"/>
  <c r="E96" i="6"/>
  <c r="E90" i="6"/>
  <c r="E107" i="6"/>
  <c r="E101" i="6"/>
  <c r="E110" i="6"/>
  <c r="E95" i="6"/>
  <c r="E115" i="6"/>
  <c r="E103" i="6"/>
  <c r="E113" i="6"/>
  <c r="E109" i="6"/>
  <c r="E99" i="6"/>
  <c r="E97" i="6"/>
  <c r="E112" i="6"/>
  <c r="E88" i="6"/>
  <c r="E91" i="6"/>
  <c r="E106" i="6"/>
  <c r="E111" i="6"/>
  <c r="E92" i="6"/>
  <c r="H82" i="9"/>
  <c r="H84" i="9" s="1"/>
  <c r="C145" i="10"/>
  <c r="I82" i="7"/>
  <c r="I84" i="7" s="1"/>
  <c r="D148" i="13"/>
  <c r="C79" i="13"/>
  <c r="C81" i="13"/>
  <c r="D82" i="13"/>
  <c r="H147" i="6"/>
  <c r="F20" i="16"/>
  <c r="C148" i="10"/>
  <c r="K146" i="12"/>
  <c r="K150" i="12" s="1"/>
  <c r="V11" i="16" s="1"/>
  <c r="K81" i="12"/>
  <c r="K82" i="12" s="1"/>
  <c r="K84" i="12" s="1"/>
  <c r="O150" i="10"/>
  <c r="T15" i="16" s="1"/>
  <c r="C144" i="9"/>
  <c r="F110" i="9"/>
  <c r="F104" i="9"/>
  <c r="F97" i="9"/>
  <c r="F102" i="9"/>
  <c r="F103" i="9"/>
  <c r="F89" i="9"/>
  <c r="F94" i="9"/>
  <c r="F99" i="9"/>
  <c r="F105" i="9"/>
  <c r="F93" i="9"/>
  <c r="F108" i="9"/>
  <c r="F90" i="9"/>
  <c r="F100" i="9"/>
  <c r="F112" i="9"/>
  <c r="F92" i="9"/>
  <c r="F115" i="9"/>
  <c r="F111" i="9"/>
  <c r="F109" i="9"/>
  <c r="F106" i="9"/>
  <c r="F101" i="9"/>
  <c r="F116" i="9"/>
  <c r="F113" i="9"/>
  <c r="F98" i="9"/>
  <c r="F95" i="9"/>
  <c r="F91" i="9"/>
  <c r="F88" i="9"/>
  <c r="F114" i="9"/>
  <c r="F107" i="9"/>
  <c r="F96" i="9"/>
  <c r="O148" i="12"/>
  <c r="O150" i="12" s="1"/>
  <c r="V15" i="16" s="1"/>
  <c r="O82" i="12"/>
  <c r="O84" i="12" s="1"/>
  <c r="J102" i="7"/>
  <c r="J99" i="7"/>
  <c r="J115" i="7"/>
  <c r="J98" i="7"/>
  <c r="J108" i="7"/>
  <c r="J111" i="7"/>
  <c r="J97" i="7"/>
  <c r="J105" i="7"/>
  <c r="J104" i="7"/>
  <c r="J91" i="7"/>
  <c r="J109" i="7"/>
  <c r="J101" i="7"/>
  <c r="J106" i="7"/>
  <c r="J100" i="7"/>
  <c r="J103" i="7"/>
  <c r="J88" i="7"/>
  <c r="J116" i="7"/>
  <c r="J113" i="7"/>
  <c r="J92" i="7"/>
  <c r="J110" i="7"/>
  <c r="J107" i="7"/>
  <c r="J94" i="7"/>
  <c r="J89" i="7"/>
  <c r="J114" i="7"/>
  <c r="J90" i="7"/>
  <c r="J112" i="7"/>
  <c r="J95" i="7"/>
  <c r="J96" i="7"/>
  <c r="J93" i="7"/>
  <c r="I107" i="7"/>
  <c r="I111" i="7"/>
  <c r="I97" i="7"/>
  <c r="I90" i="7"/>
  <c r="I109" i="7"/>
  <c r="I106" i="7"/>
  <c r="I104" i="7"/>
  <c r="I103" i="7"/>
  <c r="I88" i="7"/>
  <c r="I116" i="7"/>
  <c r="I114" i="7"/>
  <c r="I89" i="7"/>
  <c r="I115" i="7"/>
  <c r="I113" i="7"/>
  <c r="I102" i="7"/>
  <c r="I95" i="7"/>
  <c r="I99" i="7"/>
  <c r="I110" i="7"/>
  <c r="I93" i="7"/>
  <c r="I92" i="7"/>
  <c r="I101" i="7"/>
  <c r="I98" i="7"/>
  <c r="I105" i="7"/>
  <c r="I112" i="7"/>
  <c r="I96" i="7"/>
  <c r="I91" i="7"/>
  <c r="I94" i="7"/>
  <c r="I100" i="7"/>
  <c r="I108" i="7"/>
  <c r="D148" i="7"/>
  <c r="C148" i="7" s="1"/>
  <c r="C79" i="7"/>
  <c r="AC79" i="7" s="1"/>
  <c r="D146" i="9"/>
  <c r="C77" i="9"/>
  <c r="AC77" i="9" s="1"/>
  <c r="C78" i="9"/>
  <c r="I16" i="16"/>
  <c r="D147" i="9"/>
  <c r="C143" i="11"/>
  <c r="O90" i="12"/>
  <c r="O115" i="12"/>
  <c r="O96" i="12"/>
  <c r="O103" i="12"/>
  <c r="O100" i="12"/>
  <c r="O95" i="12"/>
  <c r="O92" i="12"/>
  <c r="O89" i="12"/>
  <c r="O106" i="12"/>
  <c r="O105" i="12"/>
  <c r="O99" i="12"/>
  <c r="O91" i="12"/>
  <c r="O112" i="12"/>
  <c r="O88" i="12"/>
  <c r="O114" i="12"/>
  <c r="O109" i="12"/>
  <c r="O110" i="12"/>
  <c r="O98" i="12"/>
  <c r="O93" i="12"/>
  <c r="O94" i="12"/>
  <c r="O104" i="12"/>
  <c r="O111" i="12"/>
  <c r="O113" i="12"/>
  <c r="O107" i="12"/>
  <c r="O102" i="12"/>
  <c r="O101" i="12"/>
  <c r="O108" i="12"/>
  <c r="O116" i="12"/>
  <c r="O97" i="12"/>
  <c r="N84" i="11"/>
  <c r="I82" i="9"/>
  <c r="I84" i="9" s="1"/>
  <c r="K25" i="16"/>
  <c r="M147" i="11"/>
  <c r="K82" i="11"/>
  <c r="K84" i="11" s="1"/>
  <c r="C149" i="12"/>
  <c r="D149" i="11"/>
  <c r="C149" i="11" s="1"/>
  <c r="C80" i="11"/>
  <c r="AC80" i="11" s="1"/>
  <c r="I101" i="11"/>
  <c r="I90" i="11"/>
  <c r="I106" i="11"/>
  <c r="I112" i="11"/>
  <c r="I103" i="11"/>
  <c r="I105" i="11"/>
  <c r="I97" i="11"/>
  <c r="I96" i="11"/>
  <c r="I114" i="11"/>
  <c r="I109" i="11"/>
  <c r="I116" i="11"/>
  <c r="I100" i="11"/>
  <c r="I94" i="11"/>
  <c r="I113" i="11"/>
  <c r="I98" i="11"/>
  <c r="I89" i="11"/>
  <c r="I91" i="11"/>
  <c r="I92" i="11"/>
  <c r="I111" i="11"/>
  <c r="I99" i="11"/>
  <c r="I108" i="11"/>
  <c r="I88" i="11"/>
  <c r="I95" i="11"/>
  <c r="I115" i="11"/>
  <c r="I102" i="11"/>
  <c r="I104" i="11"/>
  <c r="I93" i="11"/>
  <c r="I110" i="11"/>
  <c r="I107" i="11"/>
  <c r="I23" i="16"/>
  <c r="K147" i="9"/>
  <c r="K150" i="9" s="1"/>
  <c r="S11" i="16" s="1"/>
  <c r="H82" i="11"/>
  <c r="H84" i="11" s="1"/>
  <c r="C143" i="9"/>
  <c r="C83" i="12"/>
  <c r="G22" i="16"/>
  <c r="J147" i="7"/>
  <c r="J150" i="7" s="1"/>
  <c r="Q10" i="16" s="1"/>
  <c r="K91" i="11"/>
  <c r="K101" i="11"/>
  <c r="K106" i="11"/>
  <c r="K100" i="11"/>
  <c r="K110" i="11"/>
  <c r="K96" i="11"/>
  <c r="K94" i="11"/>
  <c r="K112" i="11"/>
  <c r="K104" i="11"/>
  <c r="K90" i="11"/>
  <c r="K95" i="11"/>
  <c r="K115" i="11"/>
  <c r="K113" i="11"/>
  <c r="K99" i="11"/>
  <c r="K98" i="11"/>
  <c r="K88" i="11"/>
  <c r="K114" i="11"/>
  <c r="K107" i="11"/>
  <c r="K116" i="11"/>
  <c r="K92" i="11"/>
  <c r="K97" i="11"/>
  <c r="K105" i="11"/>
  <c r="K102" i="11"/>
  <c r="K109" i="11"/>
  <c r="K108" i="11"/>
  <c r="K93" i="11"/>
  <c r="K89" i="11"/>
  <c r="K103" i="11"/>
  <c r="K111" i="11"/>
  <c r="D148" i="9"/>
  <c r="C148" i="9" s="1"/>
  <c r="C79" i="9"/>
  <c r="AC79" i="9" s="1"/>
  <c r="M150" i="7"/>
  <c r="Q13" i="16" s="1"/>
  <c r="G150" i="9"/>
  <c r="S7" i="16" s="1"/>
  <c r="D100" i="7"/>
  <c r="D99" i="7"/>
  <c r="D98" i="7"/>
  <c r="D109" i="7"/>
  <c r="D95" i="7"/>
  <c r="D106" i="7"/>
  <c r="D108" i="7"/>
  <c r="D116" i="7"/>
  <c r="D105" i="7"/>
  <c r="D93" i="7"/>
  <c r="D94" i="7"/>
  <c r="D110" i="7"/>
  <c r="D92" i="7"/>
  <c r="D89" i="7"/>
  <c r="D96" i="7"/>
  <c r="D102" i="7"/>
  <c r="D115" i="7"/>
  <c r="D107" i="7"/>
  <c r="D103" i="7"/>
  <c r="D112" i="7"/>
  <c r="D90" i="7"/>
  <c r="D88" i="7"/>
  <c r="D91" i="7"/>
  <c r="D114" i="7"/>
  <c r="D113" i="7"/>
  <c r="D111" i="7"/>
  <c r="D97" i="7"/>
  <c r="D101" i="7"/>
  <c r="C86" i="7"/>
  <c r="D104" i="7"/>
  <c r="O94" i="7"/>
  <c r="O105" i="7"/>
  <c r="O107" i="7"/>
  <c r="O95" i="7"/>
  <c r="O104" i="7"/>
  <c r="O112" i="7"/>
  <c r="O109" i="7"/>
  <c r="O98" i="7"/>
  <c r="O111" i="7"/>
  <c r="O100" i="7"/>
  <c r="O108" i="7"/>
  <c r="O93" i="7"/>
  <c r="O106" i="7"/>
  <c r="O99" i="7"/>
  <c r="O90" i="7"/>
  <c r="O96" i="7"/>
  <c r="O97" i="7"/>
  <c r="O113" i="7"/>
  <c r="O110" i="7"/>
  <c r="O103" i="7"/>
  <c r="O91" i="7"/>
  <c r="O116" i="7"/>
  <c r="O88" i="7"/>
  <c r="O101" i="7"/>
  <c r="O92" i="7"/>
  <c r="O115" i="7"/>
  <c r="O114" i="7"/>
  <c r="O89" i="7"/>
  <c r="O102" i="7"/>
  <c r="M105" i="10"/>
  <c r="M95" i="10"/>
  <c r="M115" i="10"/>
  <c r="M107" i="10"/>
  <c r="M92" i="10"/>
  <c r="M111" i="10"/>
  <c r="M106" i="10"/>
  <c r="M103" i="10"/>
  <c r="M108" i="10"/>
  <c r="M97" i="10"/>
  <c r="M100" i="10"/>
  <c r="M93" i="10"/>
  <c r="M112" i="10"/>
  <c r="M102" i="10"/>
  <c r="M98" i="10"/>
  <c r="M113" i="10"/>
  <c r="M96" i="10"/>
  <c r="M101" i="10"/>
  <c r="M109" i="10"/>
  <c r="M116" i="10"/>
  <c r="M110" i="10"/>
  <c r="M89" i="10"/>
  <c r="M99" i="10"/>
  <c r="M104" i="10"/>
  <c r="M91" i="10"/>
  <c r="M114" i="10"/>
  <c r="M88" i="10"/>
  <c r="M90" i="10"/>
  <c r="M94" i="10"/>
  <c r="I150" i="11"/>
  <c r="U9" i="16" s="1"/>
  <c r="C143" i="12"/>
  <c r="C14" i="14"/>
  <c r="D149" i="10"/>
  <c r="C149" i="10" s="1"/>
  <c r="C80" i="10"/>
  <c r="AC80" i="10" s="1"/>
  <c r="C145" i="11"/>
  <c r="F105" i="12"/>
  <c r="F104" i="12"/>
  <c r="F102" i="12"/>
  <c r="F88" i="12"/>
  <c r="F97" i="12"/>
  <c r="F92" i="12"/>
  <c r="F101" i="12"/>
  <c r="F96" i="12"/>
  <c r="F95" i="12"/>
  <c r="F107" i="12"/>
  <c r="F103" i="12"/>
  <c r="F114" i="12"/>
  <c r="F91" i="12"/>
  <c r="F98" i="12"/>
  <c r="F115" i="12"/>
  <c r="F108" i="12"/>
  <c r="F112" i="12"/>
  <c r="F109" i="12"/>
  <c r="F111" i="12"/>
  <c r="F93" i="12"/>
  <c r="F106" i="12"/>
  <c r="F90" i="12"/>
  <c r="F113" i="12"/>
  <c r="F89" i="12"/>
  <c r="F100" i="12"/>
  <c r="F94" i="12"/>
  <c r="F110" i="12"/>
  <c r="F99" i="12"/>
  <c r="F116" i="12"/>
  <c r="D82" i="6"/>
  <c r="C144" i="11"/>
  <c r="L18" i="16"/>
  <c r="F147" i="12"/>
  <c r="F150" i="12" s="1"/>
  <c r="V6" i="16" s="1"/>
  <c r="D81" i="9"/>
  <c r="K150" i="11"/>
  <c r="U11" i="16" s="1"/>
  <c r="J146" i="10"/>
  <c r="J150" i="10" s="1"/>
  <c r="T10" i="16" s="1"/>
  <c r="J81" i="10"/>
  <c r="J82" i="10" s="1"/>
  <c r="J84" i="10" s="1"/>
  <c r="J95" i="9"/>
  <c r="J115" i="9"/>
  <c r="J112" i="9"/>
  <c r="J88" i="9"/>
  <c r="J104" i="9"/>
  <c r="J109" i="9"/>
  <c r="J91" i="9"/>
  <c r="J92" i="9"/>
  <c r="J110" i="9"/>
  <c r="J105" i="9"/>
  <c r="J89" i="9"/>
  <c r="J107" i="9"/>
  <c r="J113" i="9"/>
  <c r="J101" i="9"/>
  <c r="J98" i="9"/>
  <c r="J99" i="9"/>
  <c r="J96" i="9"/>
  <c r="J102" i="9"/>
  <c r="J93" i="9"/>
  <c r="J90" i="9"/>
  <c r="J106" i="9"/>
  <c r="J111" i="9"/>
  <c r="J97" i="9"/>
  <c r="J114" i="9"/>
  <c r="J103" i="9"/>
  <c r="J116" i="9"/>
  <c r="J94" i="9"/>
  <c r="J100" i="9"/>
  <c r="J108" i="9"/>
  <c r="I81" i="10"/>
  <c r="I82" i="10" s="1"/>
  <c r="I84" i="10" s="1"/>
  <c r="N150" i="7"/>
  <c r="Q14" i="16" s="1"/>
  <c r="O83" i="7"/>
  <c r="C83" i="7" s="1"/>
  <c r="C142" i="9"/>
  <c r="G150" i="11"/>
  <c r="U7" i="16" s="1"/>
  <c r="C141" i="11"/>
  <c r="J150" i="12"/>
  <c r="V10" i="16" s="1"/>
  <c r="M82" i="7"/>
  <c r="M84" i="7" s="1"/>
  <c r="E147" i="6"/>
  <c r="E150" i="6" s="1"/>
  <c r="P5" i="16" s="1"/>
  <c r="F17" i="16"/>
  <c r="K88" i="9"/>
  <c r="K108" i="9"/>
  <c r="K115" i="9"/>
  <c r="K92" i="9"/>
  <c r="K98" i="9"/>
  <c r="K89" i="9"/>
  <c r="K113" i="9"/>
  <c r="K105" i="9"/>
  <c r="K110" i="9"/>
  <c r="K103" i="9"/>
  <c r="K99" i="9"/>
  <c r="K95" i="9"/>
  <c r="K102" i="9"/>
  <c r="K96" i="9"/>
  <c r="K90" i="9"/>
  <c r="K101" i="9"/>
  <c r="K93" i="9"/>
  <c r="K106" i="9"/>
  <c r="K111" i="9"/>
  <c r="K94" i="9"/>
  <c r="K112" i="9"/>
  <c r="K107" i="9"/>
  <c r="K104" i="9"/>
  <c r="K91" i="9"/>
  <c r="K116" i="9"/>
  <c r="K100" i="9"/>
  <c r="K109" i="9"/>
  <c r="K114" i="9"/>
  <c r="K97" i="9"/>
  <c r="D146" i="11"/>
  <c r="C77" i="11"/>
  <c r="AC77" i="11" s="1"/>
  <c r="C77" i="10"/>
  <c r="AC77" i="10" s="1"/>
  <c r="H112" i="6"/>
  <c r="H104" i="6"/>
  <c r="H89" i="6"/>
  <c r="H100" i="6"/>
  <c r="H108" i="6"/>
  <c r="H114" i="6"/>
  <c r="H106" i="6"/>
  <c r="H88" i="6"/>
  <c r="H101" i="6"/>
  <c r="H105" i="6"/>
  <c r="H103" i="6"/>
  <c r="H99" i="6"/>
  <c r="H98" i="6"/>
  <c r="H111" i="6"/>
  <c r="H109" i="6"/>
  <c r="H90" i="6"/>
  <c r="H97" i="6"/>
  <c r="H93" i="6"/>
  <c r="H116" i="6"/>
  <c r="H95" i="6"/>
  <c r="H92" i="6"/>
  <c r="H102" i="6"/>
  <c r="H113" i="6"/>
  <c r="H107" i="6"/>
  <c r="H91" i="6"/>
  <c r="H96" i="6"/>
  <c r="H115" i="6"/>
  <c r="H94" i="6"/>
  <c r="H110" i="6"/>
  <c r="E113" i="9"/>
  <c r="E89" i="9"/>
  <c r="E94" i="9"/>
  <c r="E116" i="9"/>
  <c r="E111" i="9"/>
  <c r="E98" i="9"/>
  <c r="E88" i="9"/>
  <c r="E108" i="9"/>
  <c r="E93" i="9"/>
  <c r="E92" i="9"/>
  <c r="E112" i="9"/>
  <c r="E107" i="9"/>
  <c r="E104" i="9"/>
  <c r="E90" i="9"/>
  <c r="E97" i="9"/>
  <c r="E105" i="9"/>
  <c r="E102" i="9"/>
  <c r="E103" i="9"/>
  <c r="E110" i="9"/>
  <c r="E115" i="9"/>
  <c r="E91" i="9"/>
  <c r="E100" i="9"/>
  <c r="E99" i="9"/>
  <c r="E106" i="9"/>
  <c r="E95" i="9"/>
  <c r="E114" i="9"/>
  <c r="E109" i="9"/>
  <c r="E101" i="9"/>
  <c r="E96" i="9"/>
  <c r="E146" i="13"/>
  <c r="C146" i="13" s="1"/>
  <c r="C77" i="13"/>
  <c r="J94" i="12"/>
  <c r="J116" i="12"/>
  <c r="J91" i="12"/>
  <c r="J107" i="12"/>
  <c r="J104" i="12"/>
  <c r="J105" i="12"/>
  <c r="J93" i="12"/>
  <c r="J101" i="12"/>
  <c r="J114" i="12"/>
  <c r="J98" i="12"/>
  <c r="J95" i="12"/>
  <c r="J106" i="12"/>
  <c r="J109" i="12"/>
  <c r="J112" i="12"/>
  <c r="J88" i="12"/>
  <c r="J99" i="12"/>
  <c r="J115" i="12"/>
  <c r="J90" i="12"/>
  <c r="J100" i="12"/>
  <c r="J113" i="12"/>
  <c r="J110" i="12"/>
  <c r="J108" i="12"/>
  <c r="J96" i="12"/>
  <c r="J92" i="12"/>
  <c r="J89" i="12"/>
  <c r="J111" i="12"/>
  <c r="J102" i="12"/>
  <c r="J103" i="12"/>
  <c r="J97" i="12"/>
  <c r="D149" i="13"/>
  <c r="C149" i="13" s="1"/>
  <c r="C80" i="13"/>
  <c r="AC80" i="13" s="1"/>
  <c r="M146" i="10"/>
  <c r="M150" i="10" s="1"/>
  <c r="T13" i="16" s="1"/>
  <c r="M81" i="10"/>
  <c r="M82" i="10" s="1"/>
  <c r="M84" i="10" s="1"/>
  <c r="O145" i="7"/>
  <c r="C145" i="7" s="1"/>
  <c r="O81" i="7"/>
  <c r="O82" i="7" s="1"/>
  <c r="O84" i="10"/>
  <c r="G111" i="10"/>
  <c r="G99" i="10"/>
  <c r="G100" i="10"/>
  <c r="G114" i="10"/>
  <c r="G116" i="10"/>
  <c r="G93" i="10"/>
  <c r="G89" i="10"/>
  <c r="G88" i="10"/>
  <c r="G107" i="10"/>
  <c r="G95" i="10"/>
  <c r="G110" i="10"/>
  <c r="G105" i="10"/>
  <c r="G97" i="10"/>
  <c r="G115" i="10"/>
  <c r="G92" i="10"/>
  <c r="G91" i="10"/>
  <c r="G101" i="10"/>
  <c r="G98" i="10"/>
  <c r="G96" i="10"/>
  <c r="G109" i="10"/>
  <c r="G94" i="10"/>
  <c r="G104" i="10"/>
  <c r="G103" i="10"/>
  <c r="G112" i="10"/>
  <c r="G108" i="10"/>
  <c r="G106" i="10"/>
  <c r="G90" i="10"/>
  <c r="G113" i="10"/>
  <c r="G102" i="10"/>
  <c r="C78" i="7"/>
  <c r="G16" i="16"/>
  <c r="D147" i="7"/>
  <c r="C147" i="13"/>
  <c r="D98" i="9"/>
  <c r="D116" i="9"/>
  <c r="D92" i="9"/>
  <c r="D97" i="9"/>
  <c r="D101" i="9"/>
  <c r="D113" i="9"/>
  <c r="D105" i="9"/>
  <c r="D100" i="9"/>
  <c r="D96" i="9"/>
  <c r="D110" i="9"/>
  <c r="D112" i="9"/>
  <c r="D102" i="9"/>
  <c r="D114" i="9"/>
  <c r="D93" i="9"/>
  <c r="D94" i="9"/>
  <c r="D115" i="9"/>
  <c r="D108" i="9"/>
  <c r="D111" i="9"/>
  <c r="D91" i="9"/>
  <c r="D90" i="9"/>
  <c r="D95" i="9"/>
  <c r="D104" i="9"/>
  <c r="D109" i="9"/>
  <c r="D89" i="9"/>
  <c r="D107" i="9"/>
  <c r="C86" i="9"/>
  <c r="D103" i="9"/>
  <c r="D106" i="9"/>
  <c r="D88" i="9"/>
  <c r="D99" i="9"/>
  <c r="K81" i="9"/>
  <c r="K82" i="9" s="1"/>
  <c r="K84" i="9" s="1"/>
  <c r="O147" i="7"/>
  <c r="G27" i="16"/>
  <c r="F113" i="10"/>
  <c r="F96" i="10"/>
  <c r="F110" i="10"/>
  <c r="F89" i="10"/>
  <c r="F102" i="10"/>
  <c r="F99" i="10"/>
  <c r="F97" i="10"/>
  <c r="F95" i="10"/>
  <c r="F114" i="10"/>
  <c r="F90" i="10"/>
  <c r="F107" i="10"/>
  <c r="F103" i="10"/>
  <c r="F94" i="10"/>
  <c r="F101" i="10"/>
  <c r="F116" i="10"/>
  <c r="F98" i="10"/>
  <c r="F104" i="10"/>
  <c r="F108" i="10"/>
  <c r="F111" i="10"/>
  <c r="F112" i="10"/>
  <c r="F93" i="10"/>
  <c r="F109" i="10"/>
  <c r="F91" i="10"/>
  <c r="F106" i="10"/>
  <c r="F105" i="10"/>
  <c r="F115" i="10"/>
  <c r="F88" i="10"/>
  <c r="F92" i="10"/>
  <c r="F100" i="10"/>
  <c r="N106" i="9"/>
  <c r="N107" i="9"/>
  <c r="N94" i="9"/>
  <c r="N104" i="9"/>
  <c r="N112" i="9"/>
  <c r="N101" i="9"/>
  <c r="N91" i="9"/>
  <c r="N100" i="9"/>
  <c r="N98" i="9"/>
  <c r="N95" i="9"/>
  <c r="N111" i="9"/>
  <c r="N114" i="9"/>
  <c r="N99" i="9"/>
  <c r="N105" i="9"/>
  <c r="N115" i="9"/>
  <c r="N97" i="9"/>
  <c r="N89" i="9"/>
  <c r="N96" i="9"/>
  <c r="N113" i="9"/>
  <c r="N116" i="9"/>
  <c r="N110" i="9"/>
  <c r="N102" i="9"/>
  <c r="N90" i="9"/>
  <c r="N92" i="9"/>
  <c r="N88" i="9"/>
  <c r="N93" i="9"/>
  <c r="N108" i="9"/>
  <c r="N109" i="9"/>
  <c r="N103" i="9"/>
  <c r="M150" i="11"/>
  <c r="U13" i="16" s="1"/>
  <c r="K20" i="16"/>
  <c r="H147" i="11"/>
  <c r="H150" i="11" s="1"/>
  <c r="U8" i="16" s="1"/>
  <c r="C148" i="11"/>
  <c r="C86" i="13"/>
  <c r="D116" i="13"/>
  <c r="C116" i="13" s="1"/>
  <c r="D105" i="13"/>
  <c r="C105" i="13" s="1"/>
  <c r="D99" i="13"/>
  <c r="C99" i="13" s="1"/>
  <c r="D104" i="13"/>
  <c r="C104" i="13" s="1"/>
  <c r="D115" i="13"/>
  <c r="C115" i="13" s="1"/>
  <c r="D101" i="13"/>
  <c r="C101" i="13" s="1"/>
  <c r="D96" i="13"/>
  <c r="C96" i="13" s="1"/>
  <c r="D88" i="13"/>
  <c r="C88" i="13" s="1"/>
  <c r="D98" i="13"/>
  <c r="C98" i="13" s="1"/>
  <c r="D114" i="13"/>
  <c r="C114" i="13" s="1"/>
  <c r="D106" i="13"/>
  <c r="C106" i="13" s="1"/>
  <c r="D89" i="13"/>
  <c r="C89" i="13" s="1"/>
  <c r="D90" i="13"/>
  <c r="C90" i="13" s="1"/>
  <c r="D94" i="13"/>
  <c r="C94" i="13" s="1"/>
  <c r="D107" i="13"/>
  <c r="C107" i="13" s="1"/>
  <c r="D95" i="13"/>
  <c r="C95" i="13" s="1"/>
  <c r="D108" i="13"/>
  <c r="C108" i="13" s="1"/>
  <c r="D102" i="13"/>
  <c r="C102" i="13" s="1"/>
  <c r="D91" i="13"/>
  <c r="C91" i="13" s="1"/>
  <c r="D112" i="13"/>
  <c r="C112" i="13" s="1"/>
  <c r="D103" i="13"/>
  <c r="C103" i="13" s="1"/>
  <c r="D100" i="13"/>
  <c r="C100" i="13" s="1"/>
  <c r="D92" i="13"/>
  <c r="C92" i="13" s="1"/>
  <c r="D110" i="13"/>
  <c r="C110" i="13" s="1"/>
  <c r="D111" i="13"/>
  <c r="C111" i="13" s="1"/>
  <c r="D109" i="13"/>
  <c r="C109" i="13" s="1"/>
  <c r="D93" i="13"/>
  <c r="C93" i="13" s="1"/>
  <c r="D97" i="13"/>
  <c r="C97" i="13" s="1"/>
  <c r="D113" i="13"/>
  <c r="C113" i="13" s="1"/>
  <c r="M81" i="11"/>
  <c r="M82" i="11" s="1"/>
  <c r="M84" i="11" s="1"/>
  <c r="AC78" i="13" l="1"/>
  <c r="G84" i="11"/>
  <c r="G18" i="14"/>
  <c r="G19" i="14" s="1"/>
  <c r="I8" i="16" s="1"/>
  <c r="C102" i="10"/>
  <c r="C147" i="10"/>
  <c r="G14" i="14"/>
  <c r="E82" i="9"/>
  <c r="F150" i="9"/>
  <c r="S6" i="16" s="1"/>
  <c r="C149" i="9"/>
  <c r="C83" i="9"/>
  <c r="E84" i="9"/>
  <c r="N84" i="9"/>
  <c r="H150" i="6"/>
  <c r="P8" i="16" s="1"/>
  <c r="C81" i="6"/>
  <c r="H82" i="6"/>
  <c r="H84" i="6" s="1"/>
  <c r="C80" i="6"/>
  <c r="AC80" i="6" s="1"/>
  <c r="C116" i="12"/>
  <c r="C91" i="12"/>
  <c r="C93" i="10"/>
  <c r="H14" i="14"/>
  <c r="C112" i="10"/>
  <c r="C89" i="12"/>
  <c r="C100" i="7"/>
  <c r="H18" i="14"/>
  <c r="H19" i="14" s="1"/>
  <c r="I9" i="16" s="1"/>
  <c r="C98" i="12"/>
  <c r="C116" i="10"/>
  <c r="C106" i="12"/>
  <c r="C91" i="6"/>
  <c r="C94" i="10"/>
  <c r="C111" i="12"/>
  <c r="C103" i="7"/>
  <c r="C88" i="10"/>
  <c r="C115" i="10"/>
  <c r="C100" i="10"/>
  <c r="C107" i="9"/>
  <c r="C106" i="10"/>
  <c r="C95" i="10"/>
  <c r="C96" i="9"/>
  <c r="C91" i="10"/>
  <c r="C97" i="10"/>
  <c r="C100" i="9"/>
  <c r="C115" i="12"/>
  <c r="C92" i="7"/>
  <c r="C109" i="6"/>
  <c r="C98" i="6"/>
  <c r="C91" i="11"/>
  <c r="C106" i="11"/>
  <c r="C89" i="10"/>
  <c r="C114" i="12"/>
  <c r="C111" i="7"/>
  <c r="C107" i="6"/>
  <c r="C95" i="7"/>
  <c r="C90" i="6"/>
  <c r="C101" i="10"/>
  <c r="C148" i="12"/>
  <c r="C90" i="12"/>
  <c r="C92" i="12"/>
  <c r="C111" i="6"/>
  <c r="C96" i="6"/>
  <c r="C113" i="11"/>
  <c r="C93" i="6"/>
  <c r="C111" i="10"/>
  <c r="C110" i="10"/>
  <c r="C110" i="12"/>
  <c r="C95" i="6"/>
  <c r="C99" i="11"/>
  <c r="C108" i="10"/>
  <c r="C96" i="10"/>
  <c r="C94" i="12"/>
  <c r="C107" i="12"/>
  <c r="C110" i="6"/>
  <c r="C98" i="11"/>
  <c r="C103" i="12"/>
  <c r="C104" i="10"/>
  <c r="C113" i="10"/>
  <c r="C100" i="12"/>
  <c r="C95" i="12"/>
  <c r="C101" i="6"/>
  <c r="C93" i="11"/>
  <c r="C98" i="10"/>
  <c r="C96" i="12"/>
  <c r="C88" i="7"/>
  <c r="C106" i="7"/>
  <c r="C92" i="11"/>
  <c r="C115" i="11"/>
  <c r="C116" i="11"/>
  <c r="C113" i="12"/>
  <c r="C101" i="12"/>
  <c r="C92" i="6"/>
  <c r="C96" i="11"/>
  <c r="C100" i="11"/>
  <c r="C106" i="6"/>
  <c r="C102" i="6"/>
  <c r="C89" i="11"/>
  <c r="C95" i="11"/>
  <c r="C99" i="9"/>
  <c r="C97" i="12"/>
  <c r="C92" i="10"/>
  <c r="C103" i="10"/>
  <c r="C93" i="12"/>
  <c r="C88" i="12"/>
  <c r="C94" i="6"/>
  <c r="C88" i="11"/>
  <c r="C104" i="11"/>
  <c r="C102" i="9"/>
  <c r="C102" i="12"/>
  <c r="C88" i="6"/>
  <c r="C100" i="6"/>
  <c r="C110" i="11"/>
  <c r="C90" i="11"/>
  <c r="C114" i="11"/>
  <c r="C107" i="10"/>
  <c r="C90" i="10"/>
  <c r="C109" i="12"/>
  <c r="C104" i="12"/>
  <c r="C112" i="6"/>
  <c r="C105" i="6"/>
  <c r="C101" i="11"/>
  <c r="C106" i="9"/>
  <c r="C105" i="10"/>
  <c r="C114" i="10"/>
  <c r="C110" i="9"/>
  <c r="C112" i="12"/>
  <c r="C105" i="12"/>
  <c r="C96" i="7"/>
  <c r="C97" i="6"/>
  <c r="C116" i="6"/>
  <c r="C105" i="11"/>
  <c r="C102" i="11"/>
  <c r="C108" i="12"/>
  <c r="C99" i="6"/>
  <c r="C89" i="6"/>
  <c r="C107" i="11"/>
  <c r="C109" i="11"/>
  <c r="L82" i="9"/>
  <c r="L84" i="9" s="1"/>
  <c r="C97" i="11"/>
  <c r="L150" i="9"/>
  <c r="S12" i="16" s="1"/>
  <c r="C109" i="10"/>
  <c r="C99" i="10"/>
  <c r="C113" i="6"/>
  <c r="C114" i="6"/>
  <c r="C108" i="11"/>
  <c r="C111" i="11"/>
  <c r="C103" i="6"/>
  <c r="C104" i="6"/>
  <c r="C94" i="11"/>
  <c r="C99" i="12"/>
  <c r="C115" i="6"/>
  <c r="C108" i="6"/>
  <c r="C103" i="11"/>
  <c r="C112" i="11"/>
  <c r="C80" i="9"/>
  <c r="AC80" i="9" s="1"/>
  <c r="C109" i="9"/>
  <c r="C105" i="9"/>
  <c r="C101" i="7"/>
  <c r="C110" i="7"/>
  <c r="C104" i="9"/>
  <c r="C113" i="9"/>
  <c r="C97" i="7"/>
  <c r="C94" i="7"/>
  <c r="C101" i="9"/>
  <c r="C93" i="7"/>
  <c r="C113" i="7"/>
  <c r="C105" i="7"/>
  <c r="C95" i="9"/>
  <c r="C90" i="9"/>
  <c r="C97" i="9"/>
  <c r="C91" i="9"/>
  <c r="C92" i="9"/>
  <c r="C114" i="7"/>
  <c r="C116" i="7"/>
  <c r="C111" i="9"/>
  <c r="C116" i="9"/>
  <c r="C91" i="7"/>
  <c r="C108" i="7"/>
  <c r="C90" i="7"/>
  <c r="J21" i="14"/>
  <c r="J11" i="16" s="1"/>
  <c r="C115" i="9"/>
  <c r="C94" i="9"/>
  <c r="C112" i="7"/>
  <c r="C109" i="7"/>
  <c r="C108" i="9"/>
  <c r="C98" i="9"/>
  <c r="C93" i="9"/>
  <c r="C98" i="7"/>
  <c r="C88" i="9"/>
  <c r="C114" i="9"/>
  <c r="C107" i="7"/>
  <c r="C99" i="7"/>
  <c r="C89" i="9"/>
  <c r="C115" i="7"/>
  <c r="C103" i="9"/>
  <c r="C112" i="9"/>
  <c r="C102" i="7"/>
  <c r="C104" i="7"/>
  <c r="C89" i="7"/>
  <c r="D150" i="7"/>
  <c r="Q4" i="16" s="1"/>
  <c r="O150" i="9"/>
  <c r="S15" i="16" s="1"/>
  <c r="D150" i="11"/>
  <c r="U4" i="16" s="1"/>
  <c r="O150" i="7"/>
  <c r="Q15" i="16" s="1"/>
  <c r="C81" i="12"/>
  <c r="F82" i="9"/>
  <c r="F84" i="9" s="1"/>
  <c r="I7" i="14"/>
  <c r="I9" i="14" s="1"/>
  <c r="F10" i="16" s="1"/>
  <c r="I14" i="14"/>
  <c r="C84" i="12"/>
  <c r="C147" i="12"/>
  <c r="C146" i="12"/>
  <c r="O84" i="7"/>
  <c r="C147" i="9"/>
  <c r="D18" i="14"/>
  <c r="D19" i="14" s="1"/>
  <c r="I5" i="16" s="1"/>
  <c r="AC78" i="7"/>
  <c r="D7" i="14" s="1"/>
  <c r="D9" i="14" s="1"/>
  <c r="F5" i="16" s="1"/>
  <c r="C81" i="9"/>
  <c r="D82" i="9"/>
  <c r="AC79" i="13"/>
  <c r="J14" i="14"/>
  <c r="C148" i="13"/>
  <c r="C150" i="13" s="1"/>
  <c r="K11" i="16" s="1"/>
  <c r="D150" i="13"/>
  <c r="W4" i="16" s="1"/>
  <c r="C82" i="12"/>
  <c r="AC77" i="13"/>
  <c r="C12" i="13"/>
  <c r="C13" i="13" s="1"/>
  <c r="G11" i="16" s="1"/>
  <c r="D84" i="6"/>
  <c r="C82" i="6"/>
  <c r="C81" i="10"/>
  <c r="G7" i="14"/>
  <c r="G9" i="14" s="1"/>
  <c r="F8" i="16" s="1"/>
  <c r="E150" i="12"/>
  <c r="V5" i="16" s="1"/>
  <c r="F18" i="14"/>
  <c r="F19" i="14" s="1"/>
  <c r="I7" i="16" s="1"/>
  <c r="AC78" i="9"/>
  <c r="C147" i="11"/>
  <c r="C146" i="10"/>
  <c r="C150" i="10" s="1"/>
  <c r="K8" i="16" s="1"/>
  <c r="D14" i="14"/>
  <c r="D84" i="11"/>
  <c r="C84" i="11" s="1"/>
  <c r="C82" i="11"/>
  <c r="C146" i="9"/>
  <c r="D150" i="9"/>
  <c r="S4" i="16" s="1"/>
  <c r="C12" i="11"/>
  <c r="C13" i="11" s="1"/>
  <c r="G9" i="16" s="1"/>
  <c r="C147" i="6"/>
  <c r="C150" i="6" s="1"/>
  <c r="K4" i="16" s="1"/>
  <c r="C81" i="11"/>
  <c r="F14" i="14"/>
  <c r="E150" i="13"/>
  <c r="W5" i="16" s="1"/>
  <c r="C12" i="12"/>
  <c r="C13" i="12" s="1"/>
  <c r="G10" i="16" s="1"/>
  <c r="C12" i="10"/>
  <c r="C13" i="10" s="1"/>
  <c r="G8" i="16" s="1"/>
  <c r="D84" i="7"/>
  <c r="C82" i="7"/>
  <c r="C146" i="11"/>
  <c r="C18" i="14"/>
  <c r="C19" i="14" s="1"/>
  <c r="I4" i="16" s="1"/>
  <c r="AC78" i="6"/>
  <c r="C81" i="7"/>
  <c r="C147" i="7"/>
  <c r="C150" i="7" s="1"/>
  <c r="K5" i="16" s="1"/>
  <c r="H7" i="14"/>
  <c r="H9" i="14" s="1"/>
  <c r="F9" i="16" s="1"/>
  <c r="D84" i="13"/>
  <c r="C84" i="13" s="1"/>
  <c r="C82" i="13"/>
  <c r="C84" i="10"/>
  <c r="C12" i="7"/>
  <c r="C13" i="7" s="1"/>
  <c r="G5" i="16" s="1"/>
  <c r="D150" i="10"/>
  <c r="T4" i="16" s="1"/>
  <c r="C82" i="10"/>
  <c r="C12" i="6" l="1"/>
  <c r="C13" i="6" s="1"/>
  <c r="G4" i="16" s="1"/>
  <c r="C84" i="6"/>
  <c r="C21" i="14"/>
  <c r="J4" i="16" s="1"/>
  <c r="C7" i="14"/>
  <c r="C9" i="14" s="1"/>
  <c r="F4" i="16" s="1"/>
  <c r="G21" i="14"/>
  <c r="J8" i="16" s="1"/>
  <c r="I21" i="14"/>
  <c r="J10" i="16" s="1"/>
  <c r="C150" i="12"/>
  <c r="K10" i="16" s="1"/>
  <c r="H21" i="14"/>
  <c r="J9" i="16" s="1"/>
  <c r="F7" i="14"/>
  <c r="F9" i="14" s="1"/>
  <c r="F7" i="16" s="1"/>
  <c r="C12" i="9"/>
  <c r="C13" i="9" s="1"/>
  <c r="G7" i="16" s="1"/>
  <c r="F21" i="14"/>
  <c r="J7" i="16" s="1"/>
  <c r="D21" i="14"/>
  <c r="J5" i="16" s="1"/>
  <c r="C150" i="9"/>
  <c r="K7" i="16" s="1"/>
  <c r="C84" i="7"/>
  <c r="C150" i="11"/>
  <c r="K9" i="16" s="1"/>
  <c r="J7" i="14"/>
  <c r="J9" i="14" s="1"/>
  <c r="F11" i="16" s="1"/>
  <c r="D84" i="9"/>
  <c r="C84" i="9" s="1"/>
  <c r="C82" i="9"/>
</calcChain>
</file>

<file path=xl/sharedStrings.xml><?xml version="1.0" encoding="utf-8"?>
<sst xmlns="http://schemas.openxmlformats.org/spreadsheetml/2006/main" count="1631" uniqueCount="372">
  <si>
    <t>Run Number</t>
  </si>
  <si>
    <t>Run Objective</t>
  </si>
  <si>
    <t>What's New in V1.2 ? : • Automatic GC injection time check is implemented
                       • Automatic outlier highlighting for GC data</t>
  </si>
  <si>
    <t>Run Start Date</t>
  </si>
  <si>
    <t>Lab Notebook Reference</t>
  </si>
  <si>
    <t>Catalyst Loading Plan - Proposed and Actual Weights of Catalysts</t>
  </si>
  <si>
    <t>Physical Form Loaded</t>
  </si>
  <si>
    <t>Crushed and sieved, 355-212 microns</t>
  </si>
  <si>
    <t>R1</t>
  </si>
  <si>
    <t>Weight Loaded [mg]</t>
  </si>
  <si>
    <t>Actual Volume [mL]</t>
  </si>
  <si>
    <t>R2</t>
  </si>
  <si>
    <t>R3</t>
  </si>
  <si>
    <t>R4</t>
  </si>
  <si>
    <t>Catalyst ID</t>
  </si>
  <si>
    <t>Target</t>
  </si>
  <si>
    <t>Actual</t>
  </si>
  <si>
    <t>Top Bed</t>
  </si>
  <si>
    <t>Middle Bed</t>
  </si>
  <si>
    <t>Bottom Bed</t>
  </si>
  <si>
    <t>Total weight or volume</t>
  </si>
  <si>
    <t>Condensed Cat Description</t>
  </si>
  <si>
    <t>R5</t>
  </si>
  <si>
    <t>R6</t>
  </si>
  <si>
    <t>R7</t>
  </si>
  <si>
    <t>R8</t>
  </si>
  <si>
    <t>Total weight [mg]</t>
  </si>
  <si>
    <t>Target Feed Gas Composition</t>
  </si>
  <si>
    <t>Vacuum Criteria Checked and Met?</t>
  </si>
  <si>
    <t>Yes</t>
  </si>
  <si>
    <t>No</t>
  </si>
  <si>
    <t>Gas</t>
  </si>
  <si>
    <t>Hydrogen</t>
  </si>
  <si>
    <t>Ethylene</t>
  </si>
  <si>
    <t>Methane</t>
  </si>
  <si>
    <t>Ethane</t>
  </si>
  <si>
    <t>Nitrogen</t>
  </si>
  <si>
    <t>CO2</t>
  </si>
  <si>
    <t>CO</t>
  </si>
  <si>
    <t>Argon</t>
  </si>
  <si>
    <t>Mixed  gas</t>
  </si>
  <si>
    <t>Total mol%</t>
  </si>
  <si>
    <t>Total Flow</t>
  </si>
  <si>
    <t>Gas Density</t>
  </si>
  <si>
    <t>Total</t>
  </si>
  <si>
    <t>Used for GoR or GHSV Calc?</t>
  </si>
  <si>
    <t>Nl/h</t>
  </si>
  <si>
    <t>Condition-1 [mol%]</t>
  </si>
  <si>
    <t>Condition-2 [mol%]</t>
  </si>
  <si>
    <t>Condition-3 [mol%]</t>
  </si>
  <si>
    <t>Condition-4 [mol%]</t>
  </si>
  <si>
    <t>Condition-5 [mol%]</t>
  </si>
  <si>
    <t>Condition-6 [mol%]</t>
  </si>
  <si>
    <t>Mixed Gas Composition (If Mixed Gas is Used, Enter Composition Information)</t>
  </si>
  <si>
    <t>Component</t>
  </si>
  <si>
    <t>Acetylene</t>
  </si>
  <si>
    <t>Propylene</t>
  </si>
  <si>
    <t>Propane</t>
  </si>
  <si>
    <t>Concentration [mol%]</t>
  </si>
  <si>
    <t>Concentration [Mass %]</t>
  </si>
  <si>
    <t>Mol Wt</t>
  </si>
  <si>
    <t>g of Gas in 100 gmol of Gas</t>
  </si>
  <si>
    <t>Carbon [Mass%]</t>
  </si>
  <si>
    <t>Hydrogen [Mass%]</t>
  </si>
  <si>
    <t>Oxygen [Mass%]</t>
  </si>
  <si>
    <t>Nitrogen [Mass%]</t>
  </si>
  <si>
    <t>Carbon Contained in 100 kg Gas</t>
  </si>
  <si>
    <t>Hydrogen Contained in 100 kg Gas</t>
  </si>
  <si>
    <t>Oxygen Contained in 100 kg Gas</t>
  </si>
  <si>
    <t>Nitrogen Contained in 100 kg Gas</t>
  </si>
  <si>
    <t>Hydrocarbon/Solvent Feed ID</t>
  </si>
  <si>
    <t>B00003169001</t>
  </si>
  <si>
    <t>Feed Description</t>
  </si>
  <si>
    <t>Diesel (2nd stage), tol mixed</t>
  </si>
  <si>
    <t>Feed Analysis</t>
  </si>
  <si>
    <t>Property</t>
  </si>
  <si>
    <t>Value</t>
  </si>
  <si>
    <t>UoM</t>
  </si>
  <si>
    <t>Remarks</t>
  </si>
  <si>
    <t>Density</t>
  </si>
  <si>
    <t>g/mL</t>
  </si>
  <si>
    <t>At 15 deg. C.</t>
  </si>
  <si>
    <t>…</t>
  </si>
  <si>
    <t>Elemental Analysis - Main Constituents</t>
  </si>
  <si>
    <t>Element</t>
  </si>
  <si>
    <t>Carbon</t>
  </si>
  <si>
    <t>wt% MAF</t>
  </si>
  <si>
    <t>Non-normalized</t>
  </si>
  <si>
    <t>Oxygen</t>
  </si>
  <si>
    <t>Sulfur</t>
  </si>
  <si>
    <t>ppmw</t>
  </si>
  <si>
    <t>Elemental Analysis - Microconstitutents &amp; Other Analyses</t>
  </si>
  <si>
    <t>Chloride - total</t>
  </si>
  <si>
    <t>ppmw, Total</t>
  </si>
  <si>
    <t>Chloride - organic</t>
  </si>
  <si>
    <t>Chloride - inorganic</t>
  </si>
  <si>
    <t>Sodium</t>
  </si>
  <si>
    <t>Target Operating Condition Table</t>
  </si>
  <si>
    <t>Condition-1</t>
  </si>
  <si>
    <t>Condition-2</t>
  </si>
  <si>
    <t>Condition-3</t>
  </si>
  <si>
    <t>Condition-4</t>
  </si>
  <si>
    <t>Condition-5</t>
  </si>
  <si>
    <t>Condition-6</t>
  </si>
  <si>
    <t>Temperature Block-1</t>
  </si>
  <si>
    <t>°C</t>
  </si>
  <si>
    <t xml:space="preserve"> °C</t>
  </si>
  <si>
    <t>Temperature Block-2</t>
  </si>
  <si>
    <t>Pressure Block-1</t>
  </si>
  <si>
    <t>barg</t>
  </si>
  <si>
    <t xml:space="preserve"> barg</t>
  </si>
  <si>
    <t>Pressure Block-2</t>
  </si>
  <si>
    <t>Target Duration</t>
  </si>
  <si>
    <t>hours</t>
  </si>
  <si>
    <t>days</t>
  </si>
  <si>
    <t>LHSV1</t>
  </si>
  <si>
    <t>GoR2</t>
  </si>
  <si>
    <t>ml liq/ml cat.h</t>
  </si>
  <si>
    <t>Nl "active gas"/ml liq</t>
  </si>
  <si>
    <t>Calculation of Gas and Liquid Flow Rates Based on Target Operating Conditions3</t>
  </si>
  <si>
    <t>Liq [g/h]</t>
  </si>
  <si>
    <t>Gas [Nl/h]</t>
  </si>
  <si>
    <t>Total Flow Rate</t>
  </si>
  <si>
    <t>Condition and Sample Number</t>
  </si>
  <si>
    <t>Sample Collection Started</t>
  </si>
  <si>
    <t>Sample Collection Finished</t>
  </si>
  <si>
    <t>Duration of Sampling</t>
  </si>
  <si>
    <t>Average Time-on-Stream</t>
  </si>
  <si>
    <t>Mass of Liquid Feed Pumped into Each Reactor Over Sampling Duration</t>
  </si>
  <si>
    <t>02i2FIC01</t>
  </si>
  <si>
    <t>02i2FIC02</t>
  </si>
  <si>
    <t>02i2FIC03</t>
  </si>
  <si>
    <t>02i2FIC04</t>
  </si>
  <si>
    <t>02i2FIC05</t>
  </si>
  <si>
    <t>02i2FIC06</t>
  </si>
  <si>
    <t>02i2FIC07</t>
  </si>
  <si>
    <t>02i2FIC08</t>
  </si>
  <si>
    <t>Feed flow rate [g/h]</t>
  </si>
  <si>
    <t>Mass of Total Liquid Product (TLP) and Decanted Products (If Two Phases Were Seen)</t>
  </si>
  <si>
    <t xml:space="preserve">TLP Mass [g] </t>
  </si>
  <si>
    <t xml:space="preserve">Hydrocarbon (Top) Phase Mass [g] </t>
  </si>
  <si>
    <t xml:space="preserve">Aqueous (Bottom) Phase Mass [g] </t>
  </si>
  <si>
    <t xml:space="preserve">Decantation Loss [%] </t>
  </si>
  <si>
    <t>Elemental Analyses of Hydrocarbon Liquid Product</t>
  </si>
  <si>
    <t>Carbon [wt%]</t>
  </si>
  <si>
    <t>Hydrogen [wt%]</t>
  </si>
  <si>
    <t>Oxygen [wt%]</t>
  </si>
  <si>
    <t>Nitrogen [ppmw]</t>
  </si>
  <si>
    <t>Sulfur [ppmw]</t>
  </si>
  <si>
    <t>Any Other Bulk Analyses</t>
  </si>
  <si>
    <t>Density [g/mL]</t>
  </si>
  <si>
    <t>Monoaromatics by IP-391 [wt%]</t>
  </si>
  <si>
    <t>Diaromatics by IP-391 [wt%]</t>
  </si>
  <si>
    <t>Tri+aromatics by IP-391 [wt%]</t>
  </si>
  <si>
    <t>Flow Rate of Hydrocarbon and Aqueous Liquid Product from Each Reactor over Sampling Duration</t>
  </si>
  <si>
    <t>Hydrocarbon (Top) Phase Flow Rate [g/h]</t>
  </si>
  <si>
    <t>Aqueous (Bottom) Phase Flow Rate [g/h]</t>
  </si>
  <si>
    <t>Boiling Point, °C</t>
  </si>
  <si>
    <t>Mass Recovered, %</t>
  </si>
  <si>
    <t>SIMDIS Profile for TLP-Hydrocarbon Product</t>
  </si>
  <si>
    <t>Run</t>
  </si>
  <si>
    <t>Sample</t>
  </si>
  <si>
    <t>Feedstock</t>
  </si>
  <si>
    <t>DHA-PIONA Reactor-1 Hydrocarbon TLP</t>
  </si>
  <si>
    <t>DHA-PIONA Reactor-5 Hydrocarbon TLP</t>
  </si>
  <si>
    <t>Carbon Number</t>
  </si>
  <si>
    <t>n-Paraffins</t>
  </si>
  <si>
    <t>Isoparaffins</t>
  </si>
  <si>
    <t>Aromatics</t>
  </si>
  <si>
    <t>Naphthenes</t>
  </si>
  <si>
    <t>Olefins</t>
  </si>
  <si>
    <t>Oxygenates</t>
  </si>
  <si>
    <t>Total Unknowns</t>
  </si>
  <si>
    <t>Grand Total</t>
  </si>
  <si>
    <t>Unknowns</t>
  </si>
  <si>
    <t>DHA-PIONA Reactor-2 Hydrocarbon TLP</t>
  </si>
  <si>
    <t>DHA-PIONA Reactor-6 Hydrocarbon TLP</t>
  </si>
  <si>
    <t>DHA-PIONA Reactor-3 Hydrocarbon TLP</t>
  </si>
  <si>
    <t>DHA-PIONA Reactor-7 Hydrocarbon TLP</t>
  </si>
  <si>
    <t>DHA-PIONA Reactor-4 Hydrocarbon TLP</t>
  </si>
  <si>
    <t>DHA-PIONA Reactor-8 Hydrocarbon TLP</t>
  </si>
  <si>
    <t>Average of 01i14FI01</t>
  </si>
  <si>
    <t>Calculation of Average Gas Flow into Each Reactor Over Sampling Duration</t>
  </si>
  <si>
    <t>Gas Feed Flow Rate [NmL/h]</t>
  </si>
  <si>
    <t>C mass%</t>
  </si>
  <si>
    <t>H mass%</t>
  </si>
  <si>
    <t>O mass%</t>
  </si>
  <si>
    <t>N mass%</t>
  </si>
  <si>
    <t>Total Gas Feed Flow Rate [g/h]</t>
  </si>
  <si>
    <t>Flow Rate of H2 Contained [g/h] (Note 1)</t>
  </si>
  <si>
    <t>Flow Rate of C2H4 Contained [g/h] (Note 1)</t>
  </si>
  <si>
    <t>Flow Rate of CH4 Contained [g/h] (Note 1)</t>
  </si>
  <si>
    <t>Flow Rate of C2H6 Contained [g/h] (Note 1)</t>
  </si>
  <si>
    <t>Flow Rate of N2 Contained [g/h] (Note 1)</t>
  </si>
  <si>
    <t>Flow Rate of CO2 Contained [g/h] (Note 1)</t>
  </si>
  <si>
    <t>Flow Rate of CO Contained [g/h] (Note 1)</t>
  </si>
  <si>
    <t>Flow Rate of Ar Contained [g/h] (Note 1)</t>
  </si>
  <si>
    <t>Flow Rate of Mixed Gas Contained [g/h]</t>
  </si>
  <si>
    <t>Flow Rate of Elemental Carbon Contained [g/h]</t>
  </si>
  <si>
    <t>Flow Rate of Elemental Hydrogen Contained [g/h]</t>
  </si>
  <si>
    <t>Flow Rate of Elemental Oxygen Contained [g/h]</t>
  </si>
  <si>
    <t>Flow Rate of Elemental Nitrogen Contained [g/h]</t>
  </si>
  <si>
    <t>Flow Rate of Elemental Argon Contained [g/h]</t>
  </si>
  <si>
    <t>Total Flow Rate of Carbon Contained in Gas [g/h]</t>
  </si>
  <si>
    <t>Total Flow Rate of Hydrogen Contained in Gas [g/h]</t>
  </si>
  <si>
    <t>Total Flow Rate of Oxygen Contained in Gas [g/h]</t>
  </si>
  <si>
    <t>Total Flow Rate of Nitrogen Contained in Gas [g/h]</t>
  </si>
  <si>
    <t>Total Flow Rate of Argon Contained in Gas [g/h]</t>
  </si>
  <si>
    <t>Verified Feed Gas Composition for This Condition</t>
  </si>
  <si>
    <t>Concentration [mol %]</t>
  </si>
  <si>
    <t>Concentration [mass %]</t>
  </si>
  <si>
    <t>Calculating Mass %</t>
  </si>
  <si>
    <t>Average Ar Flow to Reactor</t>
  </si>
  <si>
    <t>GC injection time lies outside sampling duration - check!</t>
  </si>
  <si>
    <t>Flow Rate of Liquid Feed [g/h]</t>
  </si>
  <si>
    <t>Flow Rate of Gas Feed [g/h]</t>
  </si>
  <si>
    <t>(Without Ar)</t>
  </si>
  <si>
    <t>Flow Rate of HC TLP [g/h]</t>
  </si>
  <si>
    <t>Flow Rate of Aqueous TLP [g/h]</t>
  </si>
  <si>
    <t>Flow Rate of Gas Product [g/h]</t>
  </si>
  <si>
    <t>Mass Balance Closure [%]</t>
  </si>
  <si>
    <t>GC Analysis Rep Number for the Reactor</t>
  </si>
  <si>
    <t>Date and Time</t>
  </si>
  <si>
    <t>Cumulative Time Lapsed [min]</t>
  </si>
  <si>
    <t>Time Elapsed Between Two Reps [min]</t>
  </si>
  <si>
    <t>Normalized Mol%</t>
  </si>
  <si>
    <t>Butane</t>
  </si>
  <si>
    <t>Pentane</t>
  </si>
  <si>
    <t>C6s (Isomers of hexane?)</t>
  </si>
  <si>
    <t>Hexane</t>
  </si>
  <si>
    <t>C4</t>
  </si>
  <si>
    <t>C5</t>
  </si>
  <si>
    <t>C6</t>
  </si>
  <si>
    <t>C6 Above</t>
  </si>
  <si>
    <t>Benzene</t>
  </si>
  <si>
    <t>Toluene</t>
  </si>
  <si>
    <t>Ethylbenzene</t>
  </si>
  <si>
    <t>p-Xylene</t>
  </si>
  <si>
    <t>m-Xylene</t>
  </si>
  <si>
    <t>o-Xylene</t>
  </si>
  <si>
    <t>C6 Unknowns</t>
  </si>
  <si>
    <t>C8 Unknowns</t>
  </si>
  <si>
    <t>C7 Unknowns</t>
  </si>
  <si>
    <t>H2</t>
  </si>
  <si>
    <t>Isobutane</t>
  </si>
  <si>
    <t>N2</t>
  </si>
  <si>
    <t>Mass Flow Rates of Each Molecule</t>
  </si>
  <si>
    <t>Avg Flow Rate</t>
  </si>
  <si>
    <t>C" Mass Flow Rate (g/h)</t>
  </si>
  <si>
    <t>Number of "C' Atom</t>
  </si>
  <si>
    <t>Flow Rate of HC Gases [g/h]</t>
  </si>
  <si>
    <t>Flow Rate of COx Gases [g/h]</t>
  </si>
  <si>
    <t>Flow Rate of HC &amp; COx Gases [g/h]</t>
  </si>
  <si>
    <t>Total Volumetric Flow rate out [NL/h]</t>
  </si>
  <si>
    <t>Volumetric Flow Rates of Each Molecule</t>
  </si>
  <si>
    <t>TOS Carbon of Each Molecule</t>
  </si>
  <si>
    <t>Avg C' [g/h]</t>
  </si>
  <si>
    <t xml:space="preserve">TOS [min] ⇒ </t>
  </si>
  <si>
    <t xml:space="preserve">Methane </t>
  </si>
  <si>
    <t xml:space="preserve">Ethane </t>
  </si>
  <si>
    <t xml:space="preserve">Ethylene </t>
  </si>
  <si>
    <t xml:space="preserve">Propane </t>
  </si>
  <si>
    <t xml:space="preserve">Propylene </t>
  </si>
  <si>
    <t xml:space="preserve">Butane </t>
  </si>
  <si>
    <t xml:space="preserve">Pentane </t>
  </si>
  <si>
    <t xml:space="preserve">C6s (Isomers of hexane?) </t>
  </si>
  <si>
    <t xml:space="preserve">Hexane </t>
  </si>
  <si>
    <t xml:space="preserve">C4 </t>
  </si>
  <si>
    <t xml:space="preserve">C5 </t>
  </si>
  <si>
    <t xml:space="preserve">C6 </t>
  </si>
  <si>
    <t xml:space="preserve">C6 Above </t>
  </si>
  <si>
    <t xml:space="preserve">Benzene </t>
  </si>
  <si>
    <t xml:space="preserve">Toluene </t>
  </si>
  <si>
    <t xml:space="preserve">Ethylbenzene </t>
  </si>
  <si>
    <t xml:space="preserve">p-Xylene </t>
  </si>
  <si>
    <t xml:space="preserve">m-Xylene </t>
  </si>
  <si>
    <t xml:space="preserve">o-Xylene </t>
  </si>
  <si>
    <t xml:space="preserve">C6 Unknowns </t>
  </si>
  <si>
    <t xml:space="preserve">C8 Unknowns </t>
  </si>
  <si>
    <t xml:space="preserve">C7 Unknowns </t>
  </si>
  <si>
    <t xml:space="preserve">CO2 </t>
  </si>
  <si>
    <t xml:space="preserve">Argon </t>
  </si>
  <si>
    <t xml:space="preserve">CO </t>
  </si>
  <si>
    <t xml:space="preserve">H2 </t>
  </si>
  <si>
    <t xml:space="preserve">Acetylene </t>
  </si>
  <si>
    <t xml:space="preserve">Isobutane </t>
  </si>
  <si>
    <t xml:space="preserve">N2 </t>
  </si>
  <si>
    <t>MW</t>
  </si>
  <si>
    <t>C2H2</t>
  </si>
  <si>
    <t>C' in liq. Feed [g/h]</t>
  </si>
  <si>
    <t xml:space="preserve">Acetylene wt% in MixGas feed </t>
  </si>
  <si>
    <t>Feed Gas composition in gas mix [mol%]</t>
  </si>
  <si>
    <t>C' in gas Feed [g/h]</t>
  </si>
  <si>
    <t xml:space="preserve">Acetylene wt% in GasMix feed </t>
  </si>
  <si>
    <t>Gas Mix Density [kg/m3]</t>
  </si>
  <si>
    <t>C' wt fraction in Acetylene</t>
  </si>
  <si>
    <t>fMW</t>
  </si>
  <si>
    <t>C' in liq.Product [g/h]</t>
  </si>
  <si>
    <t>C' wt% in gas mix from C2H2</t>
  </si>
  <si>
    <t>C' in Gas Product [g/h]</t>
  </si>
  <si>
    <t>C' in Feed (g/h) from C2H2</t>
  </si>
  <si>
    <t>Acetylene mass flow rate in feed (g/h)</t>
  </si>
  <si>
    <t>Carbon Balance</t>
  </si>
  <si>
    <t>C4+ in Liquid Feed [g/h]</t>
  </si>
  <si>
    <t>C4+ in Liquid Product [g/h]</t>
  </si>
  <si>
    <t>C4+ in Gas Feed [g/h]</t>
  </si>
  <si>
    <t xml:space="preserve">Methane wt% in MixGas feed </t>
  </si>
  <si>
    <t>C4+ in Gas Product [g/h]</t>
  </si>
  <si>
    <t xml:space="preserve">Methane wt% in GasMix feed </t>
  </si>
  <si>
    <t>C4+ Yeild %</t>
  </si>
  <si>
    <t>C' wt fraction in Methane</t>
  </si>
  <si>
    <t>C' wt% in gas mix from CH4</t>
  </si>
  <si>
    <t>Acetylene in [g/h]</t>
  </si>
  <si>
    <t>C' in Feed (g/h) from CH4</t>
  </si>
  <si>
    <t>Acetylen Out [g/h]</t>
  </si>
  <si>
    <t>Methane mass flow rate in feed (g/h)</t>
  </si>
  <si>
    <t>Acetylene Conversion %</t>
  </si>
  <si>
    <t>Ethylene to Ethane Selectivity [mol/mol]</t>
  </si>
  <si>
    <t xml:space="preserve">Ethane wt% in MixGas feed </t>
  </si>
  <si>
    <t>Ethylene Selectivity %</t>
  </si>
  <si>
    <t xml:space="preserve">Ethane wt% in GasMix feed </t>
  </si>
  <si>
    <t>C' wt fraction in Ethane</t>
  </si>
  <si>
    <t>C' wt% in gas mix from C2H6</t>
  </si>
  <si>
    <t>C' in Feed (g/h) from C2H6</t>
  </si>
  <si>
    <t>Ethane mass flow rate in feed (g/h)</t>
  </si>
  <si>
    <t xml:space="preserve">Ethylene wt% in MixGas feed </t>
  </si>
  <si>
    <t xml:space="preserve">Ethylene wt% in GasMix feed </t>
  </si>
  <si>
    <t>C' wt fraction in Ethylene</t>
  </si>
  <si>
    <t>C' wt% in gas mix from C2H4</t>
  </si>
  <si>
    <t>C' in Feed (g/h) from C2H4</t>
  </si>
  <si>
    <t>Ethylene mass flow rate in feed (g/h)</t>
  </si>
  <si>
    <t>C' in liq.Product wt%</t>
  </si>
  <si>
    <t>→ Considering liq.pdt contains only hexadecane</t>
  </si>
  <si>
    <t>Total 'C' in liq. Pdt (g)</t>
  </si>
  <si>
    <t>Total 'C' in liq. Pdt (g/h)</t>
  </si>
  <si>
    <t>Rep-1</t>
  </si>
  <si>
    <t>Rep-2</t>
  </si>
  <si>
    <t>Rep-3</t>
  </si>
  <si>
    <t>ZMB Run Start Date</t>
  </si>
  <si>
    <t xml:space="preserve">TL Collected Mass [g] </t>
  </si>
  <si>
    <t xml:space="preserve"> Liq. Flow Rate Mass [g/h] </t>
  </si>
  <si>
    <t>Varified Liq. Flow Rate Mass [g/h]</t>
  </si>
  <si>
    <t>GC Analysis Rep Number for the Reactor-1</t>
  </si>
  <si>
    <t>Avg</t>
  </si>
  <si>
    <t>wt%</t>
  </si>
  <si>
    <t>GC Analysis Rep Number for the Reactor-2</t>
  </si>
  <si>
    <t>GC Analysis Rep Number for the Reactor-3</t>
  </si>
  <si>
    <t>GC Analysis Rep Number for the Reactor-4</t>
  </si>
  <si>
    <t>GC Analysis Rep Number for the Reactor-5</t>
  </si>
  <si>
    <t>GC Analysis Rep Number for the Reactor-6</t>
  </si>
  <si>
    <t>GC Analysis Rep Number for the Reactor-7</t>
  </si>
  <si>
    <t>GC Analysis Rep Number for the Reactor-8</t>
  </si>
  <si>
    <t>GC Analysis Rep Number for Bypass</t>
  </si>
  <si>
    <t>Gas Phase C'Bal by TOS</t>
  </si>
  <si>
    <t>Sampled_reactor</t>
  </si>
  <si>
    <t>C'Bal</t>
  </si>
  <si>
    <t>M'Bal</t>
  </si>
  <si>
    <t>TOS_h</t>
  </si>
  <si>
    <t>Ac%Conv</t>
  </si>
  <si>
    <t>Ethy_%Sel</t>
  </si>
  <si>
    <t>C'Bal_g</t>
  </si>
  <si>
    <t>C17+%Yeild</t>
  </si>
  <si>
    <t>Index</t>
  </si>
  <si>
    <t>Acetylene Conversion by TOS</t>
  </si>
  <si>
    <t>R6-C1-S1</t>
  </si>
  <si>
    <t>Ni2CBV-3014</t>
  </si>
  <si>
    <t>Ni5CBV-3014</t>
  </si>
  <si>
    <t>Cu5CBV500</t>
  </si>
  <si>
    <t>alpha-Alumina</t>
  </si>
  <si>
    <t>Cu5CBV720</t>
  </si>
  <si>
    <t>Ni5CBV500</t>
  </si>
  <si>
    <t>C1-S1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</si>
</sst>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164" formatCode="General&quot; mg&quot;"/>
    <numFmt numFmtId="165" formatCode="0.00&quot; mL&quot;"/>
    <numFmt numFmtId="166" formatCode="0.0"/>
    <numFmt numFmtId="167" formatCode="General\ &quot;h&quot;"/>
    <numFmt numFmtId="168" formatCode="General\ &quot;min&quot;"/>
    <numFmt numFmtId="169" formatCode="&quot;  &quot;General"/>
    <numFmt numFmtId="170" formatCode="General&quot; (FBP)&quot;"/>
    <numFmt numFmtId="171" formatCode="0.0\ &quot;wt%&quot;"/>
    <numFmt numFmtId="172" formatCode="General\ &quot;(IBP)&quot;"/>
    <numFmt numFmtId="173" formatCode="0.0000"/>
    <numFmt numFmtId="174" formatCode="0.00000"/>
    <numFmt numFmtId="175" formatCode="0.000"/>
    <numFmt numFmtId="176" formatCode="0.000\ &quot;g/h&quot;"/>
    <numFmt numFmtId="177" formatCode="0.0000000"/>
    <numFmt numFmtId="178" formatCode="[$-409]m/d/yy\ h:mm\ AM/PM;@"/>
    <numFmt numFmtId="179" formatCode="00.00\ &quot;h&quot;"/>
    <numFmt numFmtId="180" formatCode="m/d/yyyy\ h:mm\ AM/PM"/>
    <numFmt numFmtId="181" formatCode="0.0\ &quot;min&quot;"/>
    <numFmt numFmtId="182" formatCode="0.00\ &quot;h&quot;"/>
  </numFmts>
  <fonts count="2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1"/>
      <name val="Arial"/>
      <family val="2"/>
    </font>
    <font>
      <b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8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FF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 tint="0.249977111117893"/>
      <name val="Arial"/>
      <family val="2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C000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2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2" fillId="2" borderId="6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vertical="center"/>
    </xf>
    <xf numFmtId="0" fontId="1" fillId="0" borderId="1" xfId="0" applyFont="1" applyBorder="1" applyAlignment="1" applyProtection="1">
      <alignment horizontal="right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right" vertical="center"/>
      <protection locked="0"/>
    </xf>
    <xf numFmtId="166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vertical="center" wrapText="1"/>
    </xf>
    <xf numFmtId="167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169" fontId="1" fillId="0" borderId="4" xfId="0" applyNumberFormat="1" applyFont="1" applyBorder="1" applyAlignment="1" applyProtection="1">
      <alignment horizontal="center" vertical="center"/>
      <protection locked="0"/>
    </xf>
    <xf numFmtId="169" fontId="1" fillId="0" borderId="5" xfId="0" applyNumberFormat="1" applyFont="1" applyBorder="1" applyAlignment="1" applyProtection="1">
      <alignment horizontal="center" vertical="center"/>
      <protection locked="0"/>
    </xf>
    <xf numFmtId="169" fontId="1" fillId="0" borderId="3" xfId="0" applyNumberFormat="1" applyFont="1" applyBorder="1" applyAlignment="1">
      <alignment horizontal="left" vertical="center"/>
    </xf>
    <xf numFmtId="170" fontId="1" fillId="0" borderId="0" xfId="0" applyNumberFormat="1" applyFont="1" applyAlignment="1">
      <alignment horizontal="center" vertical="center"/>
    </xf>
    <xf numFmtId="170" fontId="1" fillId="0" borderId="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0" xfId="0" applyFont="1" applyAlignment="1">
      <alignment vertical="top"/>
    </xf>
    <xf numFmtId="171" fontId="5" fillId="0" borderId="0" xfId="0" applyNumberFormat="1" applyFont="1" applyAlignment="1">
      <alignment vertical="top"/>
    </xf>
    <xf numFmtId="0" fontId="6" fillId="0" borderId="0" xfId="0" applyFont="1" applyAlignment="1">
      <alignment horizontal="right" vertical="top"/>
    </xf>
    <xf numFmtId="0" fontId="5" fillId="0" borderId="9" xfId="0" applyFont="1" applyBorder="1" applyAlignment="1">
      <alignment vertical="top"/>
    </xf>
    <xf numFmtId="0" fontId="1" fillId="0" borderId="0" xfId="0" applyFont="1"/>
    <xf numFmtId="0" fontId="1" fillId="0" borderId="9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172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171" fontId="1" fillId="0" borderId="12" xfId="0" applyNumberFormat="1" applyFont="1" applyBorder="1" applyAlignment="1">
      <alignment vertical="top"/>
    </xf>
    <xf numFmtId="0" fontId="2" fillId="0" borderId="12" xfId="0" applyFont="1" applyBorder="1" applyAlignment="1">
      <alignment horizontal="right" vertical="top"/>
    </xf>
    <xf numFmtId="0" fontId="1" fillId="0" borderId="13" xfId="0" applyFont="1" applyBorder="1"/>
    <xf numFmtId="0" fontId="1" fillId="0" borderId="14" xfId="0" applyFont="1" applyBorder="1"/>
    <xf numFmtId="0" fontId="1" fillId="0" borderId="9" xfId="0" applyFont="1" applyBorder="1"/>
    <xf numFmtId="0" fontId="1" fillId="0" borderId="14" xfId="0" applyFont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2" fontId="1" fillId="2" borderId="3" xfId="0" applyNumberFormat="1" applyFont="1" applyFill="1" applyBorder="1" applyAlignment="1" applyProtection="1">
      <alignment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0" fontId="2" fillId="2" borderId="18" xfId="0" applyFont="1" applyFill="1" applyBorder="1" applyAlignment="1">
      <alignment horizontal="right" vertical="center"/>
    </xf>
    <xf numFmtId="2" fontId="1" fillId="2" borderId="19" xfId="0" applyNumberFormat="1" applyFont="1" applyFill="1" applyBorder="1" applyAlignment="1" applyProtection="1">
      <alignment vertical="center"/>
      <protection locked="0"/>
    </xf>
    <xf numFmtId="0" fontId="1" fillId="0" borderId="15" xfId="0" applyFont="1" applyBorder="1"/>
    <xf numFmtId="1" fontId="1" fillId="0" borderId="16" xfId="0" applyNumberFormat="1" applyFont="1" applyBorder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173" fontId="1" fillId="0" borderId="1" xfId="0" applyNumberFormat="1" applyFont="1" applyBorder="1" applyAlignment="1" applyProtection="1">
      <alignment horizontal="center" vertical="center"/>
      <protection locked="0"/>
    </xf>
    <xf numFmtId="174" fontId="1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2" fontId="1" fillId="0" borderId="3" xfId="0" applyNumberFormat="1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73" fontId="1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16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5" fontId="1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5" fontId="1" fillId="0" borderId="1" xfId="0" applyNumberFormat="1" applyFont="1" applyBorder="1" applyAlignment="1" applyProtection="1">
      <alignment horizontal="center" vertical="center"/>
      <protection locked="0"/>
    </xf>
    <xf numFmtId="175" fontId="1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right" vertical="center"/>
    </xf>
    <xf numFmtId="174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 applyProtection="1">
      <alignment horizontal="center" vertical="center"/>
      <protection locked="0"/>
    </xf>
    <xf numFmtId="176" fontId="1" fillId="4" borderId="4" xfId="0" applyNumberFormat="1" applyFont="1" applyFill="1" applyBorder="1" applyAlignment="1" applyProtection="1">
      <alignment horizontal="center" vertical="center"/>
      <protection locked="0"/>
    </xf>
    <xf numFmtId="2" fontId="1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175" fontId="3" fillId="0" borderId="0" xfId="0" applyNumberFormat="1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 applyProtection="1">
      <alignment horizontal="center" vertical="center"/>
      <protection locked="0"/>
    </xf>
    <xf numFmtId="2" fontId="3" fillId="0" borderId="1" xfId="0" applyNumberFormat="1" applyFont="1" applyBorder="1" applyAlignment="1">
      <alignment horizontal="center" vertical="center"/>
    </xf>
    <xf numFmtId="22" fontId="1" fillId="4" borderId="1" xfId="0" applyNumberFormat="1" applyFont="1" applyFill="1" applyBorder="1" applyAlignment="1" applyProtection="1">
      <alignment horizontal="center" vertical="center"/>
      <protection locked="0"/>
    </xf>
    <xf numFmtId="173" fontId="1" fillId="4" borderId="1" xfId="0" applyNumberFormat="1" applyFont="1" applyFill="1" applyBorder="1" applyAlignment="1" applyProtection="1">
      <alignment horizontal="center" vertical="center"/>
      <protection locked="0"/>
    </xf>
    <xf numFmtId="175" fontId="1" fillId="4" borderId="1" xfId="0" applyNumberFormat="1" applyFont="1" applyFill="1" applyBorder="1" applyAlignment="1" applyProtection="1">
      <alignment horizontal="center" vertical="center"/>
      <protection locked="0"/>
    </xf>
    <xf numFmtId="166" fontId="1" fillId="4" borderId="1" xfId="0" applyNumberFormat="1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right" vertical="center"/>
      <protection locked="0"/>
    </xf>
    <xf numFmtId="0" fontId="2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2" fillId="2" borderId="20" xfId="0" applyFont="1" applyFill="1" applyBorder="1" applyAlignment="1">
      <alignment horizontal="right" vertical="center"/>
    </xf>
    <xf numFmtId="175" fontId="1" fillId="4" borderId="3" xfId="0" applyNumberFormat="1" applyFont="1" applyFill="1" applyBorder="1" applyAlignment="1" applyProtection="1">
      <alignment horizontal="center" vertical="center"/>
      <protection locked="0"/>
    </xf>
    <xf numFmtId="1" fontId="1" fillId="4" borderId="1" xfId="0" applyNumberFormat="1" applyFont="1" applyFill="1" applyBorder="1" applyAlignment="1" applyProtection="1">
      <alignment horizontal="center" vertical="center"/>
      <protection locked="0"/>
    </xf>
    <xf numFmtId="1" fontId="1" fillId="4" borderId="1" xfId="0" applyNumberFormat="1" applyFont="1" applyFill="1" applyBorder="1" applyAlignment="1" applyProtection="1">
      <alignment horizontal="right" vertical="center"/>
      <protection locked="0"/>
    </xf>
    <xf numFmtId="1" fontId="1" fillId="4" borderId="4" xfId="0" applyNumberFormat="1" applyFont="1" applyFill="1" applyBorder="1" applyAlignment="1" applyProtection="1">
      <alignment horizontal="right" vertical="center"/>
      <protection locked="0"/>
    </xf>
    <xf numFmtId="1" fontId="1" fillId="4" borderId="3" xfId="0" applyNumberFormat="1" applyFont="1" applyFill="1" applyBorder="1" applyAlignment="1" applyProtection="1">
      <alignment horizontal="right" vertical="center"/>
      <protection locked="0"/>
    </xf>
    <xf numFmtId="0" fontId="1" fillId="0" borderId="4" xfId="0" applyFont="1" applyBorder="1" applyAlignment="1">
      <alignment horizontal="left" vertical="center"/>
    </xf>
    <xf numFmtId="166" fontId="1" fillId="4" borderId="3" xfId="0" applyNumberFormat="1" applyFont="1" applyFill="1" applyBorder="1" applyAlignment="1" applyProtection="1">
      <alignment horizontal="right" vertical="center"/>
      <protection locked="0"/>
    </xf>
    <xf numFmtId="166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22" fontId="0" fillId="0" borderId="0" xfId="0" applyNumberFormat="1"/>
    <xf numFmtId="0" fontId="1" fillId="0" borderId="1" xfId="0" applyFont="1" applyBorder="1" applyAlignment="1">
      <alignment vertical="center"/>
    </xf>
    <xf numFmtId="166" fontId="2" fillId="2" borderId="1" xfId="0" applyNumberFormat="1" applyFont="1" applyFill="1" applyBorder="1" applyAlignment="1">
      <alignment horizontal="right" vertical="center"/>
    </xf>
    <xf numFmtId="1" fontId="1" fillId="0" borderId="1" xfId="0" applyNumberFormat="1" applyFont="1" applyBorder="1" applyAlignment="1">
      <alignment vertical="center"/>
    </xf>
    <xf numFmtId="169" fontId="1" fillId="0" borderId="0" xfId="0" applyNumberFormat="1" applyFont="1" applyAlignment="1" applyProtection="1">
      <alignment horizontal="center" vertical="center"/>
      <protection locked="0"/>
    </xf>
    <xf numFmtId="22" fontId="16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 applyProtection="1">
      <alignment horizontal="right" vertical="center"/>
      <protection locked="0"/>
    </xf>
    <xf numFmtId="22" fontId="1" fillId="0" borderId="3" xfId="0" applyNumberFormat="1" applyFont="1" applyBorder="1" applyAlignment="1" applyProtection="1">
      <alignment horizontal="center" vertical="center"/>
      <protection locked="0"/>
    </xf>
    <xf numFmtId="1" fontId="1" fillId="0" borderId="3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vertical="center"/>
    </xf>
    <xf numFmtId="1" fontId="1" fillId="0" borderId="4" xfId="0" applyNumberFormat="1" applyFont="1" applyBorder="1" applyAlignment="1">
      <alignment horizontal="right" vertical="center"/>
    </xf>
    <xf numFmtId="175" fontId="1" fillId="4" borderId="4" xfId="0" applyNumberFormat="1" applyFont="1" applyFill="1" applyBorder="1" applyAlignment="1" applyProtection="1">
      <alignment horizontal="center" vertical="center"/>
      <protection locked="0"/>
    </xf>
    <xf numFmtId="1" fontId="1" fillId="0" borderId="2" xfId="0" applyNumberFormat="1" applyFont="1" applyBorder="1" applyAlignment="1" applyProtection="1">
      <alignment horizontal="right" vertical="center"/>
      <protection locked="0"/>
    </xf>
    <xf numFmtId="22" fontId="1" fillId="0" borderId="21" xfId="0" applyNumberFormat="1" applyFont="1" applyBorder="1" applyAlignment="1" applyProtection="1">
      <alignment horizontal="center" vertical="center"/>
      <protection locked="0"/>
    </xf>
    <xf numFmtId="1" fontId="1" fillId="0" borderId="21" xfId="0" applyNumberFormat="1" applyFont="1" applyBorder="1" applyAlignment="1">
      <alignment vertical="center"/>
    </xf>
    <xf numFmtId="1" fontId="1" fillId="0" borderId="21" xfId="0" applyNumberFormat="1" applyFont="1" applyBorder="1" applyAlignment="1">
      <alignment horizontal="right" vertical="center"/>
    </xf>
    <xf numFmtId="0" fontId="2" fillId="0" borderId="21" xfId="0" applyFont="1" applyBorder="1" applyAlignment="1">
      <alignment horizontal="center" vertical="center"/>
    </xf>
    <xf numFmtId="175" fontId="1" fillId="0" borderId="21" xfId="0" applyNumberFormat="1" applyFont="1" applyBorder="1" applyAlignment="1" applyProtection="1">
      <alignment horizontal="center" vertical="center"/>
      <protection locked="0"/>
    </xf>
    <xf numFmtId="175" fontId="1" fillId="0" borderId="10" xfId="0" applyNumberFormat="1" applyFont="1" applyBorder="1" applyAlignment="1" applyProtection="1">
      <alignment horizontal="center" vertical="center"/>
      <protection locked="0"/>
    </xf>
    <xf numFmtId="176" fontId="1" fillId="0" borderId="4" xfId="0" applyNumberFormat="1" applyFont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178" fontId="1" fillId="4" borderId="4" xfId="0" applyNumberFormat="1" applyFont="1" applyFill="1" applyBorder="1" applyAlignment="1" applyProtection="1">
      <alignment horizontal="center" vertical="center"/>
      <protection locked="0"/>
    </xf>
    <xf numFmtId="178" fontId="1" fillId="4" borderId="1" xfId="0" applyNumberFormat="1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vertical="center"/>
    </xf>
    <xf numFmtId="2" fontId="1" fillId="4" borderId="4" xfId="0" applyNumberFormat="1" applyFont="1" applyFill="1" applyBorder="1" applyAlignment="1" applyProtection="1">
      <alignment horizontal="right" vertical="center"/>
      <protection locked="0"/>
    </xf>
    <xf numFmtId="2" fontId="1" fillId="4" borderId="1" xfId="0" applyNumberFormat="1" applyFont="1" applyFill="1" applyBorder="1" applyAlignment="1" applyProtection="1">
      <alignment horizontal="right" vertical="center"/>
      <protection locked="0"/>
    </xf>
    <xf numFmtId="22" fontId="0" fillId="6" borderId="23" xfId="0" applyNumberFormat="1" applyFill="1" applyBorder="1" applyProtection="1">
      <protection locked="0"/>
    </xf>
    <xf numFmtId="22" fontId="0" fillId="0" borderId="23" xfId="0" applyNumberFormat="1" applyBorder="1" applyProtection="1">
      <protection locked="0"/>
    </xf>
    <xf numFmtId="0" fontId="0" fillId="0" borderId="0" xfId="0" applyAlignment="1">
      <alignment vertical="center" wrapText="1"/>
    </xf>
    <xf numFmtId="173" fontId="1" fillId="4" borderId="24" xfId="0" applyNumberFormat="1" applyFont="1" applyFill="1" applyBorder="1" applyAlignment="1" applyProtection="1">
      <alignment horizontal="center" vertical="center"/>
      <protection locked="0"/>
    </xf>
    <xf numFmtId="2" fontId="1" fillId="4" borderId="24" xfId="0" applyNumberFormat="1" applyFont="1" applyFill="1" applyBorder="1" applyAlignment="1" applyProtection="1">
      <alignment horizontal="center" vertical="center"/>
      <protection locked="0"/>
    </xf>
    <xf numFmtId="166" fontId="1" fillId="4" borderId="24" xfId="0" applyNumberFormat="1" applyFont="1" applyFill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 applyProtection="1">
      <alignment horizontal="center" vertical="center"/>
      <protection locked="0"/>
    </xf>
    <xf numFmtId="0" fontId="18" fillId="4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 vertical="center" indent="1"/>
    </xf>
    <xf numFmtId="179" fontId="1" fillId="0" borderId="1" xfId="0" applyNumberFormat="1" applyFont="1" applyBorder="1" applyAlignment="1">
      <alignment horizontal="left" vertical="center" indent="3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 applyProtection="1">
      <alignment horizontal="center" vertical="center"/>
      <protection locked="0"/>
    </xf>
    <xf numFmtId="180" fontId="1" fillId="0" borderId="1" xfId="0" applyNumberFormat="1" applyFont="1" applyBorder="1" applyAlignment="1">
      <alignment horizontal="center" vertical="center"/>
    </xf>
    <xf numFmtId="180" fontId="1" fillId="4" borderId="1" xfId="0" applyNumberFormat="1" applyFont="1" applyFill="1" applyBorder="1" applyAlignment="1" applyProtection="1">
      <alignment horizontal="center" vertical="center"/>
      <protection locked="0"/>
    </xf>
    <xf numFmtId="178" fontId="8" fillId="0" borderId="0" xfId="0" applyNumberFormat="1" applyFont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75" fontId="8" fillId="0" borderId="0" xfId="0" applyNumberFormat="1" applyFont="1" applyAlignment="1">
      <alignment vertical="center"/>
    </xf>
    <xf numFmtId="2" fontId="1" fillId="4" borderId="4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66" fontId="8" fillId="0" borderId="0" xfId="0" applyNumberFormat="1" applyFont="1" applyAlignment="1">
      <alignment vertical="center"/>
    </xf>
    <xf numFmtId="1" fontId="8" fillId="0" borderId="0" xfId="0" applyNumberFormat="1" applyFont="1" applyAlignment="1">
      <alignment vertical="center"/>
    </xf>
    <xf numFmtId="174" fontId="8" fillId="0" borderId="0" xfId="0" applyNumberFormat="1" applyFont="1" applyAlignment="1">
      <alignment vertical="center"/>
    </xf>
    <xf numFmtId="0" fontId="22" fillId="0" borderId="27" xfId="0" applyFont="1" applyBorder="1" applyAlignment="1" applyProtection="1">
      <alignment horizontal="left" vertical="center" wrapText="1"/>
      <protection locked="0"/>
    </xf>
    <xf numFmtId="0" fontId="23" fillId="0" borderId="27" xfId="0" applyFont="1" applyBorder="1" applyAlignment="1" applyProtection="1">
      <alignment vertical="center" wrapText="1"/>
      <protection locked="0"/>
    </xf>
    <xf numFmtId="180" fontId="22" fillId="0" borderId="27" xfId="0" applyNumberFormat="1" applyFont="1" applyBorder="1" applyAlignment="1" applyProtection="1">
      <alignment horizontal="left" vertical="center" wrapText="1"/>
      <protection locked="0"/>
    </xf>
    <xf numFmtId="175" fontId="0" fillId="0" borderId="28" xfId="0" applyNumberFormat="1" applyBorder="1"/>
    <xf numFmtId="166" fontId="0" fillId="0" borderId="28" xfId="0" applyNumberFormat="1" applyBorder="1"/>
    <xf numFmtId="0" fontId="0" fillId="0" borderId="28" xfId="0" applyBorder="1"/>
    <xf numFmtId="173" fontId="0" fillId="0" borderId="28" xfId="0" applyNumberFormat="1" applyBorder="1"/>
    <xf numFmtId="0" fontId="2" fillId="2" borderId="0" xfId="0" applyFont="1" applyFill="1" applyAlignment="1">
      <alignment horizontal="right" vertical="center"/>
    </xf>
    <xf numFmtId="2" fontId="0" fillId="0" borderId="28" xfId="0" applyNumberFormat="1" applyBorder="1"/>
    <xf numFmtId="174" fontId="0" fillId="0" borderId="28" xfId="0" applyNumberFormat="1" applyBorder="1"/>
    <xf numFmtId="0" fontId="2" fillId="2" borderId="28" xfId="0" applyFont="1" applyFill="1" applyBorder="1" applyAlignment="1">
      <alignment horizontal="center" vertical="center"/>
    </xf>
    <xf numFmtId="0" fontId="20" fillId="0" borderId="0" xfId="0" quotePrefix="1" applyFont="1" applyAlignment="1">
      <alignment vertical="center"/>
    </xf>
    <xf numFmtId="0" fontId="20" fillId="0" borderId="0" xfId="0" applyFont="1" applyAlignment="1">
      <alignment vertical="center"/>
    </xf>
    <xf numFmtId="174" fontId="20" fillId="0" borderId="0" xfId="0" applyNumberFormat="1" applyFont="1" applyAlignment="1">
      <alignment vertical="center"/>
    </xf>
    <xf numFmtId="1" fontId="20" fillId="0" borderId="0" xfId="0" applyNumberFormat="1" applyFont="1" applyAlignment="1">
      <alignment vertical="center"/>
    </xf>
    <xf numFmtId="0" fontId="8" fillId="0" borderId="0" xfId="0" quotePrefix="1" applyFont="1" applyAlignment="1">
      <alignment vertical="center"/>
    </xf>
    <xf numFmtId="175" fontId="0" fillId="0" borderId="28" xfId="0" applyNumberFormat="1" applyBorder="1" applyProtection="1">
      <protection locked="0"/>
    </xf>
    <xf numFmtId="0" fontId="24" fillId="0" borderId="0" xfId="0" applyFont="1" applyAlignment="1">
      <alignment horizontal="right"/>
    </xf>
    <xf numFmtId="0" fontId="24" fillId="0" borderId="0" xfId="0" applyFont="1"/>
    <xf numFmtId="0" fontId="19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173" fontId="1" fillId="4" borderId="1" xfId="0" applyNumberFormat="1" applyFont="1" applyFill="1" applyBorder="1" applyAlignment="1">
      <alignment horizontal="center" vertical="center"/>
    </xf>
    <xf numFmtId="0" fontId="0" fillId="0" borderId="29" xfId="0" applyBorder="1"/>
    <xf numFmtId="175" fontId="1" fillId="0" borderId="18" xfId="0" applyNumberFormat="1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5" fontId="8" fillId="0" borderId="1" xfId="0" applyNumberFormat="1" applyFont="1" applyBorder="1" applyAlignment="1" applyProtection="1">
      <alignment horizontal="center" vertical="center"/>
      <protection locked="0"/>
    </xf>
    <xf numFmtId="166" fontId="2" fillId="2" borderId="3" xfId="0" applyNumberFormat="1" applyFont="1" applyFill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169" fontId="1" fillId="0" borderId="5" xfId="0" applyNumberFormat="1" applyFont="1" applyBorder="1" applyAlignment="1">
      <alignment horizontal="left" vertical="center"/>
    </xf>
    <xf numFmtId="22" fontId="1" fillId="0" borderId="4" xfId="0" applyNumberFormat="1" applyFont="1" applyBorder="1" applyAlignment="1">
      <alignment horizontal="center" vertical="center"/>
    </xf>
    <xf numFmtId="22" fontId="1" fillId="0" borderId="5" xfId="0" applyNumberFormat="1" applyFont="1" applyBorder="1" applyAlignment="1">
      <alignment horizontal="center" vertical="center"/>
    </xf>
    <xf numFmtId="173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" fontId="1" fillId="0" borderId="22" xfId="0" applyNumberFormat="1" applyFont="1" applyBorder="1" applyAlignment="1" applyProtection="1">
      <alignment horizontal="right" vertical="center"/>
      <protection locked="0"/>
    </xf>
    <xf numFmtId="22" fontId="1" fillId="0" borderId="18" xfId="0" applyNumberFormat="1" applyFont="1" applyBorder="1" applyAlignment="1" applyProtection="1">
      <alignment horizontal="center" vertical="center"/>
      <protection locked="0"/>
    </xf>
    <xf numFmtId="1" fontId="1" fillId="0" borderId="18" xfId="0" applyNumberFormat="1" applyFont="1" applyBorder="1" applyAlignment="1">
      <alignment vertical="center"/>
    </xf>
    <xf numFmtId="1" fontId="1" fillId="0" borderId="18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/>
    </xf>
    <xf numFmtId="175" fontId="1" fillId="0" borderId="30" xfId="0" applyNumberFormat="1" applyFont="1" applyBorder="1" applyAlignment="1" applyProtection="1">
      <alignment horizontal="center" vertical="center"/>
      <protection locked="0"/>
    </xf>
    <xf numFmtId="175" fontId="1" fillId="0" borderId="4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left" vertical="center"/>
    </xf>
    <xf numFmtId="22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 applyProtection="1">
      <alignment horizontal="right" vertical="center"/>
      <protection locked="0"/>
    </xf>
    <xf numFmtId="22" fontId="8" fillId="0" borderId="31" xfId="0" applyNumberFormat="1" applyFont="1" applyBorder="1" applyAlignment="1" applyProtection="1">
      <alignment horizontal="center" vertical="center"/>
      <protection locked="0"/>
    </xf>
    <xf numFmtId="1" fontId="8" fillId="0" borderId="31" xfId="0" applyNumberFormat="1" applyFont="1" applyBorder="1" applyAlignment="1">
      <alignment vertical="center"/>
    </xf>
    <xf numFmtId="1" fontId="8" fillId="0" borderId="31" xfId="0" applyNumberFormat="1" applyFont="1" applyBorder="1" applyAlignment="1">
      <alignment horizontal="right" vertical="center"/>
    </xf>
    <xf numFmtId="0" fontId="9" fillId="0" borderId="31" xfId="0" applyFont="1" applyBorder="1" applyAlignment="1">
      <alignment horizontal="center" vertical="center"/>
    </xf>
    <xf numFmtId="175" fontId="8" fillId="4" borderId="31" xfId="0" applyNumberFormat="1" applyFont="1" applyFill="1" applyBorder="1" applyAlignment="1" applyProtection="1">
      <alignment horizontal="center" vertical="center"/>
      <protection locked="0"/>
    </xf>
    <xf numFmtId="175" fontId="8" fillId="0" borderId="31" xfId="0" applyNumberFormat="1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>
      <alignment vertical="center"/>
    </xf>
    <xf numFmtId="2" fontId="24" fillId="0" borderId="0" xfId="0" applyNumberFormat="1" applyFont="1"/>
    <xf numFmtId="181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0" fontId="25" fillId="0" borderId="0" xfId="0" applyFont="1"/>
    <xf numFmtId="175" fontId="26" fillId="0" borderId="4" xfId="0" applyNumberFormat="1" applyFont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2" fillId="0" borderId="32" xfId="0" applyFont="1" applyBorder="1" applyAlignment="1">
      <alignment horizontal="right" vertical="center"/>
    </xf>
    <xf numFmtId="175" fontId="2" fillId="0" borderId="3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quotePrefix="1" applyNumberFormat="1"/>
    <xf numFmtId="175" fontId="1" fillId="0" borderId="28" xfId="0" applyNumberFormat="1" applyFont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21" fillId="0" borderId="33" xfId="0" applyFont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0" xfId="0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19" xfId="0" applyBorder="1"/>
    <xf numFmtId="0" fontId="10" fillId="2" borderId="1" xfId="0" applyFont="1" applyFill="1" applyBorder="1" applyAlignment="1">
      <alignment horizontal="center" vertical="center" wrapText="1"/>
    </xf>
    <xf numFmtId="0" fontId="0" fillId="0" borderId="21" xfId="0" applyBorder="1"/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2" fillId="0" borderId="9" xfId="0" applyFont="1" applyBorder="1" applyAlignment="1">
      <alignment horizontal="center" vertical="center"/>
    </xf>
    <xf numFmtId="0" fontId="0" fillId="0" borderId="9" xfId="0" applyBorder="1"/>
    <xf numFmtId="0" fontId="1" fillId="0" borderId="4" xfId="0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>
      <alignment horizontal="center" vertical="center"/>
    </xf>
    <xf numFmtId="0" fontId="0" fillId="0" borderId="22" xfId="0" applyBorder="1"/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2" fontId="1" fillId="0" borderId="16" xfId="0" applyNumberFormat="1" applyFont="1" applyBorder="1" applyAlignment="1">
      <alignment horizontal="left" vertical="center"/>
    </xf>
    <xf numFmtId="0" fontId="0" fillId="0" borderId="16" xfId="0" applyBorder="1"/>
    <xf numFmtId="0" fontId="2" fillId="0" borderId="0" xfId="0" applyFont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3" xfId="0" applyBorder="1"/>
    <xf numFmtId="0" fontId="0" fillId="0" borderId="12" xfId="0" applyBorder="1"/>
    <xf numFmtId="0" fontId="0" fillId="0" borderId="11" xfId="0" applyBorder="1"/>
    <xf numFmtId="22" fontId="1" fillId="0" borderId="15" xfId="0" applyNumberFormat="1" applyFont="1" applyBorder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202">
    <dxf>
      <font>
        <color rgb="FF9C0006"/>
      </font>
      <fill>
        <patternFill>
          <bgColor rgb="FFFFC7CE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ill>
        <patternFill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auto="1"/>
      </font>
      <fill>
        <patternFill>
          <bgColor rgb="FFFFC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9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fill>
        <patternFill patternType="solid">
          <fgColor indexed="64"/>
          <bgColor theme="0" tint="-0.249977111117893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</dxfs>
  <tableStyles count="1" defaultTableStyle="TableStyleMedium2" defaultPivotStyle="PivotStyleLight16">
    <tableStyle name="Invisible" pivot="0" table="0" count="0" xr9:uid="{E96C20F1-60E1-456F-8465-980B782DD8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845503240801026E-2"/>
          <c:y val="2.987185425351243E-2"/>
          <c:w val="0.89902289970911409"/>
          <c:h val="0.86830576042248109"/>
        </c:manualLayout>
      </c:layout>
      <c:scatterChart>
        <c:scatterStyle val="lineMarker"/>
        <c:varyColors val="0"/>
        <c:ser>
          <c:idx val="4"/>
          <c:order val="0"/>
          <c:tx>
            <c:strRef>
              <c:f>HC_SIMDIS!$C$2</c:f>
              <c:strCache>
                <c:ptCount val="1"/>
                <c:pt idx="0">
                  <c:v>R1 Catalyst Ni2CBV-3014</c:v>
                </c:pt>
              </c:strCache>
            </c:strRef>
          </c:tx>
          <c:spPr>
            <a:ln w="28575">
              <a:noFill/>
              <a:prstDash val="solid"/>
            </a:ln>
          </c:spPr>
          <c:marker>
            <c:symbol val="none"/>
          </c:marker>
          <c:xVal>
            <c:numRef>
              <c:f>HC_SIMDIS!$B$3:$B$103</c:f>
              <c:numCache>
                <c:formatCode>General</c:formatCode>
                <c:ptCount val="101"/>
                <c:pt idx="0" formatCode="General\ &quot;(IBP)&quot;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 formatCode="General&quot; (FBP)&quot;">
                  <c:v>99.5</c:v>
                </c:pt>
              </c:numCache>
            </c:numRef>
          </c:xVal>
          <c:yVal>
            <c:numRef>
              <c:f>HC_SIMDIS!$C$3:$C$103</c:f>
              <c:numCache>
                <c:formatCode>0.0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3D-41FD-9EC3-2D0AA1A2BCEF}"/>
            </c:ext>
          </c:extLst>
        </c:ser>
        <c:ser>
          <c:idx val="5"/>
          <c:order val="1"/>
          <c:tx>
            <c:strRef>
              <c:f>HC_SIMDIS!$D$2</c:f>
              <c:strCache>
                <c:ptCount val="1"/>
                <c:pt idx="0">
                  <c:v>R2 Catalyst Ni5CBV-3014</c:v>
                </c:pt>
              </c:strCache>
            </c:strRef>
          </c:tx>
          <c:spPr>
            <a:ln w="19050">
              <a:noFill/>
              <a:prstDash val="solid"/>
            </a:ln>
          </c:spPr>
          <c:marker>
            <c:symbol val="none"/>
          </c:marker>
          <c:xVal>
            <c:numRef>
              <c:f>HC_SIMDIS!$B$3:$B$103</c:f>
              <c:numCache>
                <c:formatCode>General</c:formatCode>
                <c:ptCount val="101"/>
                <c:pt idx="0" formatCode="General\ &quot;(IBP)&quot;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 formatCode="General&quot; (FBP)&quot;">
                  <c:v>99.5</c:v>
                </c:pt>
              </c:numCache>
            </c:numRef>
          </c:xVal>
          <c:yVal>
            <c:numRef>
              <c:f>HC_SIMDIS!$D$3:$D$103</c:f>
              <c:numCache>
                <c:formatCode>0.0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3D-41FD-9EC3-2D0AA1A2BCEF}"/>
            </c:ext>
          </c:extLst>
        </c:ser>
        <c:ser>
          <c:idx val="6"/>
          <c:order val="2"/>
          <c:tx>
            <c:strRef>
              <c:f>HC_SIMDIS!$E$2</c:f>
              <c:strCache>
                <c:ptCount val="1"/>
              </c:strCache>
            </c:strRef>
          </c:tx>
          <c:spPr>
            <a:ln w="19050">
              <a:noFill/>
              <a:prstDash val="solid"/>
            </a:ln>
          </c:spPr>
          <c:marker>
            <c:symbol val="none"/>
          </c:marker>
          <c:xVal>
            <c:numRef>
              <c:f>HC_SIMDIS!$B$3:$B$103</c:f>
              <c:numCache>
                <c:formatCode>General</c:formatCode>
                <c:ptCount val="101"/>
                <c:pt idx="0" formatCode="General\ &quot;(IBP)&quot;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 formatCode="General&quot; (FBP)&quot;">
                  <c:v>99.5</c:v>
                </c:pt>
              </c:numCache>
            </c:numRef>
          </c:xVal>
          <c:yVal>
            <c:numRef>
              <c:f>HC_SIMDIS!$E$3:$E$103</c:f>
              <c:numCache>
                <c:formatCode>0.0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3D-41FD-9EC3-2D0AA1A2BCEF}"/>
            </c:ext>
          </c:extLst>
        </c:ser>
        <c:ser>
          <c:idx val="7"/>
          <c:order val="3"/>
          <c:tx>
            <c:strRef>
              <c:f>HC_SIMDIS!$F$2</c:f>
              <c:strCache>
                <c:ptCount val="1"/>
                <c:pt idx="0">
                  <c:v>R4 Catalyst Cu5CBV500</c:v>
                </c:pt>
              </c:strCache>
            </c:strRef>
          </c:tx>
          <c:spPr>
            <a:ln w="19050">
              <a:noFill/>
              <a:prstDash val="solid"/>
            </a:ln>
          </c:spPr>
          <c:marker>
            <c:symbol val="none"/>
          </c:marker>
          <c:xVal>
            <c:numRef>
              <c:f>HC_SIMDIS!$B$3:$B$103</c:f>
              <c:numCache>
                <c:formatCode>General</c:formatCode>
                <c:ptCount val="101"/>
                <c:pt idx="0" formatCode="General\ &quot;(IBP)&quot;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 formatCode="General&quot; (FBP)&quot;">
                  <c:v>99.5</c:v>
                </c:pt>
              </c:numCache>
            </c:numRef>
          </c:xVal>
          <c:yVal>
            <c:numRef>
              <c:f>HC_SIMDIS!$F$3:$F$103</c:f>
              <c:numCache>
                <c:formatCode>0.0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3D-41FD-9EC3-2D0AA1A2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642944"/>
        <c:axId val="222644864"/>
      </c:scatterChart>
      <c:valAx>
        <c:axId val="222642944"/>
        <c:scaling>
          <c:orientation val="minMax"/>
          <c:max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Mass Recovered, %</a:t>
                </a:r>
              </a:p>
            </c:rich>
          </c:tx>
          <c:layout>
            <c:manualLayout>
              <c:xMode val="edge"/>
              <c:yMode val="edge"/>
              <c:x val="0.42950031132448491"/>
              <c:y val="0.9471256160065547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22644864"/>
        <c:crosses val="autoZero"/>
        <c:crossBetween val="midCat"/>
      </c:valAx>
      <c:valAx>
        <c:axId val="2226448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Boiling Point, C</a:t>
                </a:r>
              </a:p>
            </c:rich>
          </c:tx>
          <c:layout>
            <c:manualLayout>
              <c:xMode val="edge"/>
              <c:yMode val="edge"/>
              <c:x val="9.6026861626371356E-3"/>
              <c:y val="0.3206573719569458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22642944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8.4412443204825896E-2"/>
          <c:y val="4.493517495833383E-2"/>
          <c:w val="0.60478252237937202"/>
          <c:h val="0.1111632086713143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845503240801026E-2"/>
          <c:y val="2.987185425351243E-2"/>
          <c:w val="0.90590289368039645"/>
          <c:h val="0.86830576042248109"/>
        </c:manualLayout>
      </c:layout>
      <c:scatterChart>
        <c:scatterStyle val="lineMarker"/>
        <c:varyColors val="0"/>
        <c:ser>
          <c:idx val="3"/>
          <c:order val="0"/>
          <c:tx>
            <c:strRef>
              <c:f>HC_SIMDIS!$G$2</c:f>
              <c:strCache>
                <c:ptCount val="1"/>
                <c:pt idx="0">
                  <c:v>R5 Catalyst alpha-Alumina</c:v>
                </c:pt>
              </c:strCache>
            </c:strRef>
          </c:tx>
          <c:spPr>
            <a:ln w="19050">
              <a:noFill/>
              <a:prstDash val="solid"/>
            </a:ln>
          </c:spPr>
          <c:marker>
            <c:symbol val="none"/>
          </c:marker>
          <c:xVal>
            <c:numRef>
              <c:f>HC_SIMDIS!$B$3:$B$103</c:f>
              <c:numCache>
                <c:formatCode>General</c:formatCode>
                <c:ptCount val="101"/>
                <c:pt idx="0" formatCode="General\ &quot;(IBP)&quot;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 formatCode="General&quot; (FBP)&quot;">
                  <c:v>99.5</c:v>
                </c:pt>
              </c:numCache>
            </c:numRef>
          </c:xVal>
          <c:yVal>
            <c:numRef>
              <c:f>HC_SIMDIS!$G$3:$G$103</c:f>
              <c:numCache>
                <c:formatCode>0.0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E-4C75-A482-C6F18CE167E3}"/>
            </c:ext>
          </c:extLst>
        </c:ser>
        <c:ser>
          <c:idx val="4"/>
          <c:order val="1"/>
          <c:tx>
            <c:strRef>
              <c:f>HC_SIMDIS!$H$2</c:f>
              <c:strCache>
                <c:ptCount val="1"/>
                <c:pt idx="0">
                  <c:v>R6 Catalyst Cu5CBV720</c:v>
                </c:pt>
              </c:strCache>
            </c:strRef>
          </c:tx>
          <c:spPr>
            <a:ln w="19050">
              <a:noFill/>
              <a:prstDash val="solid"/>
            </a:ln>
          </c:spPr>
          <c:marker>
            <c:symbol val="none"/>
          </c:marker>
          <c:xVal>
            <c:numRef>
              <c:f>HC_SIMDIS!$B$3:$B$103</c:f>
              <c:numCache>
                <c:formatCode>General</c:formatCode>
                <c:ptCount val="101"/>
                <c:pt idx="0" formatCode="General\ &quot;(IBP)&quot;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 formatCode="General&quot; (FBP)&quot;">
                  <c:v>99.5</c:v>
                </c:pt>
              </c:numCache>
            </c:numRef>
          </c:xVal>
          <c:yVal>
            <c:numRef>
              <c:f>HC_SIMDIS!$H$3:$H$103</c:f>
              <c:numCache>
                <c:formatCode>0.0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4E-4C75-A482-C6F18CE167E3}"/>
            </c:ext>
          </c:extLst>
        </c:ser>
        <c:ser>
          <c:idx val="5"/>
          <c:order val="2"/>
          <c:tx>
            <c:strRef>
              <c:f>HC_SIMDIS!$I$2</c:f>
              <c:strCache>
                <c:ptCount val="1"/>
                <c:pt idx="0">
                  <c:v>R7 Catalyst Ni2CBV-3014</c:v>
                </c:pt>
              </c:strCache>
            </c:strRef>
          </c:tx>
          <c:spPr>
            <a:ln w="19050">
              <a:noFill/>
              <a:prstDash val="solid"/>
            </a:ln>
          </c:spPr>
          <c:marker>
            <c:symbol val="none"/>
          </c:marker>
          <c:xVal>
            <c:numRef>
              <c:f>HC_SIMDIS!$B$3:$B$103</c:f>
              <c:numCache>
                <c:formatCode>General</c:formatCode>
                <c:ptCount val="101"/>
                <c:pt idx="0" formatCode="General\ &quot;(IBP)&quot;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 formatCode="General&quot; (FBP)&quot;">
                  <c:v>99.5</c:v>
                </c:pt>
              </c:numCache>
            </c:numRef>
          </c:xVal>
          <c:yVal>
            <c:numRef>
              <c:f>HC_SIMDIS!$I$3:$I$103</c:f>
              <c:numCache>
                <c:formatCode>0.0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4E-4C75-A482-C6F18CE167E3}"/>
            </c:ext>
          </c:extLst>
        </c:ser>
        <c:ser>
          <c:idx val="6"/>
          <c:order val="3"/>
          <c:tx>
            <c:strRef>
              <c:f>HC_SIMDIS!$J$2</c:f>
              <c:strCache>
                <c:ptCount val="1"/>
                <c:pt idx="0">
                  <c:v>R8 Catalyst Ni5CBV500</c:v>
                </c:pt>
              </c:strCache>
            </c:strRef>
          </c:tx>
          <c:spPr>
            <a:ln w="19050">
              <a:noFill/>
              <a:prstDash val="solid"/>
            </a:ln>
          </c:spPr>
          <c:marker>
            <c:symbol val="none"/>
          </c:marker>
          <c:xVal>
            <c:numRef>
              <c:f>HC_SIMDIS!$B$3:$B$103</c:f>
              <c:numCache>
                <c:formatCode>General</c:formatCode>
                <c:ptCount val="101"/>
                <c:pt idx="0" formatCode="General\ &quot;(IBP)&quot;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 formatCode="General&quot; (FBP)&quot;">
                  <c:v>99.5</c:v>
                </c:pt>
              </c:numCache>
            </c:numRef>
          </c:xVal>
          <c:yVal>
            <c:numRef>
              <c:f>HC_SIMDIS!$J$3:$J$103</c:f>
              <c:numCache>
                <c:formatCode>0.0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4E-4C75-A482-C6F18CE16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642944"/>
        <c:axId val="222644864"/>
      </c:scatterChart>
      <c:valAx>
        <c:axId val="222642944"/>
        <c:scaling>
          <c:orientation val="minMax"/>
          <c:max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Mass Recovered, %</a:t>
                </a:r>
              </a:p>
            </c:rich>
          </c:tx>
          <c:layout>
            <c:manualLayout>
              <c:xMode val="edge"/>
              <c:yMode val="edge"/>
              <c:x val="0.42950031132448491"/>
              <c:y val="0.9471256160065547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22644864"/>
        <c:crosses val="autoZero"/>
        <c:crossBetween val="midCat"/>
      </c:valAx>
      <c:valAx>
        <c:axId val="2226448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Boiling Point, C</a:t>
                </a:r>
              </a:p>
            </c:rich>
          </c:tx>
          <c:layout>
            <c:manualLayout>
              <c:xMode val="edge"/>
              <c:yMode val="edge"/>
              <c:x val="9.6026861626371356E-3"/>
              <c:y val="0.3206573719569458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22642944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8.4412443204825896E-2"/>
          <c:y val="4.493517495833383E-2"/>
          <c:w val="0.60882234271992275"/>
          <c:h val="0.1071411039680612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80876646545205E-2"/>
          <c:y val="3.5090557119274252E-2"/>
          <c:w val="0.89877072250449441"/>
          <c:h val="0.85145465956433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HC_DHA!$C$3</c:f>
              <c:strCache>
                <c:ptCount val="1"/>
                <c:pt idx="0">
                  <c:v>n-Paraffins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HC_DHA!$C$4:$C$18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4-4461-B3DB-DFF01900D180}"/>
            </c:ext>
          </c:extLst>
        </c:ser>
        <c:ser>
          <c:idx val="1"/>
          <c:order val="1"/>
          <c:tx>
            <c:strRef>
              <c:f>HC_DHA!$D$3</c:f>
              <c:strCache>
                <c:ptCount val="1"/>
                <c:pt idx="0">
                  <c:v>Isoparaffins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HC_DHA!$D$4:$D$18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4-4461-B3DB-DFF01900D180}"/>
            </c:ext>
          </c:extLst>
        </c:ser>
        <c:ser>
          <c:idx val="2"/>
          <c:order val="2"/>
          <c:tx>
            <c:strRef>
              <c:f>HC_DHA!$E$3</c:f>
              <c:strCache>
                <c:ptCount val="1"/>
                <c:pt idx="0">
                  <c:v>Aromatics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HC_DHA!$E$4:$E$18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B4-4461-B3DB-DFF01900D180}"/>
            </c:ext>
          </c:extLst>
        </c:ser>
        <c:ser>
          <c:idx val="3"/>
          <c:order val="3"/>
          <c:tx>
            <c:strRef>
              <c:f>HC_DHA!$F$3</c:f>
              <c:strCache>
                <c:ptCount val="1"/>
                <c:pt idx="0">
                  <c:v>Naphthenes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HC_DHA!$F$4:$F$18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B4-4461-B3DB-DFF01900D180}"/>
            </c:ext>
          </c:extLst>
        </c:ser>
        <c:ser>
          <c:idx val="4"/>
          <c:order val="4"/>
          <c:tx>
            <c:strRef>
              <c:f>HC_DHA!$G$3</c:f>
              <c:strCache>
                <c:ptCount val="1"/>
                <c:pt idx="0">
                  <c:v>Olefins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HC_DHA!$G$4:$G$18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B4-4461-B3DB-DFF01900D180}"/>
            </c:ext>
          </c:extLst>
        </c:ser>
        <c:ser>
          <c:idx val="5"/>
          <c:order val="5"/>
          <c:tx>
            <c:strRef>
              <c:f>HC_DHA!$H$3</c:f>
              <c:strCache>
                <c:ptCount val="1"/>
                <c:pt idx="0">
                  <c:v>Oxygenates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HC_DHA!$H$4:$H$18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B4-4461-B3DB-DFF01900D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773888"/>
        <c:axId val="232776064"/>
      </c:scatterChart>
      <c:valAx>
        <c:axId val="232773888"/>
        <c:scaling>
          <c:orientation val="minMax"/>
          <c:max val="14"/>
          <c:min val="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Carbon Number</a:t>
                </a:r>
              </a:p>
            </c:rich>
          </c:tx>
          <c:layout>
            <c:manualLayout>
              <c:xMode val="edge"/>
              <c:yMode val="edge"/>
              <c:x val="0.4674016452261191"/>
              <c:y val="0.9526705540689025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32776064"/>
        <c:crosses val="autoZero"/>
        <c:crossBetween val="midCat"/>
      </c:valAx>
      <c:valAx>
        <c:axId val="232776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Type mass % in liquid</a:t>
                </a:r>
              </a:p>
            </c:rich>
          </c:tx>
          <c:layout>
            <c:manualLayout>
              <c:xMode val="edge"/>
              <c:yMode val="edge"/>
              <c:x val="1.165221951351415E-2"/>
              <c:y val="0.2904087602589374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txPr>
          <a:bodyPr/>
          <a:lstStyle/>
          <a:p>
            <a:pPr>
              <a:defRPr sz="1100"/>
            </a:pPr>
            <a:endParaRPr lang="en-US"/>
          </a:p>
        </c:txPr>
        <c:crossAx val="2327738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1540402687759264E-2"/>
          <c:y val="4.421938115371854E-2"/>
          <c:w val="0.29247422698133291"/>
          <c:h val="0.1369202618058977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80876646545205E-2"/>
          <c:y val="3.5090557119274252E-2"/>
          <c:w val="0.89877072250449441"/>
          <c:h val="0.85145465956433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HC_DHA!$C$31</c:f>
              <c:strCache>
                <c:ptCount val="1"/>
                <c:pt idx="0">
                  <c:v>n-Paraffins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HC_DHA!$B$32:$B$46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HC_DHA!$C$32:$C$46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13-418A-85CB-4FE364E6F338}"/>
            </c:ext>
          </c:extLst>
        </c:ser>
        <c:ser>
          <c:idx val="1"/>
          <c:order val="1"/>
          <c:tx>
            <c:strRef>
              <c:f>HC_DHA!$D$31</c:f>
              <c:strCache>
                <c:ptCount val="1"/>
                <c:pt idx="0">
                  <c:v>Isoparaffins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HC_DHA!$B$32:$B$46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HC_DHA!$D$32:$D$46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13-418A-85CB-4FE364E6F338}"/>
            </c:ext>
          </c:extLst>
        </c:ser>
        <c:ser>
          <c:idx val="2"/>
          <c:order val="2"/>
          <c:tx>
            <c:strRef>
              <c:f>HC_DHA!$E$31</c:f>
              <c:strCache>
                <c:ptCount val="1"/>
                <c:pt idx="0">
                  <c:v>Aromatics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HC_DHA!$B$32:$B$46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HC_DHA!$E$32:$E$46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13-418A-85CB-4FE364E6F338}"/>
            </c:ext>
          </c:extLst>
        </c:ser>
        <c:ser>
          <c:idx val="3"/>
          <c:order val="3"/>
          <c:tx>
            <c:strRef>
              <c:f>HC_DHA!$F$31</c:f>
              <c:strCache>
                <c:ptCount val="1"/>
                <c:pt idx="0">
                  <c:v>Naphthenes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HC_DHA!$B$32:$B$46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HC_DHA!$F$32:$F$46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13-418A-85CB-4FE364E6F338}"/>
            </c:ext>
          </c:extLst>
        </c:ser>
        <c:ser>
          <c:idx val="4"/>
          <c:order val="4"/>
          <c:tx>
            <c:strRef>
              <c:f>HC_DHA!$G$31</c:f>
              <c:strCache>
                <c:ptCount val="1"/>
                <c:pt idx="0">
                  <c:v>Olefins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HC_DHA!$B$32:$B$46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HC_DHA!$G$32:$G$46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13-418A-85CB-4FE364E6F338}"/>
            </c:ext>
          </c:extLst>
        </c:ser>
        <c:ser>
          <c:idx val="5"/>
          <c:order val="5"/>
          <c:tx>
            <c:strRef>
              <c:f>HC_DHA!$H$31</c:f>
              <c:strCache>
                <c:ptCount val="1"/>
                <c:pt idx="0">
                  <c:v>Oxygenates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HC_DHA!$B$32:$B$46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HC_DHA!$H$32:$H$46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13-418A-85CB-4FE364E6F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773888"/>
        <c:axId val="232776064"/>
      </c:scatterChart>
      <c:valAx>
        <c:axId val="232773888"/>
        <c:scaling>
          <c:orientation val="minMax"/>
          <c:max val="14"/>
          <c:min val="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Carbon Number</a:t>
                </a:r>
              </a:p>
            </c:rich>
          </c:tx>
          <c:layout>
            <c:manualLayout>
              <c:xMode val="edge"/>
              <c:yMode val="edge"/>
              <c:x val="0.4674016452261191"/>
              <c:y val="0.9526705540689025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32776064"/>
        <c:crosses val="autoZero"/>
        <c:crossBetween val="midCat"/>
      </c:valAx>
      <c:valAx>
        <c:axId val="232776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Type mass % in liquid</a:t>
                </a:r>
              </a:p>
            </c:rich>
          </c:tx>
          <c:layout>
            <c:manualLayout>
              <c:xMode val="edge"/>
              <c:yMode val="edge"/>
              <c:x val="1.165221951351415E-2"/>
              <c:y val="0.2904087602589374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txPr>
          <a:bodyPr/>
          <a:lstStyle/>
          <a:p>
            <a:pPr>
              <a:defRPr sz="1100"/>
            </a:pPr>
            <a:endParaRPr lang="en-US"/>
          </a:p>
        </c:txPr>
        <c:crossAx val="2327738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1540402687759264E-2"/>
          <c:y val="4.421938115371854E-2"/>
          <c:w val="0.29247422698133291"/>
          <c:h val="0.1369202618058977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80876646545205E-2"/>
          <c:y val="3.5090557119274252E-2"/>
          <c:w val="0.89877072250449441"/>
          <c:h val="0.85145465956433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HC_DHA!$C$59</c:f>
              <c:strCache>
                <c:ptCount val="1"/>
                <c:pt idx="0">
                  <c:v>n-Paraffins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HC_DHA!$B$60:$B$74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HC_DHA!$C$60:$C$74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D6-457D-9E4E-7E28C6A79D73}"/>
            </c:ext>
          </c:extLst>
        </c:ser>
        <c:ser>
          <c:idx val="1"/>
          <c:order val="1"/>
          <c:tx>
            <c:strRef>
              <c:f>HC_DHA!$D$59</c:f>
              <c:strCache>
                <c:ptCount val="1"/>
                <c:pt idx="0">
                  <c:v>Isoparaffins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HC_DHA!$B$60:$B$74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HC_DHA!$D$60:$D$74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D6-457D-9E4E-7E28C6A79D73}"/>
            </c:ext>
          </c:extLst>
        </c:ser>
        <c:ser>
          <c:idx val="2"/>
          <c:order val="2"/>
          <c:tx>
            <c:strRef>
              <c:f>HC_DHA!$E$59</c:f>
              <c:strCache>
                <c:ptCount val="1"/>
                <c:pt idx="0">
                  <c:v>Aromatics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HC_DHA!$B$60:$B$74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HC_DHA!$E$60:$E$74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D6-457D-9E4E-7E28C6A79D73}"/>
            </c:ext>
          </c:extLst>
        </c:ser>
        <c:ser>
          <c:idx val="3"/>
          <c:order val="3"/>
          <c:tx>
            <c:strRef>
              <c:f>HC_DHA!$F$59</c:f>
              <c:strCache>
                <c:ptCount val="1"/>
                <c:pt idx="0">
                  <c:v>Naphthenes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HC_DHA!$B$60:$B$74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HC_DHA!$F$60:$F$74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D6-457D-9E4E-7E28C6A79D73}"/>
            </c:ext>
          </c:extLst>
        </c:ser>
        <c:ser>
          <c:idx val="4"/>
          <c:order val="4"/>
          <c:tx>
            <c:strRef>
              <c:f>HC_DHA!$G$59</c:f>
              <c:strCache>
                <c:ptCount val="1"/>
                <c:pt idx="0">
                  <c:v>Olefins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HC_DHA!$B$60:$B$74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HC_DHA!$G$60:$G$75</c:f>
              <c:numCache>
                <c:formatCode>0.0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D6-457D-9E4E-7E28C6A79D73}"/>
            </c:ext>
          </c:extLst>
        </c:ser>
        <c:ser>
          <c:idx val="5"/>
          <c:order val="5"/>
          <c:tx>
            <c:strRef>
              <c:f>HC_DHA!$H$59</c:f>
              <c:strCache>
                <c:ptCount val="1"/>
                <c:pt idx="0">
                  <c:v>Oxygenates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HC_DHA!$B$60:$B$74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HC_DHA!$H$60:$H$75</c:f>
              <c:numCache>
                <c:formatCode>0.0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D6-457D-9E4E-7E28C6A79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773888"/>
        <c:axId val="232776064"/>
      </c:scatterChart>
      <c:valAx>
        <c:axId val="232773888"/>
        <c:scaling>
          <c:orientation val="minMax"/>
          <c:max val="14"/>
          <c:min val="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Carbon Number</a:t>
                </a:r>
              </a:p>
            </c:rich>
          </c:tx>
          <c:layout>
            <c:manualLayout>
              <c:xMode val="edge"/>
              <c:yMode val="edge"/>
              <c:x val="0.4674016452261191"/>
              <c:y val="0.9526705540689025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32776064"/>
        <c:crosses val="autoZero"/>
        <c:crossBetween val="midCat"/>
      </c:valAx>
      <c:valAx>
        <c:axId val="232776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Type mass % in liquid</a:t>
                </a:r>
              </a:p>
            </c:rich>
          </c:tx>
          <c:layout>
            <c:manualLayout>
              <c:xMode val="edge"/>
              <c:yMode val="edge"/>
              <c:x val="1.165221951351415E-2"/>
              <c:y val="0.2904087602589374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txPr>
          <a:bodyPr/>
          <a:lstStyle/>
          <a:p>
            <a:pPr>
              <a:defRPr sz="1100"/>
            </a:pPr>
            <a:endParaRPr lang="en-US"/>
          </a:p>
        </c:txPr>
        <c:crossAx val="2327738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1540402687759264E-2"/>
          <c:y val="4.421938115371854E-2"/>
          <c:w val="0.29247422698133291"/>
          <c:h val="0.1369202618058977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80876646545205E-2"/>
          <c:y val="3.5090557119274252E-2"/>
          <c:w val="0.89877072250449441"/>
          <c:h val="0.85145465956433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HC_DHA!$C$87</c:f>
              <c:strCache>
                <c:ptCount val="1"/>
                <c:pt idx="0">
                  <c:v>n-Paraffins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HC_DHA!$B$88:$B$102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HC_DHA!$C$88:$C$102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97-4A54-B71A-BD8C72E8407F}"/>
            </c:ext>
          </c:extLst>
        </c:ser>
        <c:ser>
          <c:idx val="1"/>
          <c:order val="1"/>
          <c:tx>
            <c:strRef>
              <c:f>HC_DHA!$D$87</c:f>
              <c:strCache>
                <c:ptCount val="1"/>
                <c:pt idx="0">
                  <c:v>Isoparaffins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HC_DHA!$B$88:$B$102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HC_DHA!$D$88:$D$102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7-4A54-B71A-BD8C72E8407F}"/>
            </c:ext>
          </c:extLst>
        </c:ser>
        <c:ser>
          <c:idx val="2"/>
          <c:order val="2"/>
          <c:tx>
            <c:strRef>
              <c:f>HC_DHA!$E$87</c:f>
              <c:strCache>
                <c:ptCount val="1"/>
                <c:pt idx="0">
                  <c:v>Aromatics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HC_DHA!$B$88:$B$102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HC_DHA!$E$88:$E$102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97-4A54-B71A-BD8C72E8407F}"/>
            </c:ext>
          </c:extLst>
        </c:ser>
        <c:ser>
          <c:idx val="3"/>
          <c:order val="3"/>
          <c:tx>
            <c:strRef>
              <c:f>HC_DHA!$F$87</c:f>
              <c:strCache>
                <c:ptCount val="1"/>
                <c:pt idx="0">
                  <c:v>Naphthenes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HC_DHA!$B$88:$B$102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HC_DHA!$F$88:$F$102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97-4A54-B71A-BD8C72E8407F}"/>
            </c:ext>
          </c:extLst>
        </c:ser>
        <c:ser>
          <c:idx val="4"/>
          <c:order val="4"/>
          <c:tx>
            <c:strRef>
              <c:f>HC_DHA!$G$87</c:f>
              <c:strCache>
                <c:ptCount val="1"/>
                <c:pt idx="0">
                  <c:v>Olefins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HC_DHA!$B$88:$B$102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HC_DHA!$G$88:$G$102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97-4A54-B71A-BD8C72E8407F}"/>
            </c:ext>
          </c:extLst>
        </c:ser>
        <c:ser>
          <c:idx val="5"/>
          <c:order val="5"/>
          <c:tx>
            <c:strRef>
              <c:f>HC_DHA!$H$87</c:f>
              <c:strCache>
                <c:ptCount val="1"/>
                <c:pt idx="0">
                  <c:v>Oxygenates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HC_DHA!$B$88:$B$102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HC_DHA!$H$88:$H$102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97-4A54-B71A-BD8C72E84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773888"/>
        <c:axId val="232776064"/>
      </c:scatterChart>
      <c:valAx>
        <c:axId val="232773888"/>
        <c:scaling>
          <c:orientation val="minMax"/>
          <c:max val="14"/>
          <c:min val="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Carbon Number</a:t>
                </a:r>
              </a:p>
            </c:rich>
          </c:tx>
          <c:layout>
            <c:manualLayout>
              <c:xMode val="edge"/>
              <c:yMode val="edge"/>
              <c:x val="0.4674016452261191"/>
              <c:y val="0.9526705540689025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32776064"/>
        <c:crosses val="autoZero"/>
        <c:crossBetween val="midCat"/>
      </c:valAx>
      <c:valAx>
        <c:axId val="232776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Type mass % in liquid</a:t>
                </a:r>
              </a:p>
            </c:rich>
          </c:tx>
          <c:layout>
            <c:manualLayout>
              <c:xMode val="edge"/>
              <c:yMode val="edge"/>
              <c:x val="1.165221951351415E-2"/>
              <c:y val="0.2904087602589374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txPr>
          <a:bodyPr/>
          <a:lstStyle/>
          <a:p>
            <a:pPr>
              <a:defRPr sz="1100"/>
            </a:pPr>
            <a:endParaRPr lang="en-US"/>
          </a:p>
        </c:txPr>
        <c:crossAx val="2327738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1540402687759264E-2"/>
          <c:y val="4.421938115371854E-2"/>
          <c:w val="0.29247422698133291"/>
          <c:h val="0.1369202618058977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80876646545205E-2"/>
          <c:y val="3.5090557119274252E-2"/>
          <c:w val="0.89877072250449441"/>
          <c:h val="0.85145465956433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HC_DHA!$W$3</c:f>
              <c:strCache>
                <c:ptCount val="1"/>
                <c:pt idx="0">
                  <c:v>n-Paraffins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HC_DHA!$V$4:$V$18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HC_DHA!$W$4:$W$18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7-4402-AD1A-F4EE1B44F381}"/>
            </c:ext>
          </c:extLst>
        </c:ser>
        <c:ser>
          <c:idx val="1"/>
          <c:order val="1"/>
          <c:tx>
            <c:strRef>
              <c:f>HC_DHA!$X$3</c:f>
              <c:strCache>
                <c:ptCount val="1"/>
                <c:pt idx="0">
                  <c:v>Isoparaffins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HC_DHA!$V$4:$V$18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HC_DHA!$X$4:$X$18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17-4402-AD1A-F4EE1B44F381}"/>
            </c:ext>
          </c:extLst>
        </c:ser>
        <c:ser>
          <c:idx val="2"/>
          <c:order val="2"/>
          <c:tx>
            <c:strRef>
              <c:f>HC_DHA!$Y$3</c:f>
              <c:strCache>
                <c:ptCount val="1"/>
                <c:pt idx="0">
                  <c:v>Aromatics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HC_DHA!$V$4:$V$18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HC_DHA!$Y$4:$Y$18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17-4402-AD1A-F4EE1B44F381}"/>
            </c:ext>
          </c:extLst>
        </c:ser>
        <c:ser>
          <c:idx val="3"/>
          <c:order val="3"/>
          <c:tx>
            <c:strRef>
              <c:f>HC_DHA!$Z$3</c:f>
              <c:strCache>
                <c:ptCount val="1"/>
                <c:pt idx="0">
                  <c:v>Naphthenes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HC_DHA!$V$4:$V$18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HC_DHA!$Z$4:$Z$18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17-4402-AD1A-F4EE1B44F381}"/>
            </c:ext>
          </c:extLst>
        </c:ser>
        <c:ser>
          <c:idx val="4"/>
          <c:order val="4"/>
          <c:tx>
            <c:strRef>
              <c:f>HC_DHA!$AA$3</c:f>
              <c:strCache>
                <c:ptCount val="1"/>
                <c:pt idx="0">
                  <c:v>Olefins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HC_DHA!$V$4:$V$18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HC_DHA!$AA$4:$AA$18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17-4402-AD1A-F4EE1B44F381}"/>
            </c:ext>
          </c:extLst>
        </c:ser>
        <c:ser>
          <c:idx val="5"/>
          <c:order val="5"/>
          <c:tx>
            <c:strRef>
              <c:f>HC_DHA!$AB$3</c:f>
              <c:strCache>
                <c:ptCount val="1"/>
                <c:pt idx="0">
                  <c:v>Oxygenates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HC_DHA!$V$4:$V$18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HC_DHA!$AB$4:$AB$18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17-4402-AD1A-F4EE1B44F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773888"/>
        <c:axId val="232776064"/>
      </c:scatterChart>
      <c:valAx>
        <c:axId val="232773888"/>
        <c:scaling>
          <c:orientation val="minMax"/>
          <c:max val="14"/>
          <c:min val="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Carbon Number</a:t>
                </a:r>
              </a:p>
            </c:rich>
          </c:tx>
          <c:layout>
            <c:manualLayout>
              <c:xMode val="edge"/>
              <c:yMode val="edge"/>
              <c:x val="0.4674016452261191"/>
              <c:y val="0.9526705540689025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32776064"/>
        <c:crosses val="autoZero"/>
        <c:crossBetween val="midCat"/>
      </c:valAx>
      <c:valAx>
        <c:axId val="232776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Type mass % in liquid</a:t>
                </a:r>
              </a:p>
            </c:rich>
          </c:tx>
          <c:layout>
            <c:manualLayout>
              <c:xMode val="edge"/>
              <c:yMode val="edge"/>
              <c:x val="1.165221951351415E-2"/>
              <c:y val="0.2904087602589374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txPr>
          <a:bodyPr/>
          <a:lstStyle/>
          <a:p>
            <a:pPr>
              <a:defRPr sz="1100"/>
            </a:pPr>
            <a:endParaRPr lang="en-US"/>
          </a:p>
        </c:txPr>
        <c:crossAx val="2327738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1540402687759264E-2"/>
          <c:y val="4.421938115371854E-2"/>
          <c:w val="0.29247422698133291"/>
          <c:h val="0.1369202618058977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80876646545205E-2"/>
          <c:y val="3.5090557119274252E-2"/>
          <c:w val="0.89877072250449441"/>
          <c:h val="0.85145465956433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HC_DHA!$W$31</c:f>
              <c:strCache>
                <c:ptCount val="1"/>
                <c:pt idx="0">
                  <c:v>n-Paraffins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HC_DHA!$V$32:$V$46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HC_DHA!$W$32:$W$46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B-473B-8463-BBD0390E2B9C}"/>
            </c:ext>
          </c:extLst>
        </c:ser>
        <c:ser>
          <c:idx val="1"/>
          <c:order val="1"/>
          <c:tx>
            <c:strRef>
              <c:f>HC_DHA!$X$31</c:f>
              <c:strCache>
                <c:ptCount val="1"/>
                <c:pt idx="0">
                  <c:v>Isoparaffins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HC_DHA!$V$32:$V$46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HC_DHA!$X$32:$X$46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EB-473B-8463-BBD0390E2B9C}"/>
            </c:ext>
          </c:extLst>
        </c:ser>
        <c:ser>
          <c:idx val="2"/>
          <c:order val="2"/>
          <c:tx>
            <c:strRef>
              <c:f>HC_DHA!$Y$31</c:f>
              <c:strCache>
                <c:ptCount val="1"/>
                <c:pt idx="0">
                  <c:v>Aromatics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HC_DHA!$V$32:$V$46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HC_DHA!$Y$32:$Y$46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EB-473B-8463-BBD0390E2B9C}"/>
            </c:ext>
          </c:extLst>
        </c:ser>
        <c:ser>
          <c:idx val="3"/>
          <c:order val="3"/>
          <c:tx>
            <c:strRef>
              <c:f>HC_DHA!$Z$31</c:f>
              <c:strCache>
                <c:ptCount val="1"/>
                <c:pt idx="0">
                  <c:v>Naphthenes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HC_DHA!$V$32:$V$46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HC_DHA!$Z$32:$Z$46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EB-473B-8463-BBD0390E2B9C}"/>
            </c:ext>
          </c:extLst>
        </c:ser>
        <c:ser>
          <c:idx val="4"/>
          <c:order val="4"/>
          <c:tx>
            <c:strRef>
              <c:f>HC_DHA!$AA$31</c:f>
              <c:strCache>
                <c:ptCount val="1"/>
                <c:pt idx="0">
                  <c:v>Olefins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HC_DHA!$V$32:$V$46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HC_DHA!$AA$32:$AA$46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EB-473B-8463-BBD0390E2B9C}"/>
            </c:ext>
          </c:extLst>
        </c:ser>
        <c:ser>
          <c:idx val="5"/>
          <c:order val="5"/>
          <c:tx>
            <c:strRef>
              <c:f>HC_DHA!$AB$31</c:f>
              <c:strCache>
                <c:ptCount val="1"/>
                <c:pt idx="0">
                  <c:v>Oxygenates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HC_DHA!$V$32:$V$46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HC_DHA!$AB$32:$AB$46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EB-473B-8463-BBD0390E2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773888"/>
        <c:axId val="232776064"/>
      </c:scatterChart>
      <c:valAx>
        <c:axId val="232773888"/>
        <c:scaling>
          <c:orientation val="minMax"/>
          <c:max val="14"/>
          <c:min val="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Carbon Number</a:t>
                </a:r>
              </a:p>
            </c:rich>
          </c:tx>
          <c:layout>
            <c:manualLayout>
              <c:xMode val="edge"/>
              <c:yMode val="edge"/>
              <c:x val="0.4674016452261191"/>
              <c:y val="0.9526705540689025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32776064"/>
        <c:crosses val="autoZero"/>
        <c:crossBetween val="midCat"/>
      </c:valAx>
      <c:valAx>
        <c:axId val="232776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Type mass % in liquid</a:t>
                </a:r>
              </a:p>
            </c:rich>
          </c:tx>
          <c:layout>
            <c:manualLayout>
              <c:xMode val="edge"/>
              <c:yMode val="edge"/>
              <c:x val="1.165221951351415E-2"/>
              <c:y val="0.2904087602589374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txPr>
          <a:bodyPr/>
          <a:lstStyle/>
          <a:p>
            <a:pPr>
              <a:defRPr sz="1100"/>
            </a:pPr>
            <a:endParaRPr lang="en-US"/>
          </a:p>
        </c:txPr>
        <c:crossAx val="2327738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1540402687759264E-2"/>
          <c:y val="4.421938115371854E-2"/>
          <c:w val="0.29247422698133291"/>
          <c:h val="0.1369202618058977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80876646545205E-2"/>
          <c:y val="3.5090557119274252E-2"/>
          <c:w val="0.89877072250449441"/>
          <c:h val="0.85145465956433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HC_DHA!$W$59</c:f>
              <c:strCache>
                <c:ptCount val="1"/>
                <c:pt idx="0">
                  <c:v>n-Paraffins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HC_DHA!$V$60:$V$74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HC_DHA!$W$60:$W$74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E4-4F24-AAEA-82736722589D}"/>
            </c:ext>
          </c:extLst>
        </c:ser>
        <c:ser>
          <c:idx val="1"/>
          <c:order val="1"/>
          <c:tx>
            <c:strRef>
              <c:f>HC_DHA!$X$59</c:f>
              <c:strCache>
                <c:ptCount val="1"/>
                <c:pt idx="0">
                  <c:v>Isoparaffins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HC_DHA!$V$60:$V$74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HC_DHA!$X$60:$X$74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E4-4F24-AAEA-82736722589D}"/>
            </c:ext>
          </c:extLst>
        </c:ser>
        <c:ser>
          <c:idx val="2"/>
          <c:order val="2"/>
          <c:tx>
            <c:strRef>
              <c:f>HC_DHA!$Y$59</c:f>
              <c:strCache>
                <c:ptCount val="1"/>
                <c:pt idx="0">
                  <c:v>Aromatics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HC_DHA!$V$60:$V$74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HC_DHA!$Y$60:$Y$74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E4-4F24-AAEA-82736722589D}"/>
            </c:ext>
          </c:extLst>
        </c:ser>
        <c:ser>
          <c:idx val="3"/>
          <c:order val="3"/>
          <c:tx>
            <c:strRef>
              <c:f>HC_DHA!$Z$59</c:f>
              <c:strCache>
                <c:ptCount val="1"/>
                <c:pt idx="0">
                  <c:v>Naphthenes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HC_DHA!$V$60:$V$74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HC_DHA!$Z$60:$Z$74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E4-4F24-AAEA-82736722589D}"/>
            </c:ext>
          </c:extLst>
        </c:ser>
        <c:ser>
          <c:idx val="4"/>
          <c:order val="4"/>
          <c:tx>
            <c:strRef>
              <c:f>HC_DHA!$AA$59</c:f>
              <c:strCache>
                <c:ptCount val="1"/>
                <c:pt idx="0">
                  <c:v>Olefins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HC_DHA!$V$60:$V$74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HC_DHA!$AA$60:$AA$74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E4-4F24-AAEA-82736722589D}"/>
            </c:ext>
          </c:extLst>
        </c:ser>
        <c:ser>
          <c:idx val="5"/>
          <c:order val="5"/>
          <c:tx>
            <c:strRef>
              <c:f>HC_DHA!$AB$59</c:f>
              <c:strCache>
                <c:ptCount val="1"/>
                <c:pt idx="0">
                  <c:v>Oxygenates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HC_DHA!$V$60:$V$74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HC_DHA!$AB$60:$AB$74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E4-4F24-AAEA-827367225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773888"/>
        <c:axId val="232776064"/>
      </c:scatterChart>
      <c:valAx>
        <c:axId val="232773888"/>
        <c:scaling>
          <c:orientation val="minMax"/>
          <c:max val="14"/>
          <c:min val="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Carbon Number</a:t>
                </a:r>
              </a:p>
            </c:rich>
          </c:tx>
          <c:layout>
            <c:manualLayout>
              <c:xMode val="edge"/>
              <c:yMode val="edge"/>
              <c:x val="0.4674016452261191"/>
              <c:y val="0.9526705540689025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32776064"/>
        <c:crosses val="autoZero"/>
        <c:crossBetween val="midCat"/>
      </c:valAx>
      <c:valAx>
        <c:axId val="232776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Type mass % in liquid</a:t>
                </a:r>
              </a:p>
            </c:rich>
          </c:tx>
          <c:layout>
            <c:manualLayout>
              <c:xMode val="edge"/>
              <c:yMode val="edge"/>
              <c:x val="1.165221951351415E-2"/>
              <c:y val="0.2904087602589374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txPr>
          <a:bodyPr/>
          <a:lstStyle/>
          <a:p>
            <a:pPr>
              <a:defRPr sz="1100"/>
            </a:pPr>
            <a:endParaRPr lang="en-US"/>
          </a:p>
        </c:txPr>
        <c:crossAx val="2327738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1540402687759264E-2"/>
          <c:y val="4.421938115371854E-2"/>
          <c:w val="0.29247422698133291"/>
          <c:h val="0.1369202618058977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80876646545205E-2"/>
          <c:y val="3.5090557119274252E-2"/>
          <c:w val="0.89877072250449441"/>
          <c:h val="0.85145465956433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HC_DHA!$W$87</c:f>
              <c:strCache>
                <c:ptCount val="1"/>
                <c:pt idx="0">
                  <c:v>n-Paraffins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HC_DHA!$V$88:$V$102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HC_DHA!$W$88:$W$102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A-435D-B6EC-BCCDC0F8CF34}"/>
            </c:ext>
          </c:extLst>
        </c:ser>
        <c:ser>
          <c:idx val="1"/>
          <c:order val="1"/>
          <c:tx>
            <c:strRef>
              <c:f>HC_DHA!$X$87</c:f>
              <c:strCache>
                <c:ptCount val="1"/>
                <c:pt idx="0">
                  <c:v>Isoparaffins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HC_DHA!$V$88:$V$102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HC_DHA!$X$88:$X$102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2A-435D-B6EC-BCCDC0F8CF34}"/>
            </c:ext>
          </c:extLst>
        </c:ser>
        <c:ser>
          <c:idx val="2"/>
          <c:order val="2"/>
          <c:tx>
            <c:strRef>
              <c:f>HC_DHA!$Y$87</c:f>
              <c:strCache>
                <c:ptCount val="1"/>
                <c:pt idx="0">
                  <c:v>Aromatics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HC_DHA!$V$88:$V$102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HC_DHA!$Y$88:$Y$102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2A-435D-B6EC-BCCDC0F8CF34}"/>
            </c:ext>
          </c:extLst>
        </c:ser>
        <c:ser>
          <c:idx val="3"/>
          <c:order val="3"/>
          <c:tx>
            <c:strRef>
              <c:f>HC_DHA!$Z$87</c:f>
              <c:strCache>
                <c:ptCount val="1"/>
                <c:pt idx="0">
                  <c:v>Naphthenes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HC_DHA!$V$88:$V$102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HC_DHA!$Z$88:$Z$102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2A-435D-B6EC-BCCDC0F8CF34}"/>
            </c:ext>
          </c:extLst>
        </c:ser>
        <c:ser>
          <c:idx val="4"/>
          <c:order val="4"/>
          <c:tx>
            <c:strRef>
              <c:f>HC_DHA!$AA$87</c:f>
              <c:strCache>
                <c:ptCount val="1"/>
                <c:pt idx="0">
                  <c:v>Olefins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HC_DHA!$V$88:$V$102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HC_DHA!$AA$88:$AA$102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2A-435D-B6EC-BCCDC0F8CF34}"/>
            </c:ext>
          </c:extLst>
        </c:ser>
        <c:ser>
          <c:idx val="5"/>
          <c:order val="5"/>
          <c:tx>
            <c:strRef>
              <c:f>HC_DHA!$AB$87</c:f>
              <c:strCache>
                <c:ptCount val="1"/>
                <c:pt idx="0">
                  <c:v>Oxygenates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HC_DHA!$V$88:$V$102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HC_DHA!$AB$88:$AB$102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2A-435D-B6EC-BCCDC0F8C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773888"/>
        <c:axId val="232776064"/>
      </c:scatterChart>
      <c:valAx>
        <c:axId val="232773888"/>
        <c:scaling>
          <c:orientation val="minMax"/>
          <c:max val="14"/>
          <c:min val="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Carbon Number</a:t>
                </a:r>
              </a:p>
            </c:rich>
          </c:tx>
          <c:layout>
            <c:manualLayout>
              <c:xMode val="edge"/>
              <c:yMode val="edge"/>
              <c:x val="0.4674016452261191"/>
              <c:y val="0.9526705540689025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232776064"/>
        <c:crosses val="autoZero"/>
        <c:crossBetween val="midCat"/>
      </c:valAx>
      <c:valAx>
        <c:axId val="232776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Type mass % in liquid</a:t>
                </a:r>
              </a:p>
            </c:rich>
          </c:tx>
          <c:layout>
            <c:manualLayout>
              <c:xMode val="edge"/>
              <c:yMode val="edge"/>
              <c:x val="1.165221951351415E-2"/>
              <c:y val="0.2904087602589374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txPr>
          <a:bodyPr/>
          <a:lstStyle/>
          <a:p>
            <a:pPr>
              <a:defRPr sz="1100"/>
            </a:pPr>
            <a:endParaRPr lang="en-US"/>
          </a:p>
        </c:txPr>
        <c:crossAx val="2327738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1540402687759264E-2"/>
          <c:y val="4.421938115371854E-2"/>
          <c:w val="0.29247422698133291"/>
          <c:h val="0.1369202618058977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85724</xdr:colOff>
      <xdr:row>6</xdr:row>
      <xdr:rowOff>76200</xdr:rowOff>
    </xdr:from>
    <xdr:to>
      <xdr:col>23</xdr:col>
      <xdr:colOff>819150</xdr:colOff>
      <xdr:row>33</xdr:row>
      <xdr:rowOff>219075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95250</xdr:colOff>
      <xdr:row>40</xdr:row>
      <xdr:rowOff>28576</xdr:rowOff>
    </xdr:from>
    <xdr:to>
      <xdr:col>23</xdr:col>
      <xdr:colOff>733426</xdr:colOff>
      <xdr:row>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107496</xdr:colOff>
      <xdr:row>4</xdr:row>
      <xdr:rowOff>36739</xdr:rowOff>
    </xdr:from>
    <xdr:to>
      <xdr:col>19</xdr:col>
      <xdr:colOff>793296</xdr:colOff>
      <xdr:row>26</xdr:row>
      <xdr:rowOff>189139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32</xdr:row>
      <xdr:rowOff>19049</xdr:rowOff>
    </xdr:from>
    <xdr:to>
      <xdr:col>19</xdr:col>
      <xdr:colOff>752475</xdr:colOff>
      <xdr:row>54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93891</xdr:colOff>
      <xdr:row>60</xdr:row>
      <xdr:rowOff>87084</xdr:rowOff>
    </xdr:from>
    <xdr:to>
      <xdr:col>19</xdr:col>
      <xdr:colOff>779691</xdr:colOff>
      <xdr:row>82</xdr:row>
      <xdr:rowOff>229960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107497</xdr:colOff>
      <xdr:row>88</xdr:row>
      <xdr:rowOff>87084</xdr:rowOff>
    </xdr:from>
    <xdr:to>
      <xdr:col>19</xdr:col>
      <xdr:colOff>793297</xdr:colOff>
      <xdr:row>110</xdr:row>
      <xdr:rowOff>229960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93890</xdr:colOff>
      <xdr:row>4</xdr:row>
      <xdr:rowOff>114299</xdr:rowOff>
    </xdr:from>
    <xdr:to>
      <xdr:col>39</xdr:col>
      <xdr:colOff>779690</xdr:colOff>
      <xdr:row>27</xdr:row>
      <xdr:rowOff>25854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121104</xdr:colOff>
      <xdr:row>32</xdr:row>
      <xdr:rowOff>46263</xdr:rowOff>
    </xdr:from>
    <xdr:to>
      <xdr:col>39</xdr:col>
      <xdr:colOff>806904</xdr:colOff>
      <xdr:row>54</xdr:row>
      <xdr:rowOff>189139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107496</xdr:colOff>
      <xdr:row>60</xdr:row>
      <xdr:rowOff>32656</xdr:rowOff>
    </xdr:from>
    <xdr:to>
      <xdr:col>39</xdr:col>
      <xdr:colOff>793296</xdr:colOff>
      <xdr:row>82</xdr:row>
      <xdr:rowOff>175532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148318</xdr:colOff>
      <xdr:row>88</xdr:row>
      <xdr:rowOff>32657</xdr:rowOff>
    </xdr:from>
    <xdr:to>
      <xdr:col>39</xdr:col>
      <xdr:colOff>834118</xdr:colOff>
      <xdr:row>110</xdr:row>
      <xdr:rowOff>175533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E3:L11" totalsRowShown="0">
  <autoFilter ref="E3:L11" xr:uid="{00000000-0009-0000-0100-000001000000}"/>
  <tableColumns count="8">
    <tableColumn id="1" xr3:uid="{00000000-0010-0000-0000-000001000000}" name="Sampled_reactor" dataDxfId="201"/>
    <tableColumn id="2" xr3:uid="{00000000-0010-0000-0000-000002000000}" name="C'Bal" dataDxfId="200"/>
    <tableColumn id="3" xr3:uid="{00000000-0010-0000-0000-000003000000}" name="M'Bal" dataDxfId="199"/>
    <tableColumn id="4" xr3:uid="{00000000-0010-0000-0000-000004000000}" name="TOS_h" dataDxfId="198">
      <calculatedColumnFormula>Liq!C$8</calculatedColumnFormula>
    </tableColumn>
    <tableColumn id="5" xr3:uid="{00000000-0010-0000-0000-000005000000}" name="Ac%Conv" dataDxfId="197">
      <calculatedColumnFormula>'C-Balance'!$C$19</calculatedColumnFormula>
    </tableColumn>
    <tableColumn id="6" xr3:uid="{00000000-0010-0000-0000-000006000000}" name="Ethy_%Sel" dataDxfId="196">
      <calculatedColumnFormula>'C-Balance'!$C$21</calculatedColumnFormula>
    </tableColumn>
    <tableColumn id="7" xr3:uid="{00000000-0010-0000-0000-000007000000}" name="C'Bal_g" dataDxfId="195">
      <calculatedColumnFormula>'R1_MB'!$C$150</calculatedColumnFormula>
    </tableColumn>
    <tableColumn id="8" xr3:uid="{00000000-0010-0000-0000-000008000000}" name="C17+%Yeild" dataDxfId="194">
      <calculatedColumnFormula>'C-Balance'!$C$15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O3:W28" totalsRowShown="0">
  <autoFilter ref="O3:W28" xr:uid="{00000000-0009-0000-0100-000002000000}"/>
  <tableColumns count="9">
    <tableColumn id="1" xr3:uid="{00000000-0010-0000-0100-000001000000}" name="Index"/>
    <tableColumn id="2" xr3:uid="{00000000-0010-0000-0100-000002000000}" name="R1" dataDxfId="193"/>
    <tableColumn id="3" xr3:uid="{00000000-0010-0000-0100-000003000000}" name="R2" dataDxfId="192"/>
    <tableColumn id="4" xr3:uid="{00000000-0010-0000-0100-000004000000}" name="R3" dataDxfId="191"/>
    <tableColumn id="5" xr3:uid="{00000000-0010-0000-0100-000005000000}" name="R4" dataDxfId="190"/>
    <tableColumn id="6" xr3:uid="{00000000-0010-0000-0100-000006000000}" name="R5" dataDxfId="189"/>
    <tableColumn id="7" xr3:uid="{00000000-0010-0000-0100-000007000000}" name="R6" dataDxfId="188"/>
    <tableColumn id="8" xr3:uid="{00000000-0010-0000-0100-000008000000}" name="R7" dataDxfId="187"/>
    <tableColumn id="9" xr3:uid="{00000000-0010-0000-0100-000009000000}" name="R8" dataDxfId="18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E15:M40" totalsRowShown="0" headerRowDxfId="185">
  <autoFilter ref="E15:M40" xr:uid="{00000000-0009-0000-0100-000003000000}"/>
  <tableColumns count="9">
    <tableColumn id="1" xr3:uid="{00000000-0010-0000-0200-000001000000}" name="Index"/>
    <tableColumn id="2" xr3:uid="{00000000-0010-0000-0200-000002000000}" name="R1" dataDxfId="184">
      <calculatedColumnFormula>IFERROR(100-('R1_MB'!$D$78/'C-Balance'!$C$17*100),"")</calculatedColumnFormula>
    </tableColumn>
    <tableColumn id="3" xr3:uid="{00000000-0010-0000-0200-000003000000}" name="R2" dataDxfId="183"/>
    <tableColumn id="4" xr3:uid="{00000000-0010-0000-0200-000004000000}" name="R3" dataDxfId="182"/>
    <tableColumn id="5" xr3:uid="{00000000-0010-0000-0200-000005000000}" name="R4" dataDxfId="181"/>
    <tableColumn id="6" xr3:uid="{00000000-0010-0000-0200-000006000000}" name="R5" dataDxfId="180"/>
    <tableColumn id="7" xr3:uid="{00000000-0010-0000-0200-000007000000}" name="R6" dataDxfId="179"/>
    <tableColumn id="8" xr3:uid="{00000000-0010-0000-0200-000008000000}" name="R7" dataDxfId="178"/>
    <tableColumn id="9" xr3:uid="{00000000-0010-0000-0200-000009000000}" name="R8" dataDxfId="1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10"/>
  <sheetViews>
    <sheetView showGridLines="0" zoomScaleNormal="100" workbookViewId="0">
      <selection activeCell="F17" sqref="F17"/>
    </sheetView>
  </sheetViews>
  <sheetFormatPr defaultColWidth="12.7109375" defaultRowHeight="18" customHeight="1" x14ac:dyDescent="0.25"/>
  <cols>
    <col min="1" max="1" width="27.7109375" style="2" customWidth="1"/>
    <col min="2" max="2" width="29.28515625" style="2" bestFit="1" customWidth="1"/>
    <col min="3" max="3" width="13.85546875" style="2" bestFit="1" customWidth="1"/>
    <col min="4" max="5" width="12.7109375" style="2" customWidth="1"/>
    <col min="6" max="6" width="35.42578125" style="2" bestFit="1" customWidth="1"/>
    <col min="7" max="9" width="12.7109375" style="2" customWidth="1"/>
    <col min="10" max="10" width="24" style="2" bestFit="1" customWidth="1"/>
    <col min="11" max="13" width="12.7109375" style="2" customWidth="1"/>
    <col min="14" max="14" width="30.28515625" style="2" bestFit="1" customWidth="1"/>
    <col min="15" max="21" width="12.7109375" style="2" customWidth="1"/>
    <col min="22" max="16384" width="12.7109375" style="2"/>
  </cols>
  <sheetData>
    <row r="1" spans="1:23" ht="18" customHeight="1" x14ac:dyDescent="0.25">
      <c r="A1" s="11" t="s">
        <v>0</v>
      </c>
      <c r="B1" s="193" t="s">
        <v>364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23" ht="44.45" customHeight="1" x14ac:dyDescent="0.25">
      <c r="A2" s="11" t="s">
        <v>1</v>
      </c>
      <c r="B2" s="194"/>
      <c r="C2" s="170"/>
      <c r="D2" s="170"/>
      <c r="E2" s="170"/>
      <c r="F2" s="260" t="s">
        <v>2</v>
      </c>
      <c r="G2" s="261"/>
      <c r="H2" s="261"/>
      <c r="I2" s="261"/>
      <c r="J2" s="262"/>
      <c r="K2" s="170"/>
      <c r="L2" s="170"/>
      <c r="M2" s="170"/>
    </row>
    <row r="3" spans="1:23" ht="18" customHeight="1" x14ac:dyDescent="0.25">
      <c r="A3" s="11" t="s">
        <v>3</v>
      </c>
      <c r="B3" s="195">
        <v>45425.583333333336</v>
      </c>
      <c r="C3" s="170"/>
      <c r="D3" s="170"/>
    </row>
    <row r="4" spans="1:23" ht="18" customHeight="1" x14ac:dyDescent="0.25">
      <c r="A4" s="11" t="s">
        <v>4</v>
      </c>
      <c r="B4" s="193"/>
      <c r="C4" s="170"/>
      <c r="D4" s="170"/>
    </row>
    <row r="6" spans="1:23" ht="18" customHeight="1" x14ac:dyDescent="0.25">
      <c r="A6" s="265" t="s">
        <v>5</v>
      </c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9"/>
      <c r="N6" s="3"/>
      <c r="O6" s="3"/>
      <c r="P6" s="3"/>
      <c r="Q6" s="3"/>
    </row>
    <row r="7" spans="1:23" ht="25.5" customHeight="1" x14ac:dyDescent="0.25">
      <c r="A7" s="9" t="s">
        <v>6</v>
      </c>
      <c r="B7" s="271" t="s">
        <v>7</v>
      </c>
      <c r="C7" s="258"/>
      <c r="D7" s="170"/>
    </row>
    <row r="8" spans="1:23" ht="18" customHeight="1" x14ac:dyDescent="0.25">
      <c r="A8" s="270"/>
      <c r="B8" s="10" t="s">
        <v>8</v>
      </c>
      <c r="C8" s="268" t="s">
        <v>9</v>
      </c>
      <c r="D8" s="259"/>
      <c r="E8" s="266" t="s">
        <v>10</v>
      </c>
      <c r="F8" s="10" t="s">
        <v>11</v>
      </c>
      <c r="G8" s="268" t="s">
        <v>9</v>
      </c>
      <c r="H8" s="259"/>
      <c r="I8" s="266" t="s">
        <v>10</v>
      </c>
      <c r="J8" s="10" t="s">
        <v>12</v>
      </c>
      <c r="K8" s="268" t="s">
        <v>9</v>
      </c>
      <c r="L8" s="259"/>
      <c r="M8" s="266" t="s">
        <v>10</v>
      </c>
      <c r="N8" s="10" t="s">
        <v>13</v>
      </c>
      <c r="O8" s="268" t="s">
        <v>9</v>
      </c>
      <c r="P8" s="259"/>
      <c r="Q8" s="266" t="s">
        <v>10</v>
      </c>
      <c r="R8" s="272"/>
      <c r="S8" s="22"/>
      <c r="T8" s="22"/>
      <c r="U8" s="22"/>
      <c r="V8" s="23"/>
      <c r="W8" s="22"/>
    </row>
    <row r="9" spans="1:23" ht="18" customHeight="1" x14ac:dyDescent="0.25">
      <c r="A9" s="267"/>
      <c r="B9" s="10" t="s">
        <v>14</v>
      </c>
      <c r="C9" s="10" t="s">
        <v>15</v>
      </c>
      <c r="D9" s="10" t="s">
        <v>16</v>
      </c>
      <c r="E9" s="267"/>
      <c r="F9" s="10" t="s">
        <v>14</v>
      </c>
      <c r="G9" s="10" t="s">
        <v>15</v>
      </c>
      <c r="H9" s="10" t="s">
        <v>16</v>
      </c>
      <c r="I9" s="267"/>
      <c r="J9" s="10" t="s">
        <v>14</v>
      </c>
      <c r="K9" s="10" t="s">
        <v>15</v>
      </c>
      <c r="L9" s="10" t="s">
        <v>16</v>
      </c>
      <c r="M9" s="267"/>
      <c r="N9" s="10" t="s">
        <v>14</v>
      </c>
      <c r="O9" s="10" t="s">
        <v>15</v>
      </c>
      <c r="P9" s="10" t="s">
        <v>16</v>
      </c>
      <c r="Q9" s="267"/>
      <c r="R9" s="273"/>
      <c r="S9" s="22"/>
      <c r="T9" s="22"/>
      <c r="U9" s="22"/>
      <c r="V9" s="24"/>
      <c r="W9" s="22"/>
    </row>
    <row r="10" spans="1:23" ht="18" customHeight="1" x14ac:dyDescent="0.25">
      <c r="A10" s="9" t="s">
        <v>17</v>
      </c>
      <c r="B10" s="174" t="s">
        <v>365</v>
      </c>
      <c r="C10" s="121">
        <v>1767</v>
      </c>
      <c r="D10" s="121">
        <v>1768</v>
      </c>
      <c r="E10" s="121">
        <v>3</v>
      </c>
      <c r="F10" s="175" t="s">
        <v>366</v>
      </c>
      <c r="G10" s="121">
        <v>1875</v>
      </c>
      <c r="H10" s="121">
        <v>1876</v>
      </c>
      <c r="I10" s="121">
        <v>3</v>
      </c>
      <c r="J10" s="175"/>
      <c r="K10" s="121"/>
      <c r="L10" s="121"/>
      <c r="M10" s="121"/>
      <c r="N10" s="175" t="s">
        <v>367</v>
      </c>
      <c r="O10" s="121">
        <v>1677</v>
      </c>
      <c r="P10" s="121">
        <v>1677</v>
      </c>
      <c r="Q10" s="121">
        <v>3</v>
      </c>
      <c r="R10" s="272"/>
      <c r="S10" s="22"/>
      <c r="T10" s="22"/>
      <c r="U10" s="22"/>
      <c r="V10" s="24"/>
      <c r="W10" s="22"/>
    </row>
    <row r="11" spans="1:23" ht="18" customHeight="1" x14ac:dyDescent="0.25">
      <c r="A11" s="9" t="s">
        <v>18</v>
      </c>
      <c r="B11" s="121"/>
      <c r="C11" s="121"/>
      <c r="D11" s="121"/>
      <c r="E11" s="110"/>
      <c r="F11" s="121"/>
      <c r="G11" s="121"/>
      <c r="H11" s="121"/>
      <c r="I11" s="110"/>
      <c r="J11" s="121"/>
      <c r="K11" s="121"/>
      <c r="L11" s="121"/>
      <c r="M11" s="110"/>
      <c r="N11" s="121"/>
      <c r="O11" s="121"/>
      <c r="P11" s="121"/>
      <c r="Q11" s="110"/>
      <c r="R11" s="273"/>
      <c r="S11" s="22"/>
      <c r="T11" s="22"/>
      <c r="U11" s="22"/>
      <c r="V11" s="24"/>
      <c r="W11" s="22"/>
    </row>
    <row r="12" spans="1:23" ht="18" customHeight="1" x14ac:dyDescent="0.25">
      <c r="A12" s="9" t="s">
        <v>19</v>
      </c>
      <c r="B12" s="121"/>
      <c r="C12" s="121"/>
      <c r="D12" s="121"/>
      <c r="E12" s="110"/>
      <c r="F12" s="121"/>
      <c r="G12" s="121"/>
      <c r="H12" s="121"/>
      <c r="I12" s="110"/>
      <c r="J12" s="121"/>
      <c r="K12" s="121"/>
      <c r="L12" s="121"/>
      <c r="M12" s="110"/>
      <c r="N12" s="121"/>
      <c r="O12" s="121"/>
      <c r="P12" s="121"/>
      <c r="Q12" s="110"/>
      <c r="R12" s="272"/>
      <c r="S12" s="22"/>
      <c r="T12" s="22"/>
      <c r="U12" s="22"/>
      <c r="V12" s="24"/>
      <c r="W12" s="22"/>
    </row>
    <row r="13" spans="1:23" ht="18" customHeight="1" x14ac:dyDescent="0.25">
      <c r="A13" s="9" t="s">
        <v>20</v>
      </c>
      <c r="B13" s="7"/>
      <c r="C13" s="26">
        <f>SUM(C10:C12)</f>
        <v>1767</v>
      </c>
      <c r="D13" s="26">
        <f>SUM(D10:D12)</f>
        <v>1768</v>
      </c>
      <c r="E13" s="27">
        <f>SUM(E10:E12)</f>
        <v>3</v>
      </c>
      <c r="F13" s="7"/>
      <c r="G13" s="26">
        <f>SUM(G10:G12)</f>
        <v>1875</v>
      </c>
      <c r="H13" s="26">
        <f>SUM(H10:H12)</f>
        <v>1876</v>
      </c>
      <c r="I13" s="27">
        <f>SUM(I10:I12)</f>
        <v>3</v>
      </c>
      <c r="J13" s="7"/>
      <c r="K13" s="26">
        <f>SUM(K10:K12)</f>
        <v>0</v>
      </c>
      <c r="L13" s="26">
        <f>SUM(L10:L12)</f>
        <v>0</v>
      </c>
      <c r="M13" s="27">
        <f>SUM(M10:M12)</f>
        <v>0</v>
      </c>
      <c r="N13" s="7"/>
      <c r="O13" s="26">
        <f>SUM(O10:O12)</f>
        <v>1677</v>
      </c>
      <c r="P13" s="26">
        <f>SUM(P10:P12)</f>
        <v>1677</v>
      </c>
      <c r="Q13" s="27">
        <f>SUM(Q10:Q12)</f>
        <v>3</v>
      </c>
      <c r="R13" s="273"/>
      <c r="S13" s="22"/>
      <c r="T13" s="22"/>
      <c r="U13" s="22"/>
      <c r="V13" s="22"/>
      <c r="W13" s="22"/>
    </row>
    <row r="14" spans="1:23" ht="18" customHeight="1" x14ac:dyDescent="0.25">
      <c r="A14" s="9" t="s">
        <v>21</v>
      </c>
      <c r="B14" s="269" t="str">
        <f>IF(OR(B12="", B12="-"), IF(OR(B11="", B11="-"), IF(B10="", "", CONCATENATE(B8, " Catalyst ", B10)), CONCATENATE(B8, " Catalyst ",B10, " / ", B11)),CONCATENATE(B8, " Catalyst ",B10, " / ", B11, " / ", B12))</f>
        <v>R1 Catalyst Ni2CBV-3014</v>
      </c>
      <c r="C14" s="258"/>
      <c r="D14" s="258"/>
      <c r="E14" s="259"/>
      <c r="F14" s="269" t="str">
        <f>IF(OR(F12="", F12="-"), IF(OR(F11="", F11="-"), IF(F10="", "", CONCATENATE(F8, " Catalyst ", F10)), CONCATENATE(F8, " Catalyst ",F10, " / ", F11)),CONCATENATE(F8, " Catalyst ",F10, " / ", F11, " / ", F12))</f>
        <v>R2 Catalyst Ni5CBV-3014</v>
      </c>
      <c r="G14" s="258"/>
      <c r="H14" s="258"/>
      <c r="I14" s="259"/>
      <c r="J14" s="269" t="str">
        <f>IF(OR(J12="", J12="-"), IF(OR(J11="", J11="-"), IF(J10="", "", CONCATENATE(J8, " Catalyst ", J10)), CONCATENATE(J8, " Catalyst ",J10, " / ", J11)),CONCATENATE(J8, " Catalyst ",J10, " / ", J11, " / ", J12))</f>
        <v/>
      </c>
      <c r="K14" s="258"/>
      <c r="L14" s="258"/>
      <c r="M14" s="259"/>
      <c r="N14" s="269" t="str">
        <f>IF(OR(N12="", N12="-"), IF(OR(N11="", N11="-"), IF(N10="", "", CONCATENATE(N8, " Catalyst ", N10)), CONCATENATE(N8, " Catalyst ",N10, " / ", N11)),CONCATENATE(N8, " Catalyst ",N10, " / ", N11, " / ", N12))</f>
        <v>R4 Catalyst Cu5CBV500</v>
      </c>
      <c r="O14" s="258"/>
      <c r="P14" s="258"/>
      <c r="Q14" s="259"/>
      <c r="R14" s="162"/>
      <c r="S14" s="22"/>
      <c r="T14" s="22"/>
      <c r="U14" s="22"/>
      <c r="V14" s="22"/>
      <c r="W14" s="22"/>
    </row>
    <row r="15" spans="1:23" ht="18" customHeight="1" x14ac:dyDescent="0.25">
      <c r="A15" s="284"/>
      <c r="B15" s="10" t="s">
        <v>22</v>
      </c>
      <c r="C15" s="268" t="s">
        <v>9</v>
      </c>
      <c r="D15" s="259"/>
      <c r="E15" s="266" t="s">
        <v>10</v>
      </c>
      <c r="F15" s="10" t="s">
        <v>23</v>
      </c>
      <c r="G15" s="268" t="s">
        <v>9</v>
      </c>
      <c r="H15" s="259"/>
      <c r="I15" s="266" t="s">
        <v>10</v>
      </c>
      <c r="J15" s="10" t="s">
        <v>24</v>
      </c>
      <c r="K15" s="268" t="s">
        <v>9</v>
      </c>
      <c r="L15" s="259"/>
      <c r="M15" s="266" t="s">
        <v>10</v>
      </c>
      <c r="N15" s="10" t="s">
        <v>25</v>
      </c>
      <c r="O15" s="268" t="s">
        <v>9</v>
      </c>
      <c r="P15" s="259"/>
      <c r="Q15" s="266" t="s">
        <v>10</v>
      </c>
      <c r="R15" s="22"/>
      <c r="S15" s="22"/>
      <c r="T15" s="22"/>
      <c r="U15" s="22"/>
      <c r="V15" s="22"/>
      <c r="W15" s="22"/>
    </row>
    <row r="16" spans="1:23" ht="18" customHeight="1" x14ac:dyDescent="0.25">
      <c r="A16" s="267"/>
      <c r="B16" s="10" t="s">
        <v>14</v>
      </c>
      <c r="C16" s="10" t="s">
        <v>15</v>
      </c>
      <c r="D16" s="10" t="s">
        <v>16</v>
      </c>
      <c r="E16" s="267"/>
      <c r="F16" s="10" t="s">
        <v>14</v>
      </c>
      <c r="G16" s="10" t="s">
        <v>15</v>
      </c>
      <c r="H16" s="10" t="s">
        <v>16</v>
      </c>
      <c r="I16" s="267"/>
      <c r="J16" s="10" t="s">
        <v>14</v>
      </c>
      <c r="K16" s="10" t="s">
        <v>15</v>
      </c>
      <c r="L16" s="10" t="s">
        <v>16</v>
      </c>
      <c r="M16" s="267"/>
      <c r="N16" s="10" t="s">
        <v>14</v>
      </c>
      <c r="O16" s="10" t="s">
        <v>15</v>
      </c>
      <c r="P16" s="10" t="s">
        <v>16</v>
      </c>
      <c r="Q16" s="267"/>
      <c r="R16" s="22"/>
      <c r="S16" s="22"/>
      <c r="T16" s="22"/>
      <c r="U16" s="22"/>
      <c r="V16" s="22"/>
      <c r="W16" s="22"/>
    </row>
    <row r="17" spans="1:24" ht="18" customHeight="1" x14ac:dyDescent="0.25">
      <c r="A17" s="9" t="s">
        <v>17</v>
      </c>
      <c r="B17" s="174" t="s">
        <v>368</v>
      </c>
      <c r="C17" s="121">
        <v>3825.6</v>
      </c>
      <c r="D17" s="121"/>
      <c r="E17" s="121"/>
      <c r="F17" s="175" t="s">
        <v>369</v>
      </c>
      <c r="G17" s="121">
        <v>1410</v>
      </c>
      <c r="H17" s="121">
        <v>1411</v>
      </c>
      <c r="I17" s="121">
        <v>3</v>
      </c>
      <c r="J17" s="175" t="s">
        <v>365</v>
      </c>
      <c r="K17" s="121">
        <v>1767</v>
      </c>
      <c r="L17" s="121">
        <v>1771</v>
      </c>
      <c r="M17" s="121">
        <v>3</v>
      </c>
      <c r="N17" s="175" t="s">
        <v>370</v>
      </c>
      <c r="O17" s="121">
        <v>1710</v>
      </c>
      <c r="P17" s="121">
        <v>1713</v>
      </c>
      <c r="Q17" s="121">
        <v>3</v>
      </c>
      <c r="R17" s="22"/>
      <c r="S17" s="22"/>
      <c r="T17" s="22"/>
      <c r="U17" s="22"/>
      <c r="V17" s="22"/>
      <c r="W17" s="22"/>
    </row>
    <row r="18" spans="1:24" ht="18" customHeight="1" x14ac:dyDescent="0.25">
      <c r="A18" s="9" t="s">
        <v>18</v>
      </c>
      <c r="B18" s="121"/>
      <c r="C18" s="121"/>
      <c r="D18" s="121"/>
      <c r="E18" s="110"/>
      <c r="F18" s="121"/>
      <c r="G18" s="121"/>
      <c r="H18" s="121"/>
      <c r="I18" s="110"/>
      <c r="J18" s="121"/>
      <c r="K18" s="121"/>
      <c r="L18" s="121"/>
      <c r="M18" s="110"/>
      <c r="N18" s="121"/>
      <c r="O18" s="121"/>
      <c r="P18" s="121"/>
      <c r="Q18" s="110"/>
      <c r="R18" s="22"/>
      <c r="S18" s="22"/>
      <c r="T18" s="22"/>
      <c r="U18" s="22"/>
      <c r="V18" s="22"/>
      <c r="W18" s="22"/>
    </row>
    <row r="19" spans="1:24" ht="18" customHeight="1" x14ac:dyDescent="0.25">
      <c r="A19" s="9" t="s">
        <v>19</v>
      </c>
      <c r="B19" s="121"/>
      <c r="C19" s="121"/>
      <c r="D19" s="121"/>
      <c r="E19" s="110"/>
      <c r="F19" s="121"/>
      <c r="G19" s="121"/>
      <c r="H19" s="121"/>
      <c r="I19" s="110"/>
      <c r="J19" s="121"/>
      <c r="K19" s="121"/>
      <c r="L19" s="121"/>
      <c r="M19" s="110"/>
      <c r="N19" s="121"/>
      <c r="O19" s="121"/>
      <c r="P19" s="121"/>
      <c r="Q19" s="110"/>
      <c r="R19" s="22"/>
      <c r="S19" s="22"/>
      <c r="T19" s="22"/>
      <c r="U19" s="22"/>
      <c r="V19" s="22"/>
      <c r="W19" s="22"/>
    </row>
    <row r="20" spans="1:24" ht="18" customHeight="1" x14ac:dyDescent="0.25">
      <c r="A20" s="9" t="s">
        <v>26</v>
      </c>
      <c r="B20" s="7"/>
      <c r="C20" s="26">
        <f>SUM(C17:C19)</f>
        <v>3825.6</v>
      </c>
      <c r="D20" s="26">
        <f>SUM(D17:D19)</f>
        <v>0</v>
      </c>
      <c r="E20" s="27">
        <f>SUM(E17:E19)</f>
        <v>0</v>
      </c>
      <c r="F20" s="7"/>
      <c r="G20" s="26">
        <f>SUM(G17:G19)</f>
        <v>1410</v>
      </c>
      <c r="H20" s="26">
        <f>SUM(H17:H19)</f>
        <v>1411</v>
      </c>
      <c r="I20" s="27">
        <f>SUM(I17:I19)</f>
        <v>3</v>
      </c>
      <c r="J20" s="7"/>
      <c r="K20" s="26">
        <f>SUM(K17:K19)</f>
        <v>1767</v>
      </c>
      <c r="L20" s="26">
        <f>SUM(L17:L19)</f>
        <v>1771</v>
      </c>
      <c r="M20" s="27">
        <f>SUM(M17:M19)</f>
        <v>3</v>
      </c>
      <c r="N20" s="7"/>
      <c r="O20" s="26">
        <f>SUM(O17:O19)</f>
        <v>1710</v>
      </c>
      <c r="P20" s="26">
        <f>SUM(P17:P19)</f>
        <v>1713</v>
      </c>
      <c r="Q20" s="27">
        <f>SUM(Q17:Q19)</f>
        <v>3</v>
      </c>
      <c r="R20" s="22"/>
      <c r="S20" s="22"/>
      <c r="T20" s="22"/>
      <c r="U20" s="22"/>
      <c r="V20" s="22"/>
      <c r="W20" s="22"/>
    </row>
    <row r="21" spans="1:24" ht="18" customHeight="1" x14ac:dyDescent="0.25">
      <c r="A21" s="9" t="s">
        <v>21</v>
      </c>
      <c r="B21" s="269" t="str">
        <f>IF(OR(B19="", B19="-"), IF(OR(B18="", B18="-"), IF(B17="", "", CONCATENATE(B15, " Catalyst ", B17)), CONCATENATE(B15, " Catalyst ",B17, " / ", B18)),CONCATENATE(B15, " Catalyst ",B17, " / ", B18, " / ", B19))</f>
        <v>R5 Catalyst alpha-Alumina</v>
      </c>
      <c r="C21" s="258"/>
      <c r="D21" s="258"/>
      <c r="E21" s="259"/>
      <c r="F21" s="269" t="str">
        <f>IF(OR(F19="", F19="-"), IF(OR(F18="", F18="-"), IF(F17="", "", CONCATENATE(F15, " Catalyst ", F17)), CONCATENATE(F15, " Catalyst ",F17, " / ", F18)),CONCATENATE(F15, " Catalyst ",F17, " / ", F18, " / ", F19))</f>
        <v>R6 Catalyst Cu5CBV720</v>
      </c>
      <c r="G21" s="258"/>
      <c r="H21" s="258"/>
      <c r="I21" s="259"/>
      <c r="J21" s="269" t="str">
        <f>IF(OR(J19="", J19="-"), IF(OR(J18="", J18="-"), IF(J17="", "", CONCATENATE(J15, " Catalyst ", J17)), CONCATENATE(J15, " Catalyst ",J17, " / ", J18)),CONCATENATE(J15, " Catalyst ",J17, " / ", J18, " / ", J19))</f>
        <v>R7 Catalyst Ni2CBV-3014</v>
      </c>
      <c r="K21" s="258"/>
      <c r="L21" s="258"/>
      <c r="M21" s="259"/>
      <c r="N21" s="269" t="str">
        <f>IF(OR(N19="", N19="-"), IF(OR(N18="", N18="-"), IF(N17="", "", CONCATENATE(N15, " Catalyst ", N17)), CONCATENATE(N15, " Catalyst ",N17, " / ", N18)),CONCATENATE(N15, " Catalyst ",N17, " / ", N18, " / ", N19))</f>
        <v>R8 Catalyst Ni5CBV500</v>
      </c>
      <c r="O21" s="258"/>
      <c r="P21" s="258"/>
      <c r="Q21" s="259"/>
      <c r="R21" s="162"/>
      <c r="S21" s="22"/>
      <c r="T21" s="22"/>
      <c r="U21" s="22"/>
      <c r="V21" s="22"/>
      <c r="W21" s="22"/>
    </row>
    <row r="22" spans="1:24" ht="18" customHeight="1" x14ac:dyDescent="0.25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24" ht="18" customHeight="1" x14ac:dyDescent="0.25">
      <c r="A23" s="265" t="s">
        <v>27</v>
      </c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9"/>
      <c r="N23" s="274" t="s">
        <v>28</v>
      </c>
      <c r="O23" s="86" t="s">
        <v>29</v>
      </c>
      <c r="P23" s="86" t="s">
        <v>30</v>
      </c>
      <c r="Q23" s="70"/>
      <c r="R23" s="70"/>
      <c r="S23" s="70"/>
      <c r="T23" s="70"/>
      <c r="U23" s="70"/>
      <c r="V23" s="70"/>
      <c r="W23" s="70"/>
      <c r="X23" s="70"/>
    </row>
    <row r="24" spans="1:24" ht="18" customHeight="1" x14ac:dyDescent="0.25">
      <c r="A24" s="9" t="s">
        <v>31</v>
      </c>
      <c r="B24" s="10" t="s">
        <v>32</v>
      </c>
      <c r="C24" s="10" t="s">
        <v>33</v>
      </c>
      <c r="D24" s="10" t="s">
        <v>34</v>
      </c>
      <c r="E24" s="10" t="s">
        <v>35</v>
      </c>
      <c r="F24" s="10" t="s">
        <v>36</v>
      </c>
      <c r="G24" s="10" t="s">
        <v>37</v>
      </c>
      <c r="H24" s="10" t="s">
        <v>38</v>
      </c>
      <c r="I24" s="10" t="s">
        <v>39</v>
      </c>
      <c r="J24" s="10" t="s">
        <v>40</v>
      </c>
      <c r="K24" s="10" t="s">
        <v>41</v>
      </c>
      <c r="L24" s="10" t="s">
        <v>42</v>
      </c>
      <c r="M24" s="10" t="s">
        <v>43</v>
      </c>
      <c r="N24" s="275"/>
      <c r="O24" s="70" t="s">
        <v>32</v>
      </c>
      <c r="P24" s="70" t="s">
        <v>39</v>
      </c>
      <c r="Q24" s="70" t="s">
        <v>34</v>
      </c>
      <c r="R24" s="70" t="s">
        <v>38</v>
      </c>
      <c r="S24" s="70" t="s">
        <v>37</v>
      </c>
      <c r="T24" s="70" t="s">
        <v>35</v>
      </c>
      <c r="U24" s="70" t="s">
        <v>33</v>
      </c>
      <c r="V24" s="70" t="s">
        <v>36</v>
      </c>
      <c r="W24" s="70" t="s">
        <v>40</v>
      </c>
      <c r="X24" s="70" t="s">
        <v>44</v>
      </c>
    </row>
    <row r="25" spans="1:24" ht="18" customHeight="1" x14ac:dyDescent="0.25">
      <c r="A25" s="9" t="s">
        <v>45</v>
      </c>
      <c r="B25" s="121"/>
      <c r="C25" s="121"/>
      <c r="D25" s="121"/>
      <c r="E25" s="121"/>
      <c r="F25" s="121"/>
      <c r="G25" s="121"/>
      <c r="H25" s="121"/>
      <c r="I25" s="121" t="s">
        <v>29</v>
      </c>
      <c r="J25" s="121" t="s">
        <v>29</v>
      </c>
      <c r="K25" s="34"/>
      <c r="L25" s="34" t="s">
        <v>46</v>
      </c>
      <c r="M25" s="161">
        <v>0.90139999999999998</v>
      </c>
      <c r="N25" s="267"/>
      <c r="O25" s="70"/>
      <c r="P25" s="70"/>
      <c r="Q25" s="70"/>
      <c r="R25" s="70"/>
      <c r="S25" s="70"/>
      <c r="T25" s="70"/>
      <c r="U25" s="70"/>
      <c r="V25" s="70"/>
      <c r="W25" s="70"/>
      <c r="X25" s="70"/>
    </row>
    <row r="26" spans="1:24" ht="18" customHeight="1" x14ac:dyDescent="0.25">
      <c r="A26" s="9" t="s">
        <v>47</v>
      </c>
      <c r="B26" s="121"/>
      <c r="C26" s="121"/>
      <c r="D26" s="121"/>
      <c r="E26" s="121"/>
      <c r="F26" s="121"/>
      <c r="G26" s="121"/>
      <c r="H26" s="121"/>
      <c r="I26" s="121">
        <v>5</v>
      </c>
      <c r="J26" s="121">
        <v>95</v>
      </c>
      <c r="K26" s="34">
        <v>100</v>
      </c>
      <c r="L26" s="121"/>
      <c r="M26" s="121"/>
      <c r="N26" s="159" t="s">
        <v>29</v>
      </c>
      <c r="O26" s="70">
        <f t="shared" ref="O26:W31" si="0">IF(B$25="Yes", B26, 0)</f>
        <v>0</v>
      </c>
      <c r="P26" s="70">
        <f t="shared" si="0"/>
        <v>0</v>
      </c>
      <c r="Q26" s="70">
        <f t="shared" si="0"/>
        <v>0</v>
      </c>
      <c r="R26" s="70">
        <f t="shared" si="0"/>
        <v>0</v>
      </c>
      <c r="S26" s="70">
        <f t="shared" si="0"/>
        <v>0</v>
      </c>
      <c r="T26" s="70">
        <f t="shared" si="0"/>
        <v>0</v>
      </c>
      <c r="U26" s="70">
        <f t="shared" si="0"/>
        <v>0</v>
      </c>
      <c r="V26" s="70">
        <f t="shared" si="0"/>
        <v>5</v>
      </c>
      <c r="W26" s="70">
        <f t="shared" si="0"/>
        <v>95</v>
      </c>
      <c r="X26" s="70">
        <f t="shared" ref="X26:X31" si="1">SUM(O26:W26)</f>
        <v>100</v>
      </c>
    </row>
    <row r="27" spans="1:24" ht="18" customHeight="1" x14ac:dyDescent="0.25">
      <c r="A27" s="9" t="s">
        <v>48</v>
      </c>
      <c r="B27" s="121"/>
      <c r="C27" s="121"/>
      <c r="D27" s="121"/>
      <c r="E27" s="121"/>
      <c r="F27" s="121"/>
      <c r="G27" s="121"/>
      <c r="H27" s="121"/>
      <c r="I27" s="121">
        <v>5</v>
      </c>
      <c r="J27" s="121">
        <v>95</v>
      </c>
      <c r="K27" s="34">
        <v>100</v>
      </c>
      <c r="L27" s="121"/>
      <c r="M27" s="121"/>
      <c r="N27" s="159" t="s">
        <v>29</v>
      </c>
      <c r="O27" s="70">
        <f t="shared" si="0"/>
        <v>0</v>
      </c>
      <c r="P27" s="70">
        <f t="shared" si="0"/>
        <v>0</v>
      </c>
      <c r="Q27" s="70">
        <f t="shared" si="0"/>
        <v>0</v>
      </c>
      <c r="R27" s="70">
        <f t="shared" si="0"/>
        <v>0</v>
      </c>
      <c r="S27" s="70">
        <f t="shared" si="0"/>
        <v>0</v>
      </c>
      <c r="T27" s="70">
        <f t="shared" si="0"/>
        <v>0</v>
      </c>
      <c r="U27" s="70">
        <f t="shared" si="0"/>
        <v>0</v>
      </c>
      <c r="V27" s="70">
        <f t="shared" si="0"/>
        <v>5</v>
      </c>
      <c r="W27" s="70">
        <f t="shared" si="0"/>
        <v>95</v>
      </c>
      <c r="X27" s="70">
        <f t="shared" si="1"/>
        <v>100</v>
      </c>
    </row>
    <row r="28" spans="1:24" ht="18" customHeight="1" x14ac:dyDescent="0.25">
      <c r="A28" s="9" t="s">
        <v>49</v>
      </c>
      <c r="B28" s="121"/>
      <c r="C28" s="121"/>
      <c r="D28" s="121"/>
      <c r="E28" s="121"/>
      <c r="F28" s="121"/>
      <c r="G28" s="121"/>
      <c r="H28" s="121"/>
      <c r="I28" s="121">
        <v>5</v>
      </c>
      <c r="J28" s="121">
        <v>95</v>
      </c>
      <c r="K28" s="34">
        <v>100</v>
      </c>
      <c r="L28" s="121"/>
      <c r="M28" s="121"/>
      <c r="N28" s="159" t="s">
        <v>29</v>
      </c>
      <c r="O28" s="70">
        <f t="shared" si="0"/>
        <v>0</v>
      </c>
      <c r="P28" s="70">
        <f t="shared" si="0"/>
        <v>0</v>
      </c>
      <c r="Q28" s="70">
        <f t="shared" si="0"/>
        <v>0</v>
      </c>
      <c r="R28" s="70">
        <f t="shared" si="0"/>
        <v>0</v>
      </c>
      <c r="S28" s="70">
        <f t="shared" si="0"/>
        <v>0</v>
      </c>
      <c r="T28" s="70">
        <f t="shared" si="0"/>
        <v>0</v>
      </c>
      <c r="U28" s="70">
        <f t="shared" si="0"/>
        <v>0</v>
      </c>
      <c r="V28" s="70">
        <f t="shared" si="0"/>
        <v>5</v>
      </c>
      <c r="W28" s="70">
        <f t="shared" si="0"/>
        <v>95</v>
      </c>
      <c r="X28" s="70">
        <f t="shared" si="1"/>
        <v>100</v>
      </c>
    </row>
    <row r="29" spans="1:24" ht="18" customHeight="1" x14ac:dyDescent="0.25">
      <c r="A29" s="9" t="s">
        <v>50</v>
      </c>
      <c r="B29" s="121"/>
      <c r="C29" s="121"/>
      <c r="D29" s="121"/>
      <c r="E29" s="121"/>
      <c r="F29" s="121"/>
      <c r="G29" s="121"/>
      <c r="H29" s="121"/>
      <c r="I29" s="121">
        <v>5</v>
      </c>
      <c r="J29" s="121">
        <v>95</v>
      </c>
      <c r="K29" s="34">
        <v>100</v>
      </c>
      <c r="L29" s="121"/>
      <c r="M29" s="121"/>
      <c r="N29" s="159" t="s">
        <v>29</v>
      </c>
      <c r="O29" s="70">
        <f t="shared" si="0"/>
        <v>0</v>
      </c>
      <c r="P29" s="70">
        <f t="shared" si="0"/>
        <v>0</v>
      </c>
      <c r="Q29" s="70">
        <f t="shared" si="0"/>
        <v>0</v>
      </c>
      <c r="R29" s="70">
        <f t="shared" si="0"/>
        <v>0</v>
      </c>
      <c r="S29" s="70">
        <f t="shared" si="0"/>
        <v>0</v>
      </c>
      <c r="T29" s="70">
        <f t="shared" si="0"/>
        <v>0</v>
      </c>
      <c r="U29" s="70">
        <f t="shared" si="0"/>
        <v>0</v>
      </c>
      <c r="V29" s="70">
        <f t="shared" si="0"/>
        <v>5</v>
      </c>
      <c r="W29" s="70">
        <f t="shared" si="0"/>
        <v>95</v>
      </c>
      <c r="X29" s="70">
        <f t="shared" si="1"/>
        <v>100</v>
      </c>
    </row>
    <row r="30" spans="1:24" ht="18" customHeight="1" x14ac:dyDescent="0.25">
      <c r="A30" s="9" t="s">
        <v>51</v>
      </c>
      <c r="B30" s="121"/>
      <c r="C30" s="121"/>
      <c r="D30" s="121"/>
      <c r="E30" s="121"/>
      <c r="F30" s="121"/>
      <c r="G30" s="121"/>
      <c r="H30" s="121"/>
      <c r="I30" s="121">
        <v>5</v>
      </c>
      <c r="J30" s="121">
        <v>95</v>
      </c>
      <c r="K30" s="34">
        <v>100</v>
      </c>
      <c r="L30" s="121"/>
      <c r="M30" s="121"/>
      <c r="N30" s="159" t="s">
        <v>29</v>
      </c>
      <c r="O30" s="70">
        <f t="shared" si="0"/>
        <v>0</v>
      </c>
      <c r="P30" s="70">
        <f t="shared" si="0"/>
        <v>0</v>
      </c>
      <c r="Q30" s="70">
        <f t="shared" si="0"/>
        <v>0</v>
      </c>
      <c r="R30" s="70">
        <f t="shared" si="0"/>
        <v>0</v>
      </c>
      <c r="S30" s="70">
        <f t="shared" si="0"/>
        <v>0</v>
      </c>
      <c r="T30" s="70">
        <f t="shared" si="0"/>
        <v>0</v>
      </c>
      <c r="U30" s="70">
        <f t="shared" si="0"/>
        <v>0</v>
      </c>
      <c r="V30" s="70">
        <f t="shared" si="0"/>
        <v>5</v>
      </c>
      <c r="W30" s="70">
        <f t="shared" si="0"/>
        <v>95</v>
      </c>
      <c r="X30" s="70">
        <f t="shared" si="1"/>
        <v>100</v>
      </c>
    </row>
    <row r="31" spans="1:24" ht="18" customHeight="1" x14ac:dyDescent="0.25">
      <c r="A31" s="9" t="s">
        <v>52</v>
      </c>
      <c r="B31" s="121"/>
      <c r="C31" s="121"/>
      <c r="D31" s="121"/>
      <c r="E31" s="121"/>
      <c r="F31" s="121"/>
      <c r="G31" s="121"/>
      <c r="H31" s="121"/>
      <c r="I31" s="121">
        <v>5</v>
      </c>
      <c r="J31" s="121">
        <v>95</v>
      </c>
      <c r="K31" s="34">
        <v>100</v>
      </c>
      <c r="L31" s="121"/>
      <c r="M31" s="121"/>
      <c r="N31" s="159" t="s">
        <v>29</v>
      </c>
      <c r="O31" s="70">
        <f t="shared" si="0"/>
        <v>0</v>
      </c>
      <c r="P31" s="70">
        <f t="shared" si="0"/>
        <v>0</v>
      </c>
      <c r="Q31" s="70">
        <f t="shared" si="0"/>
        <v>0</v>
      </c>
      <c r="R31" s="70">
        <f t="shared" si="0"/>
        <v>0</v>
      </c>
      <c r="S31" s="70">
        <f t="shared" si="0"/>
        <v>0</v>
      </c>
      <c r="T31" s="70">
        <f t="shared" si="0"/>
        <v>0</v>
      </c>
      <c r="U31" s="70">
        <f t="shared" si="0"/>
        <v>0</v>
      </c>
      <c r="V31" s="70">
        <f t="shared" si="0"/>
        <v>5</v>
      </c>
      <c r="W31" s="70">
        <f t="shared" si="0"/>
        <v>95</v>
      </c>
      <c r="X31" s="70">
        <f t="shared" si="1"/>
        <v>100</v>
      </c>
    </row>
    <row r="32" spans="1:24" ht="18" customHeight="1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24" ht="18" customHeight="1" x14ac:dyDescent="0.25">
      <c r="A33" s="265" t="s">
        <v>53</v>
      </c>
      <c r="B33" s="258"/>
      <c r="C33" s="258"/>
      <c r="D33" s="258"/>
      <c r="E33" s="258"/>
      <c r="F33" s="258"/>
      <c r="G33" s="258"/>
      <c r="H33" s="258"/>
      <c r="I33" s="258"/>
      <c r="J33" s="258"/>
      <c r="K33" s="258"/>
      <c r="L33" s="259"/>
      <c r="M33" s="3"/>
      <c r="N33" s="263"/>
      <c r="O33" s="99"/>
      <c r="P33" s="99"/>
      <c r="Q33" s="100"/>
      <c r="R33" s="100"/>
      <c r="S33" s="100"/>
      <c r="T33" s="100"/>
      <c r="U33" s="100"/>
      <c r="V33" s="100"/>
      <c r="W33" s="100"/>
      <c r="X33" s="100"/>
    </row>
    <row r="34" spans="1:24" ht="18" customHeight="1" x14ac:dyDescent="0.25">
      <c r="A34" s="9" t="s">
        <v>54</v>
      </c>
      <c r="B34" s="10" t="s">
        <v>32</v>
      </c>
      <c r="C34" s="10" t="s">
        <v>33</v>
      </c>
      <c r="D34" s="10" t="s">
        <v>34</v>
      </c>
      <c r="E34" s="10" t="s">
        <v>35</v>
      </c>
      <c r="F34" s="10" t="s">
        <v>36</v>
      </c>
      <c r="G34" s="10" t="s">
        <v>37</v>
      </c>
      <c r="H34" s="10" t="s">
        <v>38</v>
      </c>
      <c r="I34" s="10" t="s">
        <v>55</v>
      </c>
      <c r="J34" s="10" t="s">
        <v>56</v>
      </c>
      <c r="K34" s="10" t="s">
        <v>57</v>
      </c>
      <c r="L34" s="10" t="s">
        <v>44</v>
      </c>
      <c r="M34" s="4"/>
      <c r="N34" s="264"/>
      <c r="O34" s="100"/>
      <c r="P34" s="100"/>
      <c r="Q34" s="100"/>
      <c r="R34" s="100"/>
      <c r="S34" s="100"/>
      <c r="T34" s="100"/>
      <c r="U34" s="100"/>
      <c r="V34" s="100"/>
      <c r="W34" s="100"/>
      <c r="X34" s="100"/>
    </row>
    <row r="35" spans="1:24" ht="18" customHeight="1" x14ac:dyDescent="0.25">
      <c r="A35" s="9" t="s">
        <v>58</v>
      </c>
      <c r="B35" s="118">
        <f>ZMB!$B$22</f>
        <v>20.9043226</v>
      </c>
      <c r="C35" s="118">
        <f>ZMB!$B$23</f>
        <v>1.6127312</v>
      </c>
      <c r="D35" s="118">
        <f>ZMB!$B$24</f>
        <v>2.5354912000000001</v>
      </c>
      <c r="E35" s="118">
        <f>ZMB!$B$25</f>
        <v>1.7224E-3</v>
      </c>
      <c r="F35" s="118">
        <f>ZMB!$B$26</f>
        <v>59.797879600000002</v>
      </c>
      <c r="G35" s="118">
        <f>ZMB!$B$27</f>
        <v>0</v>
      </c>
      <c r="H35" s="118">
        <f>ZMB!$B$28</f>
        <v>0</v>
      </c>
      <c r="I35" s="118">
        <f>ZMB!$B$29</f>
        <v>7.8221248000000001</v>
      </c>
      <c r="J35" s="118">
        <f>ZMB!$B$30</f>
        <v>0</v>
      </c>
      <c r="K35" s="118">
        <f>ZMB!$B$31</f>
        <v>0</v>
      </c>
      <c r="L35" s="88">
        <f>SUM(B35:K35)</f>
        <v>92.6742718</v>
      </c>
      <c r="N35" s="264"/>
      <c r="O35" s="100"/>
      <c r="P35" s="100"/>
      <c r="Q35" s="100"/>
      <c r="R35" s="100"/>
      <c r="S35" s="100"/>
      <c r="T35" s="100"/>
      <c r="U35" s="100"/>
      <c r="V35" s="100"/>
      <c r="W35" s="100"/>
      <c r="X35" s="100"/>
    </row>
    <row r="36" spans="1:24" ht="18" customHeight="1" x14ac:dyDescent="0.25">
      <c r="A36" s="9" t="s">
        <v>59</v>
      </c>
      <c r="B36" s="103">
        <f t="shared" ref="B36:K36" si="2">IFERROR(100*B38/SUM($B$38:$K$38),"")</f>
        <v>2.0998423472635057</v>
      </c>
      <c r="C36" s="103">
        <f t="shared" si="2"/>
        <v>2.2543266425851143</v>
      </c>
      <c r="D36" s="103">
        <f t="shared" si="2"/>
        <v>2.0267853395976245</v>
      </c>
      <c r="E36" s="103">
        <f t="shared" si="2"/>
        <v>2.5806404962567578E-3</v>
      </c>
      <c r="F36" s="103">
        <f t="shared" si="2"/>
        <v>83.468185374104024</v>
      </c>
      <c r="G36" s="103">
        <f t="shared" si="2"/>
        <v>0</v>
      </c>
      <c r="H36" s="103">
        <f t="shared" si="2"/>
        <v>0</v>
      </c>
      <c r="I36" s="103">
        <f t="shared" si="2"/>
        <v>10.148279655953468</v>
      </c>
      <c r="J36" s="103">
        <f t="shared" si="2"/>
        <v>0</v>
      </c>
      <c r="K36" s="103">
        <f t="shared" si="2"/>
        <v>0</v>
      </c>
      <c r="L36" s="88">
        <f>SUM(B36:K36)</f>
        <v>100</v>
      </c>
      <c r="N36" s="101"/>
      <c r="O36" s="100"/>
      <c r="P36" s="100"/>
      <c r="Q36" s="100"/>
      <c r="R36" s="100"/>
      <c r="S36" s="100"/>
      <c r="T36" s="100"/>
      <c r="U36" s="100"/>
      <c r="V36" s="100"/>
      <c r="W36" s="100"/>
      <c r="X36" s="100"/>
    </row>
    <row r="37" spans="1:24" ht="18" hidden="1" customHeight="1" x14ac:dyDescent="0.25">
      <c r="A37" s="9" t="s">
        <v>60</v>
      </c>
      <c r="B37" s="161">
        <v>2.016</v>
      </c>
      <c r="C37" s="161">
        <v>28.053999999999998</v>
      </c>
      <c r="D37" s="161">
        <v>16.042999999999999</v>
      </c>
      <c r="E37" s="161">
        <v>30.07</v>
      </c>
      <c r="F37" s="161">
        <v>28.013999999999999</v>
      </c>
      <c r="G37" s="161">
        <v>44.009</v>
      </c>
      <c r="H37" s="161">
        <v>28.01</v>
      </c>
      <c r="I37" s="161">
        <v>26.038</v>
      </c>
      <c r="J37" s="161">
        <v>42.081000000000003</v>
      </c>
      <c r="K37" s="34">
        <v>44.097000000000001</v>
      </c>
      <c r="L37" s="88"/>
      <c r="N37" s="101"/>
      <c r="O37" s="100"/>
      <c r="P37" s="100"/>
      <c r="Q37" s="100"/>
      <c r="R37" s="100"/>
      <c r="S37" s="100"/>
      <c r="T37" s="100"/>
      <c r="U37" s="100"/>
      <c r="V37" s="100"/>
      <c r="W37" s="100"/>
      <c r="X37" s="100"/>
    </row>
    <row r="38" spans="1:24" ht="18" hidden="1" customHeight="1" x14ac:dyDescent="0.25">
      <c r="A38" s="9" t="s">
        <v>61</v>
      </c>
      <c r="B38" s="34">
        <f t="shared" ref="B38:K38" si="3">B35*B37</f>
        <v>42.143114361599999</v>
      </c>
      <c r="C38" s="34">
        <f t="shared" si="3"/>
        <v>45.2435610848</v>
      </c>
      <c r="D38" s="34">
        <f t="shared" si="3"/>
        <v>40.676885321599997</v>
      </c>
      <c r="E38" s="34">
        <f t="shared" si="3"/>
        <v>5.1792568000000004E-2</v>
      </c>
      <c r="F38" s="34">
        <f t="shared" si="3"/>
        <v>1675.1777991143999</v>
      </c>
      <c r="G38" s="34">
        <f t="shared" si="3"/>
        <v>0</v>
      </c>
      <c r="H38" s="34">
        <f t="shared" si="3"/>
        <v>0</v>
      </c>
      <c r="I38" s="34">
        <f t="shared" si="3"/>
        <v>203.67248554240001</v>
      </c>
      <c r="J38" s="34">
        <f t="shared" si="3"/>
        <v>0</v>
      </c>
      <c r="K38" s="34">
        <f t="shared" si="3"/>
        <v>0</v>
      </c>
      <c r="L38" s="88"/>
      <c r="N38" s="101"/>
      <c r="O38" s="100"/>
      <c r="P38" s="100"/>
      <c r="Q38" s="100"/>
      <c r="R38" s="100"/>
      <c r="S38" s="100"/>
      <c r="T38" s="100"/>
      <c r="U38" s="100"/>
      <c r="V38" s="100"/>
      <c r="W38" s="100"/>
      <c r="X38" s="100"/>
    </row>
    <row r="39" spans="1:24" ht="18" hidden="1" customHeight="1" x14ac:dyDescent="0.25">
      <c r="A39" s="9" t="s">
        <v>62</v>
      </c>
      <c r="B39" s="25">
        <v>0</v>
      </c>
      <c r="C39" s="25">
        <v>85.627717972481648</v>
      </c>
      <c r="D39" s="25">
        <v>74.867543476905809</v>
      </c>
      <c r="E39" s="25">
        <v>79.88693049551047</v>
      </c>
      <c r="F39" s="25">
        <v>0</v>
      </c>
      <c r="G39" s="25">
        <v>27.29214478856597</v>
      </c>
      <c r="H39" s="25">
        <v>42.881113887897179</v>
      </c>
      <c r="I39" s="25">
        <v>92.257469851755133</v>
      </c>
      <c r="J39" s="25">
        <v>85.627717972481634</v>
      </c>
      <c r="K39" s="88">
        <v>81.713041703517234</v>
      </c>
      <c r="L39" s="88"/>
      <c r="N39" s="101"/>
      <c r="O39" s="100"/>
      <c r="P39" s="100"/>
      <c r="Q39" s="100"/>
      <c r="R39" s="100"/>
      <c r="S39" s="100"/>
      <c r="T39" s="100"/>
      <c r="U39" s="100"/>
      <c r="V39" s="100"/>
      <c r="W39" s="100"/>
      <c r="X39" s="100"/>
    </row>
    <row r="40" spans="1:24" ht="18" hidden="1" customHeight="1" x14ac:dyDescent="0.25">
      <c r="A40" s="9" t="s">
        <v>63</v>
      </c>
      <c r="B40" s="25">
        <v>100</v>
      </c>
      <c r="C40" s="25">
        <v>14.37228202751835</v>
      </c>
      <c r="D40" s="25">
        <v>25.132456523094191</v>
      </c>
      <c r="E40" s="25">
        <v>20.11306950448953</v>
      </c>
      <c r="F40" s="25">
        <v>0</v>
      </c>
      <c r="G40" s="25">
        <v>0</v>
      </c>
      <c r="H40" s="25">
        <v>0</v>
      </c>
      <c r="I40" s="25">
        <v>7.7425301482448674</v>
      </c>
      <c r="J40" s="25">
        <v>14.37228202751837</v>
      </c>
      <c r="K40" s="88">
        <v>18.286958296482769</v>
      </c>
      <c r="L40" s="88"/>
      <c r="N40" s="101"/>
      <c r="O40" s="100"/>
      <c r="P40" s="100"/>
      <c r="Q40" s="100"/>
      <c r="R40" s="100"/>
      <c r="S40" s="100"/>
      <c r="T40" s="100"/>
      <c r="U40" s="100"/>
      <c r="V40" s="100"/>
      <c r="W40" s="100"/>
      <c r="X40" s="100"/>
    </row>
    <row r="41" spans="1:24" ht="18" hidden="1" customHeight="1" x14ac:dyDescent="0.25">
      <c r="A41" s="9" t="s">
        <v>64</v>
      </c>
      <c r="B41" s="25">
        <v>0</v>
      </c>
      <c r="C41" s="25">
        <v>0</v>
      </c>
      <c r="D41" s="25">
        <v>0</v>
      </c>
      <c r="E41" s="25">
        <v>0</v>
      </c>
      <c r="F41" s="25">
        <v>0</v>
      </c>
      <c r="G41" s="25">
        <v>72.707855211434023</v>
      </c>
      <c r="H41" s="25">
        <v>57.118886112102821</v>
      </c>
      <c r="I41" s="25">
        <v>0</v>
      </c>
      <c r="J41" s="25">
        <v>0</v>
      </c>
      <c r="K41" s="88">
        <v>0</v>
      </c>
      <c r="L41" s="88"/>
      <c r="N41" s="101"/>
      <c r="O41" s="100"/>
      <c r="P41" s="100"/>
      <c r="Q41" s="100"/>
      <c r="R41" s="100"/>
      <c r="S41" s="100"/>
      <c r="T41" s="100"/>
      <c r="U41" s="100"/>
      <c r="V41" s="100"/>
      <c r="W41" s="100"/>
      <c r="X41" s="100"/>
    </row>
    <row r="42" spans="1:24" ht="18" hidden="1" customHeight="1" x14ac:dyDescent="0.25">
      <c r="A42" s="9" t="s">
        <v>65</v>
      </c>
      <c r="B42" s="25">
        <v>0</v>
      </c>
      <c r="C42" s="25">
        <v>0</v>
      </c>
      <c r="D42" s="25">
        <v>0</v>
      </c>
      <c r="E42" s="25">
        <v>0</v>
      </c>
      <c r="F42" s="25">
        <v>100</v>
      </c>
      <c r="G42" s="25">
        <v>0</v>
      </c>
      <c r="H42" s="25">
        <v>0</v>
      </c>
      <c r="I42" s="25">
        <v>0</v>
      </c>
      <c r="J42" s="25">
        <v>0</v>
      </c>
      <c r="K42" s="88">
        <v>0</v>
      </c>
      <c r="L42" s="88"/>
      <c r="N42" s="101"/>
      <c r="O42" s="100"/>
      <c r="P42" s="100"/>
      <c r="Q42" s="100"/>
      <c r="R42" s="100"/>
      <c r="S42" s="100"/>
      <c r="T42" s="100"/>
      <c r="U42" s="100"/>
      <c r="V42" s="100"/>
      <c r="W42" s="100"/>
      <c r="X42" s="100"/>
    </row>
    <row r="43" spans="1:24" ht="18" hidden="1" customHeight="1" x14ac:dyDescent="0.25">
      <c r="A43" s="104" t="s">
        <v>66</v>
      </c>
      <c r="B43" s="103">
        <f t="shared" ref="B43:K43" si="4">B$36*B39/100</f>
        <v>0</v>
      </c>
      <c r="C43" s="103">
        <f t="shared" si="4"/>
        <v>1.930328459691296</v>
      </c>
      <c r="D43" s="103">
        <f t="shared" si="4"/>
        <v>1.5174043953068044</v>
      </c>
      <c r="E43" s="103">
        <f t="shared" si="4"/>
        <v>2.0615944795836327E-3</v>
      </c>
      <c r="F43" s="103">
        <f t="shared" si="4"/>
        <v>0</v>
      </c>
      <c r="G43" s="103">
        <f t="shared" si="4"/>
        <v>0</v>
      </c>
      <c r="H43" s="103">
        <f t="shared" si="4"/>
        <v>0</v>
      </c>
      <c r="I43" s="103">
        <f t="shared" si="4"/>
        <v>9.3625460440630714</v>
      </c>
      <c r="J43" s="103">
        <f t="shared" si="4"/>
        <v>0</v>
      </c>
      <c r="K43" s="103">
        <f t="shared" si="4"/>
        <v>0</v>
      </c>
      <c r="L43" s="88">
        <f>SUM(B43:K43)</f>
        <v>12.812340493540756</v>
      </c>
      <c r="N43" s="101"/>
      <c r="O43" s="100"/>
      <c r="P43" s="100"/>
      <c r="Q43" s="100"/>
      <c r="R43" s="100"/>
      <c r="S43" s="100"/>
      <c r="T43" s="100"/>
      <c r="U43" s="100"/>
      <c r="V43" s="100"/>
      <c r="W43" s="100"/>
      <c r="X43" s="100"/>
    </row>
    <row r="44" spans="1:24" ht="18" hidden="1" customHeight="1" x14ac:dyDescent="0.25">
      <c r="A44" s="104" t="s">
        <v>67</v>
      </c>
      <c r="B44" s="103">
        <f t="shared" ref="B44:K44" si="5">B$36*B40/100</f>
        <v>2.0998423472635057</v>
      </c>
      <c r="C44" s="103">
        <f t="shared" si="5"/>
        <v>0.32399818289381821</v>
      </c>
      <c r="D44" s="103">
        <f t="shared" si="5"/>
        <v>0.50938094429081993</v>
      </c>
      <c r="E44" s="103">
        <f t="shared" si="5"/>
        <v>5.1904601667312523E-4</v>
      </c>
      <c r="F44" s="103">
        <f t="shared" si="5"/>
        <v>0</v>
      </c>
      <c r="G44" s="103">
        <f t="shared" si="5"/>
        <v>0</v>
      </c>
      <c r="H44" s="103">
        <f t="shared" si="5"/>
        <v>0</v>
      </c>
      <c r="I44" s="103">
        <f t="shared" si="5"/>
        <v>0.7857336118903977</v>
      </c>
      <c r="J44" s="103">
        <f t="shared" si="5"/>
        <v>0</v>
      </c>
      <c r="K44" s="103">
        <f t="shared" si="5"/>
        <v>0</v>
      </c>
      <c r="L44" s="88">
        <f>SUM(B44:K44)</f>
        <v>3.7194741323552147</v>
      </c>
      <c r="N44" s="101"/>
      <c r="O44" s="100"/>
      <c r="P44" s="100"/>
      <c r="Q44" s="100"/>
      <c r="R44" s="100"/>
      <c r="S44" s="100"/>
      <c r="T44" s="100"/>
      <c r="U44" s="100"/>
      <c r="V44" s="100"/>
      <c r="W44" s="100"/>
      <c r="X44" s="100"/>
    </row>
    <row r="45" spans="1:24" ht="18" hidden="1" customHeight="1" x14ac:dyDescent="0.25">
      <c r="A45" s="104" t="s">
        <v>68</v>
      </c>
      <c r="B45" s="103">
        <f t="shared" ref="B45:K45" si="6">B$36*B41/100</f>
        <v>0</v>
      </c>
      <c r="C45" s="103">
        <f t="shared" si="6"/>
        <v>0</v>
      </c>
      <c r="D45" s="103">
        <f t="shared" si="6"/>
        <v>0</v>
      </c>
      <c r="E45" s="103">
        <f t="shared" si="6"/>
        <v>0</v>
      </c>
      <c r="F45" s="103">
        <f t="shared" si="6"/>
        <v>0</v>
      </c>
      <c r="G45" s="103">
        <f t="shared" si="6"/>
        <v>0</v>
      </c>
      <c r="H45" s="103">
        <f t="shared" si="6"/>
        <v>0</v>
      </c>
      <c r="I45" s="103">
        <f t="shared" si="6"/>
        <v>0</v>
      </c>
      <c r="J45" s="103">
        <f t="shared" si="6"/>
        <v>0</v>
      </c>
      <c r="K45" s="103">
        <f t="shared" si="6"/>
        <v>0</v>
      </c>
      <c r="L45" s="88">
        <f>SUM(B45:K45)</f>
        <v>0</v>
      </c>
      <c r="N45" s="101"/>
      <c r="O45" s="100"/>
      <c r="P45" s="100"/>
      <c r="Q45" s="100"/>
      <c r="R45" s="100"/>
      <c r="S45" s="100"/>
      <c r="T45" s="100"/>
      <c r="U45" s="100"/>
      <c r="V45" s="100"/>
      <c r="W45" s="100"/>
      <c r="X45" s="100"/>
    </row>
    <row r="46" spans="1:24" ht="18" hidden="1" customHeight="1" x14ac:dyDescent="0.25">
      <c r="A46" s="104" t="s">
        <v>69</v>
      </c>
      <c r="B46" s="103">
        <f t="shared" ref="B46:K46" si="7">B$36*B42/100</f>
        <v>0</v>
      </c>
      <c r="C46" s="103">
        <f t="shared" si="7"/>
        <v>0</v>
      </c>
      <c r="D46" s="103">
        <f t="shared" si="7"/>
        <v>0</v>
      </c>
      <c r="E46" s="103">
        <f t="shared" si="7"/>
        <v>0</v>
      </c>
      <c r="F46" s="103">
        <f t="shared" si="7"/>
        <v>83.468185374104038</v>
      </c>
      <c r="G46" s="103">
        <f t="shared" si="7"/>
        <v>0</v>
      </c>
      <c r="H46" s="103">
        <f t="shared" si="7"/>
        <v>0</v>
      </c>
      <c r="I46" s="103">
        <f t="shared" si="7"/>
        <v>0</v>
      </c>
      <c r="J46" s="103">
        <f t="shared" si="7"/>
        <v>0</v>
      </c>
      <c r="K46" s="103">
        <f t="shared" si="7"/>
        <v>0</v>
      </c>
      <c r="L46" s="88">
        <f>SUM(B46:K46)</f>
        <v>83.468185374104038</v>
      </c>
      <c r="N46" s="101"/>
      <c r="O46" s="100"/>
      <c r="P46" s="100"/>
      <c r="Q46" s="100"/>
      <c r="R46" s="100"/>
      <c r="S46" s="100"/>
      <c r="T46" s="100"/>
      <c r="U46" s="100"/>
      <c r="V46" s="100"/>
      <c r="W46" s="100"/>
      <c r="X46" s="100"/>
    </row>
    <row r="47" spans="1:24" ht="18" customHeight="1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24" s="1" customFormat="1" ht="15.95" customHeight="1" x14ac:dyDescent="0.25">
      <c r="A48" s="12" t="s">
        <v>70</v>
      </c>
      <c r="B48" s="118" t="s">
        <v>71</v>
      </c>
      <c r="C48" s="170"/>
    </row>
    <row r="49" spans="1:8" s="1" customFormat="1" ht="15.95" customHeight="1" x14ac:dyDescent="0.25">
      <c r="A49" s="12" t="s">
        <v>72</v>
      </c>
      <c r="B49" s="118" t="s">
        <v>73</v>
      </c>
      <c r="C49" s="170"/>
      <c r="D49" s="170"/>
      <c r="E49" s="170"/>
      <c r="F49" s="170"/>
      <c r="G49" s="170"/>
      <c r="H49" s="170"/>
    </row>
    <row r="50" spans="1:8" s="1" customFormat="1" ht="15.95" customHeight="1" x14ac:dyDescent="0.25">
      <c r="A50" s="268" t="s">
        <v>74</v>
      </c>
      <c r="B50" s="258"/>
      <c r="C50" s="258"/>
      <c r="D50" s="258"/>
      <c r="E50" s="259"/>
    </row>
    <row r="51" spans="1:8" ht="15.95" customHeight="1" x14ac:dyDescent="0.25">
      <c r="A51" s="9" t="s">
        <v>75</v>
      </c>
      <c r="B51" s="123" t="s">
        <v>76</v>
      </c>
      <c r="C51" s="124" t="s">
        <v>77</v>
      </c>
      <c r="D51" s="268" t="s">
        <v>78</v>
      </c>
      <c r="E51" s="259"/>
    </row>
    <row r="52" spans="1:8" s="1" customFormat="1" ht="15.95" customHeight="1" x14ac:dyDescent="0.25">
      <c r="A52" s="122" t="s">
        <v>79</v>
      </c>
      <c r="B52" s="171"/>
      <c r="C52" s="16" t="s">
        <v>80</v>
      </c>
      <c r="D52" s="276" t="s">
        <v>81</v>
      </c>
      <c r="E52" s="277"/>
    </row>
    <row r="53" spans="1:8" s="1" customFormat="1" ht="15.95" customHeight="1" x14ac:dyDescent="0.25">
      <c r="A53" s="20" t="s">
        <v>82</v>
      </c>
      <c r="B53" s="171"/>
      <c r="C53" s="16" t="s">
        <v>82</v>
      </c>
      <c r="D53" s="276"/>
      <c r="E53" s="277"/>
    </row>
    <row r="54" spans="1:8" s="1" customFormat="1" ht="15.95" customHeight="1" x14ac:dyDescent="0.25">
      <c r="A54" s="20"/>
      <c r="B54" s="171"/>
      <c r="C54" s="16"/>
      <c r="D54" s="276"/>
      <c r="E54" s="277"/>
    </row>
    <row r="55" spans="1:8" s="1" customFormat="1" ht="15.95" customHeight="1" x14ac:dyDescent="0.25">
      <c r="B55" s="14"/>
      <c r="E55" s="2"/>
    </row>
    <row r="56" spans="1:8" s="1" customFormat="1" ht="15.95" customHeight="1" x14ac:dyDescent="0.25">
      <c r="A56" s="268" t="s">
        <v>83</v>
      </c>
      <c r="B56" s="258"/>
      <c r="C56" s="258"/>
      <c r="D56" s="258"/>
      <c r="E56" s="259"/>
    </row>
    <row r="57" spans="1:8" ht="15.95" customHeight="1" x14ac:dyDescent="0.25">
      <c r="A57" s="9" t="s">
        <v>84</v>
      </c>
      <c r="B57" s="126" t="s">
        <v>76</v>
      </c>
      <c r="C57" s="124" t="s">
        <v>77</v>
      </c>
      <c r="D57" s="268" t="s">
        <v>78</v>
      </c>
      <c r="E57" s="259"/>
    </row>
    <row r="58" spans="1:8" s="1" customFormat="1" ht="15.95" customHeight="1" x14ac:dyDescent="0.25">
      <c r="A58" s="125" t="s">
        <v>85</v>
      </c>
      <c r="B58" s="172"/>
      <c r="C58" s="16" t="s">
        <v>86</v>
      </c>
      <c r="D58" s="280" t="s">
        <v>87</v>
      </c>
      <c r="E58" s="277"/>
    </row>
    <row r="59" spans="1:8" s="1" customFormat="1" ht="15.95" customHeight="1" x14ac:dyDescent="0.25">
      <c r="A59" s="13" t="s">
        <v>32</v>
      </c>
      <c r="B59" s="172"/>
      <c r="C59" s="16" t="s">
        <v>86</v>
      </c>
      <c r="D59" s="276" t="s">
        <v>87</v>
      </c>
      <c r="E59" s="277"/>
    </row>
    <row r="60" spans="1:8" s="1" customFormat="1" ht="15.95" customHeight="1" x14ac:dyDescent="0.25">
      <c r="A60" s="13" t="s">
        <v>88</v>
      </c>
      <c r="B60" s="172"/>
      <c r="C60" s="16" t="s">
        <v>86</v>
      </c>
      <c r="D60" s="276" t="s">
        <v>87</v>
      </c>
      <c r="E60" s="277"/>
    </row>
    <row r="61" spans="1:8" s="1" customFormat="1" ht="15.95" customHeight="1" x14ac:dyDescent="0.25">
      <c r="A61" s="13" t="s">
        <v>89</v>
      </c>
      <c r="B61" s="171"/>
      <c r="C61" s="16" t="s">
        <v>90</v>
      </c>
      <c r="D61" s="276" t="s">
        <v>87</v>
      </c>
      <c r="E61" s="277"/>
    </row>
    <row r="62" spans="1:8" s="1" customFormat="1" ht="15.95" customHeight="1" x14ac:dyDescent="0.25">
      <c r="A62" s="13" t="s">
        <v>36</v>
      </c>
      <c r="B62" s="171"/>
      <c r="C62" s="16" t="s">
        <v>90</v>
      </c>
      <c r="D62" s="276" t="s">
        <v>87</v>
      </c>
      <c r="E62" s="277"/>
    </row>
    <row r="63" spans="1:8" s="1" customFormat="1" ht="15.95" customHeight="1" x14ac:dyDescent="0.25">
      <c r="A63" s="14"/>
      <c r="D63" s="2"/>
    </row>
    <row r="64" spans="1:8" s="1" customFormat="1" ht="15.95" customHeight="1" x14ac:dyDescent="0.25">
      <c r="A64" s="268" t="s">
        <v>91</v>
      </c>
      <c r="B64" s="258"/>
      <c r="C64" s="258"/>
      <c r="D64" s="258"/>
      <c r="E64" s="259"/>
    </row>
    <row r="65" spans="1:13" ht="15.95" customHeight="1" x14ac:dyDescent="0.25">
      <c r="A65" s="9" t="s">
        <v>84</v>
      </c>
      <c r="B65" s="11" t="s">
        <v>76</v>
      </c>
      <c r="C65" s="15" t="s">
        <v>77</v>
      </c>
      <c r="D65" s="268" t="s">
        <v>78</v>
      </c>
      <c r="E65" s="259"/>
    </row>
    <row r="66" spans="1:13" s="1" customFormat="1" ht="15.95" customHeight="1" x14ac:dyDescent="0.25">
      <c r="A66" s="20" t="s">
        <v>92</v>
      </c>
      <c r="B66" s="173"/>
      <c r="C66" s="21" t="s">
        <v>93</v>
      </c>
      <c r="D66" s="276"/>
      <c r="E66" s="277"/>
    </row>
    <row r="67" spans="1:13" s="1" customFormat="1" ht="15.95" customHeight="1" x14ac:dyDescent="0.25">
      <c r="A67" s="20" t="s">
        <v>94</v>
      </c>
      <c r="B67" s="173"/>
      <c r="C67" s="21" t="s">
        <v>93</v>
      </c>
      <c r="D67" s="276"/>
      <c r="E67" s="277"/>
    </row>
    <row r="68" spans="1:13" s="1" customFormat="1" ht="15.95" customHeight="1" x14ac:dyDescent="0.25">
      <c r="A68" s="20" t="s">
        <v>95</v>
      </c>
      <c r="B68" s="173"/>
      <c r="C68" s="21" t="s">
        <v>93</v>
      </c>
      <c r="D68" s="276"/>
      <c r="E68" s="277"/>
    </row>
    <row r="69" spans="1:13" s="1" customFormat="1" ht="15.95" customHeight="1" x14ac:dyDescent="0.25">
      <c r="A69" s="20" t="s">
        <v>96</v>
      </c>
      <c r="B69" s="173"/>
      <c r="C69" s="21" t="s">
        <v>93</v>
      </c>
      <c r="D69" s="276"/>
      <c r="E69" s="277"/>
    </row>
    <row r="70" spans="1:13" s="1" customFormat="1" ht="15.95" customHeight="1" x14ac:dyDescent="0.25">
      <c r="A70" s="20" t="s">
        <v>82</v>
      </c>
      <c r="B70" s="173"/>
      <c r="C70" s="21" t="s">
        <v>82</v>
      </c>
      <c r="D70" s="276"/>
      <c r="E70" s="277"/>
    </row>
    <row r="71" spans="1:13" s="1" customFormat="1" ht="15.95" customHeight="1" x14ac:dyDescent="0.25">
      <c r="A71" s="20"/>
      <c r="B71" s="173"/>
      <c r="C71" s="21"/>
      <c r="D71" s="276"/>
      <c r="E71" s="277"/>
    </row>
    <row r="72" spans="1:13" s="1" customFormat="1" ht="15.95" customHeight="1" x14ac:dyDescent="0.25">
      <c r="A72" s="20"/>
      <c r="B72" s="173"/>
      <c r="C72" s="21"/>
      <c r="D72" s="276"/>
      <c r="E72" s="277"/>
    </row>
    <row r="73" spans="1:13" s="1" customFormat="1" ht="15.95" customHeight="1" x14ac:dyDescent="0.25">
      <c r="A73" s="20"/>
      <c r="B73" s="173"/>
      <c r="C73" s="21"/>
      <c r="D73" s="276"/>
      <c r="E73" s="277"/>
    </row>
    <row r="74" spans="1:13" s="1" customFormat="1" ht="15.95" customHeight="1" x14ac:dyDescent="0.25">
      <c r="A74" s="20"/>
      <c r="B74" s="173"/>
      <c r="C74" s="21"/>
      <c r="D74" s="276"/>
      <c r="E74" s="277"/>
    </row>
    <row r="75" spans="1:13" s="1" customFormat="1" ht="15.95" customHeight="1" x14ac:dyDescent="0.25">
      <c r="A75" s="20"/>
      <c r="B75" s="173"/>
      <c r="C75" s="21"/>
      <c r="D75" s="276"/>
      <c r="E75" s="277"/>
    </row>
    <row r="76" spans="1:13" s="1" customFormat="1" ht="15.95" customHeight="1" x14ac:dyDescent="0.25">
      <c r="A76" s="20"/>
      <c r="B76" s="173"/>
      <c r="C76" s="21"/>
      <c r="D76" s="276"/>
      <c r="E76" s="277"/>
    </row>
    <row r="77" spans="1:13" s="1" customFormat="1" ht="15.95" customHeight="1" x14ac:dyDescent="0.25">
      <c r="A77" s="20"/>
      <c r="B77" s="173"/>
      <c r="C77" s="21"/>
      <c r="D77" s="276"/>
      <c r="E77" s="277"/>
    </row>
    <row r="78" spans="1:13" ht="18" customHeight="1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8" customHeight="1" x14ac:dyDescent="0.25">
      <c r="A79" s="283" t="s">
        <v>97</v>
      </c>
      <c r="B79" s="258"/>
      <c r="C79" s="258"/>
      <c r="D79" s="258"/>
      <c r="E79" s="258"/>
      <c r="F79" s="258"/>
      <c r="G79" s="258"/>
      <c r="H79" s="258"/>
      <c r="I79" s="258"/>
      <c r="J79" s="258"/>
      <c r="K79" s="258"/>
      <c r="L79" s="258"/>
      <c r="M79" s="259"/>
    </row>
    <row r="80" spans="1:13" ht="18" customHeight="1" x14ac:dyDescent="0.25">
      <c r="A80" s="18"/>
      <c r="B80" s="281" t="s">
        <v>98</v>
      </c>
      <c r="C80" s="282"/>
      <c r="D80" s="268" t="s">
        <v>99</v>
      </c>
      <c r="E80" s="259"/>
      <c r="F80" s="268" t="s">
        <v>100</v>
      </c>
      <c r="G80" s="259"/>
      <c r="H80" s="268" t="s">
        <v>101</v>
      </c>
      <c r="I80" s="259"/>
      <c r="J80" s="268" t="s">
        <v>102</v>
      </c>
      <c r="K80" s="259"/>
      <c r="L80" s="268" t="s">
        <v>103</v>
      </c>
      <c r="M80" s="259"/>
    </row>
    <row r="81" spans="1:19" ht="18" customHeight="1" x14ac:dyDescent="0.25">
      <c r="A81" s="17" t="s">
        <v>104</v>
      </c>
      <c r="B81" s="133">
        <v>150</v>
      </c>
      <c r="C81" s="132" t="s">
        <v>105</v>
      </c>
      <c r="D81" s="133"/>
      <c r="E81" s="132" t="s">
        <v>105</v>
      </c>
      <c r="F81" s="133"/>
      <c r="G81" s="132" t="s">
        <v>106</v>
      </c>
      <c r="H81" s="133"/>
      <c r="I81" s="132" t="s">
        <v>106</v>
      </c>
      <c r="J81" s="133"/>
      <c r="K81" s="132" t="s">
        <v>106</v>
      </c>
      <c r="L81" s="133"/>
      <c r="M81" s="132" t="s">
        <v>106</v>
      </c>
    </row>
    <row r="82" spans="1:19" ht="18" customHeight="1" x14ac:dyDescent="0.25">
      <c r="A82" s="17" t="s">
        <v>107</v>
      </c>
      <c r="B82" s="133">
        <v>150</v>
      </c>
      <c r="C82" s="132" t="s">
        <v>105</v>
      </c>
      <c r="D82" s="133"/>
      <c r="E82" s="132" t="s">
        <v>105</v>
      </c>
      <c r="F82" s="133"/>
      <c r="G82" s="132" t="s">
        <v>106</v>
      </c>
      <c r="H82" s="133"/>
      <c r="I82" s="132" t="s">
        <v>106</v>
      </c>
      <c r="J82" s="133"/>
      <c r="K82" s="132" t="s">
        <v>106</v>
      </c>
      <c r="L82" s="133"/>
      <c r="M82" s="132" t="s">
        <v>106</v>
      </c>
    </row>
    <row r="83" spans="1:19" ht="18" customHeight="1" x14ac:dyDescent="0.25">
      <c r="A83" s="17" t="s">
        <v>108</v>
      </c>
      <c r="B83" s="133">
        <v>5</v>
      </c>
      <c r="C83" s="132" t="s">
        <v>109</v>
      </c>
      <c r="D83" s="133"/>
      <c r="E83" s="132" t="s">
        <v>109</v>
      </c>
      <c r="F83" s="133"/>
      <c r="G83" s="132" t="s">
        <v>110</v>
      </c>
      <c r="H83" s="133"/>
      <c r="I83" s="132" t="s">
        <v>110</v>
      </c>
      <c r="J83" s="133"/>
      <c r="K83" s="132" t="s">
        <v>110</v>
      </c>
      <c r="L83" s="133"/>
      <c r="M83" s="132" t="s">
        <v>110</v>
      </c>
    </row>
    <row r="84" spans="1:19" ht="18" customHeight="1" x14ac:dyDescent="0.25">
      <c r="A84" s="17" t="s">
        <v>111</v>
      </c>
      <c r="B84" s="133">
        <v>5</v>
      </c>
      <c r="C84" s="132" t="s">
        <v>109</v>
      </c>
      <c r="D84" s="133"/>
      <c r="E84" s="132" t="s">
        <v>109</v>
      </c>
      <c r="F84" s="133"/>
      <c r="G84" s="132" t="s">
        <v>110</v>
      </c>
      <c r="H84" s="133"/>
      <c r="I84" s="132" t="s">
        <v>110</v>
      </c>
      <c r="J84" s="133"/>
      <c r="K84" s="132" t="s">
        <v>110</v>
      </c>
      <c r="L84" s="133"/>
      <c r="M84" s="132" t="s">
        <v>110</v>
      </c>
    </row>
    <row r="85" spans="1:19" ht="18" customHeight="1" x14ac:dyDescent="0.25">
      <c r="A85" s="11" t="s">
        <v>112</v>
      </c>
      <c r="B85" s="131"/>
      <c r="C85" s="132" t="s">
        <v>113</v>
      </c>
      <c r="D85" s="131"/>
      <c r="E85" s="132" t="s">
        <v>114</v>
      </c>
      <c r="F85" s="131"/>
      <c r="G85" s="132" t="s">
        <v>113</v>
      </c>
      <c r="H85" s="131"/>
      <c r="I85" s="132" t="s">
        <v>114</v>
      </c>
      <c r="J85" s="131"/>
      <c r="K85" s="132" t="s">
        <v>114</v>
      </c>
      <c r="L85" s="131"/>
      <c r="M85" s="132" t="s">
        <v>114</v>
      </c>
    </row>
    <row r="86" spans="1:19" ht="18" customHeight="1" x14ac:dyDescent="0.25">
      <c r="A86" s="278"/>
      <c r="B86" s="10" t="s">
        <v>115</v>
      </c>
      <c r="C86" s="10" t="s">
        <v>116</v>
      </c>
      <c r="D86" s="10" t="s">
        <v>115</v>
      </c>
      <c r="E86" s="10" t="s">
        <v>116</v>
      </c>
      <c r="F86" s="10" t="s">
        <v>115</v>
      </c>
      <c r="G86" s="10" t="s">
        <v>116</v>
      </c>
      <c r="H86" s="10" t="s">
        <v>115</v>
      </c>
      <c r="I86" s="10" t="s">
        <v>116</v>
      </c>
      <c r="J86" s="10" t="s">
        <v>115</v>
      </c>
      <c r="K86" s="10" t="s">
        <v>116</v>
      </c>
      <c r="L86" s="10" t="s">
        <v>115</v>
      </c>
      <c r="M86" s="10" t="s">
        <v>116</v>
      </c>
    </row>
    <row r="87" spans="1:19" s="28" customFormat="1" ht="36" customHeight="1" x14ac:dyDescent="0.25">
      <c r="A87" s="279"/>
      <c r="B87" s="33" t="s">
        <v>117</v>
      </c>
      <c r="C87" s="33" t="s">
        <v>118</v>
      </c>
      <c r="D87" s="33" t="s">
        <v>117</v>
      </c>
      <c r="E87" s="33" t="s">
        <v>118</v>
      </c>
      <c r="F87" s="33" t="s">
        <v>117</v>
      </c>
      <c r="G87" s="33" t="s">
        <v>118</v>
      </c>
      <c r="H87" s="33" t="s">
        <v>117</v>
      </c>
      <c r="I87" s="33" t="s">
        <v>118</v>
      </c>
      <c r="J87" s="33" t="s">
        <v>117</v>
      </c>
      <c r="K87" s="33" t="s">
        <v>118</v>
      </c>
      <c r="L87" s="33" t="s">
        <v>117</v>
      </c>
      <c r="M87" s="33" t="s">
        <v>118</v>
      </c>
    </row>
    <row r="88" spans="1:19" ht="18" customHeight="1" x14ac:dyDescent="0.25">
      <c r="A88" s="11" t="s">
        <v>8</v>
      </c>
      <c r="B88" s="110">
        <v>0.21560000000000001</v>
      </c>
      <c r="C88" s="110">
        <v>4.6379999999999999</v>
      </c>
      <c r="D88" s="110">
        <v>0.21560000000000001</v>
      </c>
      <c r="E88" s="110"/>
      <c r="F88" s="110"/>
      <c r="G88" s="110"/>
      <c r="H88" s="110"/>
      <c r="I88" s="110"/>
      <c r="J88" s="110"/>
      <c r="K88" s="121"/>
      <c r="L88" s="110"/>
      <c r="M88" s="128"/>
    </row>
    <row r="89" spans="1:19" ht="18" customHeight="1" x14ac:dyDescent="0.25">
      <c r="A89" s="17" t="s">
        <v>11</v>
      </c>
      <c r="B89" s="110">
        <v>0.21560000000000001</v>
      </c>
      <c r="C89" s="110">
        <v>4.6379999999999999</v>
      </c>
      <c r="D89" s="110">
        <v>0.21560000000000001</v>
      </c>
      <c r="E89" s="110"/>
      <c r="F89" s="110"/>
      <c r="G89" s="110"/>
      <c r="H89" s="110"/>
      <c r="I89" s="110"/>
      <c r="J89" s="110"/>
      <c r="K89" s="121"/>
      <c r="L89" s="110"/>
      <c r="M89" s="128"/>
    </row>
    <row r="90" spans="1:19" ht="18" customHeight="1" x14ac:dyDescent="0.25">
      <c r="A90" s="17" t="s">
        <v>12</v>
      </c>
      <c r="B90" s="110"/>
      <c r="C90" s="110"/>
      <c r="D90" s="110">
        <v>0.21560000000000001</v>
      </c>
      <c r="E90" s="110"/>
      <c r="F90" s="110"/>
      <c r="G90" s="110"/>
      <c r="H90" s="110"/>
      <c r="I90" s="110"/>
      <c r="J90" s="110"/>
      <c r="K90" s="121"/>
      <c r="L90" s="110"/>
      <c r="M90" s="128"/>
    </row>
    <row r="91" spans="1:19" ht="18" customHeight="1" x14ac:dyDescent="0.25">
      <c r="A91" s="17" t="s">
        <v>13</v>
      </c>
      <c r="B91" s="110">
        <v>0.21560000000000001</v>
      </c>
      <c r="C91" s="110">
        <v>4.6379999999999999</v>
      </c>
      <c r="D91" s="110">
        <v>0.21560000000000001</v>
      </c>
      <c r="E91" s="110"/>
      <c r="F91" s="110"/>
      <c r="G91" s="110"/>
      <c r="H91" s="110"/>
      <c r="I91" s="110"/>
      <c r="J91" s="110"/>
      <c r="K91" s="121"/>
      <c r="L91" s="110"/>
      <c r="M91" s="128"/>
    </row>
    <row r="92" spans="1:19" ht="18" customHeight="1" x14ac:dyDescent="0.25">
      <c r="A92" s="17" t="s">
        <v>22</v>
      </c>
      <c r="B92" s="110">
        <v>0.21560000000000001</v>
      </c>
      <c r="C92" s="110">
        <v>4.6379999999999999</v>
      </c>
      <c r="D92" s="110">
        <v>0.21560000000000001</v>
      </c>
      <c r="E92" s="110"/>
      <c r="F92" s="110"/>
      <c r="G92" s="110"/>
      <c r="H92" s="110"/>
      <c r="I92" s="110"/>
      <c r="J92" s="110"/>
      <c r="K92" s="121"/>
      <c r="L92" s="110"/>
      <c r="M92" s="128"/>
    </row>
    <row r="93" spans="1:19" ht="18" customHeight="1" x14ac:dyDescent="0.25">
      <c r="A93" s="17" t="s">
        <v>23</v>
      </c>
      <c r="B93" s="110">
        <v>0.21560000000000001</v>
      </c>
      <c r="C93" s="110">
        <v>4.6379999999999999</v>
      </c>
      <c r="D93" s="110">
        <v>0.21560000000000001</v>
      </c>
      <c r="E93" s="110"/>
      <c r="F93" s="110"/>
      <c r="G93" s="110"/>
      <c r="H93" s="110"/>
      <c r="I93" s="110"/>
      <c r="J93" s="110"/>
      <c r="K93" s="121"/>
      <c r="L93" s="110"/>
      <c r="M93" s="128"/>
    </row>
    <row r="94" spans="1:19" ht="18" customHeight="1" x14ac:dyDescent="0.25">
      <c r="A94" s="17" t="s">
        <v>24</v>
      </c>
      <c r="B94" s="110">
        <v>0.21560000000000001</v>
      </c>
      <c r="C94" s="110">
        <v>4.6379999999999999</v>
      </c>
      <c r="D94" s="110">
        <v>0.21560000000000001</v>
      </c>
      <c r="E94" s="110"/>
      <c r="F94" s="110"/>
      <c r="G94" s="110"/>
      <c r="H94" s="110"/>
      <c r="I94" s="110"/>
      <c r="J94" s="110"/>
      <c r="K94" s="121"/>
      <c r="L94" s="110"/>
      <c r="M94" s="128"/>
    </row>
    <row r="95" spans="1:19" ht="18" customHeight="1" x14ac:dyDescent="0.25">
      <c r="A95" s="17" t="s">
        <v>25</v>
      </c>
      <c r="B95" s="110">
        <v>0.21560000000000001</v>
      </c>
      <c r="C95" s="110">
        <v>4.6379999999999999</v>
      </c>
      <c r="D95" s="110">
        <v>0.21560000000000001</v>
      </c>
      <c r="E95" s="110"/>
      <c r="F95" s="110"/>
      <c r="G95" s="110"/>
      <c r="H95" s="110"/>
      <c r="I95" s="110"/>
      <c r="J95" s="110"/>
      <c r="K95" s="121"/>
      <c r="L95" s="110"/>
      <c r="M95" s="128"/>
    </row>
    <row r="96" spans="1:19" ht="18" customHeight="1" x14ac:dyDescent="0.25">
      <c r="A96" s="19" t="s">
        <v>119</v>
      </c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3"/>
      <c r="O96" s="3"/>
      <c r="P96" s="3"/>
      <c r="Q96" s="3"/>
      <c r="R96" s="3"/>
      <c r="S96" s="3"/>
    </row>
    <row r="97" spans="1:13" ht="18" customHeight="1" x14ac:dyDescent="0.25">
      <c r="A97" s="8"/>
      <c r="B97" s="10" t="s">
        <v>120</v>
      </c>
      <c r="C97" s="10" t="s">
        <v>121</v>
      </c>
      <c r="D97" s="10" t="s">
        <v>120</v>
      </c>
      <c r="E97" s="10" t="s">
        <v>121</v>
      </c>
      <c r="F97" s="10" t="s">
        <v>120</v>
      </c>
      <c r="G97" s="10" t="s">
        <v>121</v>
      </c>
      <c r="H97" s="10" t="s">
        <v>120</v>
      </c>
      <c r="I97" s="10" t="s">
        <v>121</v>
      </c>
      <c r="J97" s="10" t="s">
        <v>120</v>
      </c>
      <c r="K97" s="10" t="s">
        <v>121</v>
      </c>
      <c r="L97" s="10" t="s">
        <v>120</v>
      </c>
      <c r="M97" s="10" t="s">
        <v>121</v>
      </c>
    </row>
    <row r="98" spans="1:13" ht="18" customHeight="1" x14ac:dyDescent="0.25">
      <c r="A98" s="11" t="s">
        <v>8</v>
      </c>
      <c r="B98" s="25">
        <v>0.5</v>
      </c>
      <c r="C98" s="25">
        <v>3</v>
      </c>
      <c r="D98" s="88">
        <v>0.5</v>
      </c>
      <c r="E98" s="88">
        <v>4</v>
      </c>
      <c r="F98" s="88">
        <v>0.5</v>
      </c>
      <c r="G98" s="88">
        <v>4</v>
      </c>
      <c r="H98" s="88">
        <f>($D$13*0.001)*H88</f>
        <v>0</v>
      </c>
      <c r="I98" s="88">
        <f t="shared" ref="I98:I105" si="8">IFERROR(I88*(H98/1000)/($X$29/100),"")</f>
        <v>0</v>
      </c>
      <c r="J98" s="88">
        <f>($D$13*0.001)*J88</f>
        <v>0</v>
      </c>
      <c r="K98" s="88">
        <f t="shared" ref="K98:K105" si="9">IFERROR(K88*(J98/1000)/($X$30/100),"")</f>
        <v>0</v>
      </c>
      <c r="L98" s="88">
        <f>($D$13*0.001)*L88</f>
        <v>0</v>
      </c>
      <c r="M98" s="88">
        <f t="shared" ref="M98:M105" si="10">IFERROR(M88*(L98/1000)/($X$31/100),"")</f>
        <v>0</v>
      </c>
    </row>
    <row r="99" spans="1:13" ht="18" customHeight="1" x14ac:dyDescent="0.25">
      <c r="A99" s="11" t="s">
        <v>11</v>
      </c>
      <c r="B99" s="25">
        <v>0.5</v>
      </c>
      <c r="C99" s="25">
        <v>3</v>
      </c>
      <c r="D99" s="88">
        <v>0.5</v>
      </c>
      <c r="E99" s="88">
        <v>3.99</v>
      </c>
      <c r="F99" s="88">
        <v>0.5</v>
      </c>
      <c r="G99" s="88">
        <v>4</v>
      </c>
      <c r="H99" s="88">
        <f>($H$13*0.001)*H89</f>
        <v>0</v>
      </c>
      <c r="I99" s="88">
        <f t="shared" si="8"/>
        <v>0</v>
      </c>
      <c r="J99" s="88">
        <f>($H$13*0.001)*J89</f>
        <v>0</v>
      </c>
      <c r="K99" s="88">
        <f t="shared" si="9"/>
        <v>0</v>
      </c>
      <c r="L99" s="88">
        <f>($H$13*0.001)*L89</f>
        <v>0</v>
      </c>
      <c r="M99" s="88">
        <f t="shared" si="10"/>
        <v>0</v>
      </c>
    </row>
    <row r="100" spans="1:13" ht="18" customHeight="1" x14ac:dyDescent="0.25">
      <c r="A100" s="11" t="s">
        <v>12</v>
      </c>
      <c r="B100" s="25"/>
      <c r="C100" s="25"/>
      <c r="D100" s="88">
        <v>0.5</v>
      </c>
      <c r="E100" s="88">
        <v>4.01</v>
      </c>
      <c r="F100" s="88">
        <v>0.5</v>
      </c>
      <c r="G100" s="88">
        <v>4</v>
      </c>
      <c r="H100" s="88">
        <f>($L$13*0.001)*H90</f>
        <v>0</v>
      </c>
      <c r="I100" s="88">
        <f t="shared" si="8"/>
        <v>0</v>
      </c>
      <c r="J100" s="88">
        <f>($L$13*0.001)*J90</f>
        <v>0</v>
      </c>
      <c r="K100" s="88">
        <f t="shared" si="9"/>
        <v>0</v>
      </c>
      <c r="L100" s="88">
        <f>($L$13*0.001)*L90</f>
        <v>0</v>
      </c>
      <c r="M100" s="88">
        <f t="shared" si="10"/>
        <v>0</v>
      </c>
    </row>
    <row r="101" spans="1:13" ht="18" customHeight="1" x14ac:dyDescent="0.25">
      <c r="A101" s="11" t="s">
        <v>13</v>
      </c>
      <c r="B101" s="25">
        <v>0.5</v>
      </c>
      <c r="C101" s="25">
        <v>3</v>
      </c>
      <c r="D101" s="88">
        <v>0.5</v>
      </c>
      <c r="E101" s="88">
        <v>3.98</v>
      </c>
      <c r="F101" s="88">
        <v>0.49</v>
      </c>
      <c r="G101" s="88">
        <v>3.94</v>
      </c>
      <c r="H101" s="88">
        <f>($P$13*0.001)*H91</f>
        <v>0</v>
      </c>
      <c r="I101" s="88">
        <f t="shared" si="8"/>
        <v>0</v>
      </c>
      <c r="J101" s="88">
        <f>($P$13*0.001)*J91</f>
        <v>0</v>
      </c>
      <c r="K101" s="88">
        <f t="shared" si="9"/>
        <v>0</v>
      </c>
      <c r="L101" s="88">
        <f>($P$13*0.001)*L91</f>
        <v>0</v>
      </c>
      <c r="M101" s="88">
        <f t="shared" si="10"/>
        <v>0</v>
      </c>
    </row>
    <row r="102" spans="1:13" ht="18" customHeight="1" x14ac:dyDescent="0.25">
      <c r="A102" s="11" t="s">
        <v>22</v>
      </c>
      <c r="B102" s="25">
        <v>0.5</v>
      </c>
      <c r="C102" s="25">
        <v>3</v>
      </c>
      <c r="D102" s="88">
        <v>0.5</v>
      </c>
      <c r="E102" s="88">
        <v>3.99</v>
      </c>
      <c r="F102" s="88">
        <v>0.5</v>
      </c>
      <c r="G102" s="88">
        <v>4</v>
      </c>
      <c r="H102" s="88">
        <f>($D$20*0.001)*H92</f>
        <v>0</v>
      </c>
      <c r="I102" s="88">
        <f t="shared" si="8"/>
        <v>0</v>
      </c>
      <c r="J102" s="88">
        <f>($D$20*0.001)*J92</f>
        <v>0</v>
      </c>
      <c r="K102" s="88">
        <f t="shared" si="9"/>
        <v>0</v>
      </c>
      <c r="L102" s="88">
        <f>($D$20*0.001)*L92</f>
        <v>0</v>
      </c>
      <c r="M102" s="88">
        <f t="shared" si="10"/>
        <v>0</v>
      </c>
    </row>
    <row r="103" spans="1:13" ht="18" customHeight="1" x14ac:dyDescent="0.25">
      <c r="A103" s="11" t="s">
        <v>23</v>
      </c>
      <c r="B103" s="25">
        <v>0.5</v>
      </c>
      <c r="C103" s="25">
        <v>3</v>
      </c>
      <c r="D103" s="88">
        <v>0.5</v>
      </c>
      <c r="E103" s="88">
        <v>4.0199999999999996</v>
      </c>
      <c r="F103" s="88">
        <v>0.5</v>
      </c>
      <c r="G103" s="88">
        <v>4</v>
      </c>
      <c r="H103" s="88">
        <f>($H$20*0.001)*H93</f>
        <v>0</v>
      </c>
      <c r="I103" s="88">
        <f t="shared" si="8"/>
        <v>0</v>
      </c>
      <c r="J103" s="88">
        <f>($H$20*0.001)*J93</f>
        <v>0</v>
      </c>
      <c r="K103" s="88">
        <f t="shared" si="9"/>
        <v>0</v>
      </c>
      <c r="L103" s="88">
        <f>($H$20*0.001)*L93</f>
        <v>0</v>
      </c>
      <c r="M103" s="88">
        <f t="shared" si="10"/>
        <v>0</v>
      </c>
    </row>
    <row r="104" spans="1:13" ht="18" customHeight="1" x14ac:dyDescent="0.25">
      <c r="A104" s="11" t="s">
        <v>24</v>
      </c>
      <c r="B104" s="25">
        <v>0.5</v>
      </c>
      <c r="C104" s="25">
        <v>3</v>
      </c>
      <c r="D104" s="88">
        <v>0.5</v>
      </c>
      <c r="E104" s="88">
        <v>4</v>
      </c>
      <c r="F104" s="88">
        <v>0.49</v>
      </c>
      <c r="G104" s="88">
        <v>3.94</v>
      </c>
      <c r="H104" s="88">
        <f>($L$20*0.001)*H94</f>
        <v>0</v>
      </c>
      <c r="I104" s="88">
        <f t="shared" si="8"/>
        <v>0</v>
      </c>
      <c r="J104" s="88">
        <f>($L$20*0.001)*J94</f>
        <v>0</v>
      </c>
      <c r="K104" s="88">
        <f t="shared" si="9"/>
        <v>0</v>
      </c>
      <c r="L104" s="88">
        <f>($L$20*0.001)*L94</f>
        <v>0</v>
      </c>
      <c r="M104" s="88">
        <f t="shared" si="10"/>
        <v>0</v>
      </c>
    </row>
    <row r="105" spans="1:13" ht="18" customHeight="1" x14ac:dyDescent="0.25">
      <c r="A105" s="11" t="s">
        <v>25</v>
      </c>
      <c r="B105" s="25">
        <v>0</v>
      </c>
      <c r="C105" s="25">
        <v>3</v>
      </c>
      <c r="D105" s="88">
        <v>0</v>
      </c>
      <c r="E105" s="88">
        <v>0</v>
      </c>
      <c r="F105" s="88">
        <v>0.5</v>
      </c>
      <c r="G105" s="88">
        <v>4</v>
      </c>
      <c r="H105" s="88">
        <f>($P$20*0.001)*H95</f>
        <v>0</v>
      </c>
      <c r="I105" s="88">
        <f t="shared" si="8"/>
        <v>0</v>
      </c>
      <c r="J105" s="88">
        <f>($P$20*0.001)*J95</f>
        <v>0</v>
      </c>
      <c r="K105" s="88">
        <f t="shared" si="9"/>
        <v>0</v>
      </c>
      <c r="L105" s="88">
        <f>($P$20*0.001)*L95</f>
        <v>0</v>
      </c>
      <c r="M105" s="88">
        <f t="shared" si="10"/>
        <v>0</v>
      </c>
    </row>
    <row r="106" spans="1:13" ht="18" customHeight="1" x14ac:dyDescent="0.25">
      <c r="A106" s="11" t="s">
        <v>122</v>
      </c>
      <c r="B106" s="88">
        <f t="shared" ref="B106:M106" si="11">SUM(B98:B105)</f>
        <v>3</v>
      </c>
      <c r="C106" s="88">
        <f t="shared" si="11"/>
        <v>21</v>
      </c>
      <c r="D106" s="88">
        <f t="shared" si="11"/>
        <v>3.5</v>
      </c>
      <c r="E106" s="88">
        <f t="shared" si="11"/>
        <v>27.99</v>
      </c>
      <c r="F106" s="88">
        <f t="shared" si="11"/>
        <v>3.9800000000000004</v>
      </c>
      <c r="G106" s="88">
        <f t="shared" si="11"/>
        <v>31.88</v>
      </c>
      <c r="H106" s="88">
        <f t="shared" si="11"/>
        <v>0</v>
      </c>
      <c r="I106" s="88">
        <f t="shared" si="11"/>
        <v>0</v>
      </c>
      <c r="J106" s="88">
        <f t="shared" si="11"/>
        <v>0</v>
      </c>
      <c r="K106" s="88">
        <f t="shared" si="11"/>
        <v>0</v>
      </c>
      <c r="L106" s="88">
        <f t="shared" si="11"/>
        <v>0</v>
      </c>
      <c r="M106" s="88">
        <f t="shared" si="11"/>
        <v>0</v>
      </c>
    </row>
    <row r="107" spans="1:13" ht="18" customHeight="1" x14ac:dyDescent="0.25">
      <c r="B107" s="3"/>
      <c r="C107" s="1"/>
    </row>
    <row r="108" spans="1:13" ht="18" customHeight="1" x14ac:dyDescent="0.25">
      <c r="C108" s="1"/>
    </row>
    <row r="109" spans="1:13" ht="18" customHeight="1" x14ac:dyDescent="0.25">
      <c r="C109" s="1"/>
    </row>
    <row r="110" spans="1:13" ht="18" customHeight="1" x14ac:dyDescent="0.25">
      <c r="C110" s="5"/>
    </row>
  </sheetData>
  <mergeCells count="70">
    <mergeCell ref="D53:E53"/>
    <mergeCell ref="D54:E54"/>
    <mergeCell ref="C15:D15"/>
    <mergeCell ref="D51:E51"/>
    <mergeCell ref="D52:E52"/>
    <mergeCell ref="A50:E50"/>
    <mergeCell ref="A15:A16"/>
    <mergeCell ref="A86:A87"/>
    <mergeCell ref="D57:E57"/>
    <mergeCell ref="D58:E58"/>
    <mergeCell ref="D67:E67"/>
    <mergeCell ref="D68:E68"/>
    <mergeCell ref="D69:E69"/>
    <mergeCell ref="D74:E74"/>
    <mergeCell ref="B80:C80"/>
    <mergeCell ref="D80:E80"/>
    <mergeCell ref="A79:M79"/>
    <mergeCell ref="A64:E64"/>
    <mergeCell ref="D65:E65"/>
    <mergeCell ref="D66:E66"/>
    <mergeCell ref="D72:E72"/>
    <mergeCell ref="D73:E73"/>
    <mergeCell ref="D62:E62"/>
    <mergeCell ref="L80:M80"/>
    <mergeCell ref="D75:E75"/>
    <mergeCell ref="D76:E76"/>
    <mergeCell ref="D77:E77"/>
    <mergeCell ref="E15:E16"/>
    <mergeCell ref="I15:I16"/>
    <mergeCell ref="M15:M16"/>
    <mergeCell ref="F80:G80"/>
    <mergeCell ref="H80:I80"/>
    <mergeCell ref="J80:K80"/>
    <mergeCell ref="A56:E56"/>
    <mergeCell ref="D70:E70"/>
    <mergeCell ref="D71:E71"/>
    <mergeCell ref="D59:E59"/>
    <mergeCell ref="D60:E60"/>
    <mergeCell ref="D61:E61"/>
    <mergeCell ref="R10:R11"/>
    <mergeCell ref="R12:R13"/>
    <mergeCell ref="R8:R9"/>
    <mergeCell ref="N23:N25"/>
    <mergeCell ref="E8:E9"/>
    <mergeCell ref="I8:I9"/>
    <mergeCell ref="M8:M9"/>
    <mergeCell ref="Q8:Q9"/>
    <mergeCell ref="G8:H8"/>
    <mergeCell ref="K8:L8"/>
    <mergeCell ref="O8:P8"/>
    <mergeCell ref="A23:M23"/>
    <mergeCell ref="B14:E14"/>
    <mergeCell ref="F14:I14"/>
    <mergeCell ref="J14:M14"/>
    <mergeCell ref="N14:Q14"/>
    <mergeCell ref="F2:J2"/>
    <mergeCell ref="N33:N35"/>
    <mergeCell ref="A33:L33"/>
    <mergeCell ref="Q15:Q16"/>
    <mergeCell ref="G15:H15"/>
    <mergeCell ref="K15:L15"/>
    <mergeCell ref="O15:P15"/>
    <mergeCell ref="B21:E21"/>
    <mergeCell ref="F21:I21"/>
    <mergeCell ref="J21:M21"/>
    <mergeCell ref="N21:Q21"/>
    <mergeCell ref="C8:D8"/>
    <mergeCell ref="A6:M6"/>
    <mergeCell ref="A8:A9"/>
    <mergeCell ref="B7:C7"/>
  </mergeCells>
  <conditionalFormatting sqref="B48:B49">
    <cfRule type="expression" dxfId="176" priority="9">
      <formula>NOT(B48="")</formula>
    </cfRule>
  </conditionalFormatting>
  <conditionalFormatting sqref="B52:B54">
    <cfRule type="expression" dxfId="175" priority="68">
      <formula>NOT(B52="")</formula>
    </cfRule>
  </conditionalFormatting>
  <conditionalFormatting sqref="B58:B62">
    <cfRule type="expression" dxfId="174" priority="67">
      <formula>NOT(B58="")</formula>
    </cfRule>
  </conditionalFormatting>
  <conditionalFormatting sqref="B66:B77">
    <cfRule type="expression" dxfId="173" priority="64">
      <formula>NOT(B66="")</formula>
    </cfRule>
  </conditionalFormatting>
  <conditionalFormatting sqref="B81:B85 D81:D85 F81:F85 H81:H85 J81:J85">
    <cfRule type="expression" dxfId="172" priority="7">
      <formula>NOT(B81="")</formula>
    </cfRule>
  </conditionalFormatting>
  <conditionalFormatting sqref="B25:J31">
    <cfRule type="expression" dxfId="171" priority="2">
      <formula>NOT(B25="")</formula>
    </cfRule>
  </conditionalFormatting>
  <conditionalFormatting sqref="B35:K35">
    <cfRule type="expression" dxfId="170" priority="72">
      <formula>NOT(B35="")</formula>
    </cfRule>
  </conditionalFormatting>
  <conditionalFormatting sqref="B88:M95">
    <cfRule type="expression" dxfId="169" priority="6">
      <formula>NOT(B88="")</formula>
    </cfRule>
  </conditionalFormatting>
  <conditionalFormatting sqref="B10:Q12">
    <cfRule type="expression" dxfId="168" priority="5">
      <formula>NOT(B10="")</formula>
    </cfRule>
  </conditionalFormatting>
  <conditionalFormatting sqref="B17:Q19">
    <cfRule type="expression" dxfId="167" priority="4">
      <formula>NOT(B17="")</formula>
    </cfRule>
  </conditionalFormatting>
  <conditionalFormatting sqref="K26:K31">
    <cfRule type="expression" dxfId="166" priority="94">
      <formula>OR(K26&gt;100, K26&lt;100)</formula>
    </cfRule>
  </conditionalFormatting>
  <conditionalFormatting sqref="L35">
    <cfRule type="expression" dxfId="165" priority="82" stopIfTrue="1">
      <formula>SUM($B$35:$K$35)=0</formula>
    </cfRule>
  </conditionalFormatting>
  <conditionalFormatting sqref="L35:L38">
    <cfRule type="expression" dxfId="164" priority="85">
      <formula>$L$35&gt;100.2</formula>
    </cfRule>
    <cfRule type="expression" dxfId="163" priority="86">
      <formula>$L$35&lt;99.8</formula>
    </cfRule>
  </conditionalFormatting>
  <conditionalFormatting sqref="L36">
    <cfRule type="expression" dxfId="162" priority="81">
      <formula>SUM($B$36:$K$36)=0</formula>
    </cfRule>
  </conditionalFormatting>
  <conditionalFormatting sqref="L81:L85">
    <cfRule type="expression" dxfId="161" priority="21">
      <formula>NOT(L81="")</formula>
    </cfRule>
  </conditionalFormatting>
  <conditionalFormatting sqref="L26:M31">
    <cfRule type="expression" dxfId="160" priority="1">
      <formula>NOT(L26="")</formula>
    </cfRule>
  </conditionalFormatting>
  <conditionalFormatting sqref="N26:N31">
    <cfRule type="expression" dxfId="159" priority="89">
      <formula>N26="No"</formula>
    </cfRule>
    <cfRule type="expression" dxfId="158" priority="90">
      <formula>N26="Yes"</formula>
    </cfRule>
  </conditionalFormatting>
  <dataValidations count="2">
    <dataValidation type="list" allowBlank="1" showInputMessage="1" showErrorMessage="1" sqref="B25:J25 N26:N31" xr:uid="{00000000-0002-0000-0000-000000000000}">
      <formula1>$O$23:$P$23</formula1>
    </dataValidation>
    <dataValidation type="decimal" allowBlank="1" showInputMessage="1" showErrorMessage="1" sqref="B35:E35 G35:H35 J35:K35" xr:uid="{00000000-0002-0000-0000-000001000000}">
      <formula1>0</formula1>
      <formula2>100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41"/>
  <sheetViews>
    <sheetView showGridLines="0" workbookViewId="0">
      <selection activeCell="K9" sqref="K9"/>
    </sheetView>
  </sheetViews>
  <sheetFormatPr defaultColWidth="12.7109375" defaultRowHeight="18" customHeight="1" x14ac:dyDescent="0.25"/>
  <cols>
    <col min="1" max="1" width="38.140625" style="2" customWidth="1"/>
    <col min="2" max="2" width="29.28515625" style="2" bestFit="1" customWidth="1"/>
    <col min="3" max="5" width="18" style="2" bestFit="1" customWidth="1"/>
    <col min="6" max="7" width="16.85546875" style="2" bestFit="1" customWidth="1"/>
    <col min="8" max="9" width="18" style="2" bestFit="1" customWidth="1"/>
    <col min="10" max="11" width="12.7109375" style="2" customWidth="1"/>
    <col min="12" max="16384" width="12.7109375" style="2"/>
  </cols>
  <sheetData>
    <row r="1" spans="1:17" ht="18" customHeight="1" x14ac:dyDescent="0.25">
      <c r="A1" s="9" t="s">
        <v>0</v>
      </c>
      <c r="B1" s="34" t="str">
        <f>IF(Run_Plan!$B$1="", "", Run_Plan!$B$1)</f>
        <v>R6-C1-S1</v>
      </c>
    </row>
    <row r="2" spans="1:17" ht="18" customHeight="1" x14ac:dyDescent="0.25">
      <c r="A2" s="9" t="s">
        <v>1</v>
      </c>
      <c r="B2" s="46" t="str">
        <f>IF(Run_Plan!$B$2="", "", Run_Plan!$B$2)</f>
        <v/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4"/>
    </row>
    <row r="3" spans="1:17" ht="18" customHeight="1" x14ac:dyDescent="0.25">
      <c r="A3" s="9" t="s">
        <v>3</v>
      </c>
      <c r="B3" s="183">
        <f>IF(Run_Plan!$B$3="", "", Run_Plan!$B$3)</f>
        <v>45425.583333333336</v>
      </c>
      <c r="C3" s="42"/>
      <c r="D3" s="42"/>
    </row>
    <row r="4" spans="1:17" ht="18" customHeight="1" x14ac:dyDescent="0.25">
      <c r="A4" s="9" t="s">
        <v>123</v>
      </c>
      <c r="B4" s="118" t="s">
        <v>371</v>
      </c>
      <c r="C4" s="42"/>
      <c r="D4" s="42"/>
    </row>
    <row r="5" spans="1:17" ht="18" customHeight="1" x14ac:dyDescent="0.25">
      <c r="A5" s="9" t="s">
        <v>124</v>
      </c>
      <c r="B5" s="164">
        <v>45426.327777777777</v>
      </c>
      <c r="C5" s="164">
        <v>45426.327777777777</v>
      </c>
      <c r="D5" s="164"/>
      <c r="E5" s="164">
        <v>45426.327777777777</v>
      </c>
      <c r="F5" s="164">
        <v>45426.327777777777</v>
      </c>
      <c r="G5" s="164">
        <v>45426.327777777777</v>
      </c>
      <c r="H5" s="164">
        <v>45426.327777777777</v>
      </c>
      <c r="I5" s="164">
        <v>45426.327777777777</v>
      </c>
      <c r="K5" s="176"/>
    </row>
    <row r="6" spans="1:17" ht="18" customHeight="1" x14ac:dyDescent="0.25">
      <c r="A6" s="9" t="s">
        <v>125</v>
      </c>
      <c r="B6" s="164">
        <v>45426.331944444442</v>
      </c>
      <c r="C6" s="164">
        <v>45426.331944444442</v>
      </c>
      <c r="D6" s="164"/>
      <c r="E6" s="164">
        <v>45426.331944444442</v>
      </c>
      <c r="F6" s="164">
        <v>45426.331944444442</v>
      </c>
      <c r="G6" s="164">
        <v>45426.331944444442</v>
      </c>
      <c r="H6" s="164">
        <v>45426.331944444442</v>
      </c>
      <c r="I6" s="164">
        <v>45426.331944444442</v>
      </c>
    </row>
    <row r="7" spans="1:17" ht="18" customHeight="1" x14ac:dyDescent="0.25">
      <c r="A7" s="9" t="s">
        <v>126</v>
      </c>
      <c r="B7" s="246">
        <f t="shared" ref="B7:I7" si="0">IF(OR(B5="", B6=""), "", (B6-B5)*1440)</f>
        <v>5.9999999986030161</v>
      </c>
      <c r="C7" s="246">
        <f t="shared" si="0"/>
        <v>5.9999999986030161</v>
      </c>
      <c r="D7" s="246" t="str">
        <f t="shared" si="0"/>
        <v/>
      </c>
      <c r="E7" s="246">
        <f t="shared" si="0"/>
        <v>5.9999999986030161</v>
      </c>
      <c r="F7" s="246">
        <f t="shared" si="0"/>
        <v>5.9999999986030161</v>
      </c>
      <c r="G7" s="246">
        <f t="shared" si="0"/>
        <v>5.9999999986030161</v>
      </c>
      <c r="H7" s="246">
        <f t="shared" si="0"/>
        <v>5.9999999986030161</v>
      </c>
      <c r="I7" s="246">
        <f t="shared" si="0"/>
        <v>5.9999999986030161</v>
      </c>
    </row>
    <row r="8" spans="1:17" ht="18" customHeight="1" x14ac:dyDescent="0.25">
      <c r="A8" s="9" t="s">
        <v>127</v>
      </c>
      <c r="B8" s="177">
        <f>IFERROR(24*((B5+B6)/2-$B$3), "")</f>
        <v>17.916666666569654</v>
      </c>
      <c r="C8" s="177">
        <f t="shared" ref="C8:I8" si="1">IFERROR(24*((C5+C6)/2-$B$3),"")</f>
        <v>17.916666666569654</v>
      </c>
      <c r="D8" s="177">
        <f t="shared" si="1"/>
        <v>-1090214</v>
      </c>
      <c r="E8" s="177">
        <f t="shared" si="1"/>
        <v>17.916666666569654</v>
      </c>
      <c r="F8" s="177">
        <f t="shared" si="1"/>
        <v>17.916666666569654</v>
      </c>
      <c r="G8" s="177">
        <f t="shared" si="1"/>
        <v>17.916666666569654</v>
      </c>
      <c r="H8" s="177">
        <f t="shared" si="1"/>
        <v>17.916666666569654</v>
      </c>
      <c r="I8" s="177">
        <f t="shared" si="1"/>
        <v>17.916666666569654</v>
      </c>
    </row>
    <row r="10" spans="1:17" ht="18" customHeight="1" x14ac:dyDescent="0.25">
      <c r="A10" s="29" t="s">
        <v>128</v>
      </c>
      <c r="B10" s="30"/>
      <c r="C10" s="30"/>
      <c r="D10" s="30"/>
      <c r="E10" s="30"/>
      <c r="F10" s="30"/>
      <c r="G10" s="30"/>
      <c r="H10" s="30"/>
      <c r="I10" s="31"/>
      <c r="J10" s="3"/>
      <c r="K10" s="3"/>
      <c r="L10" s="3"/>
      <c r="M10" s="3"/>
      <c r="N10" s="3"/>
      <c r="O10" s="3"/>
      <c r="P10" s="3"/>
      <c r="Q10" s="3"/>
    </row>
    <row r="11" spans="1:17" ht="18" customHeight="1" x14ac:dyDescent="0.25">
      <c r="A11" s="32"/>
      <c r="B11" s="10" t="s">
        <v>8</v>
      </c>
      <c r="C11" s="10" t="s">
        <v>11</v>
      </c>
      <c r="D11" s="10" t="s">
        <v>12</v>
      </c>
      <c r="E11" s="10" t="s">
        <v>13</v>
      </c>
      <c r="F11" s="10" t="s">
        <v>22</v>
      </c>
      <c r="G11" s="10" t="s">
        <v>23</v>
      </c>
      <c r="H11" s="10" t="s">
        <v>24</v>
      </c>
      <c r="I11" s="10" t="s">
        <v>25</v>
      </c>
      <c r="K11" s="3"/>
      <c r="L11" s="3"/>
      <c r="M11" s="39"/>
      <c r="O11" s="3"/>
      <c r="P11" s="3"/>
      <c r="Q11" s="39"/>
    </row>
    <row r="12" spans="1:17" ht="18" customHeight="1" x14ac:dyDescent="0.25">
      <c r="A12" s="32"/>
      <c r="B12" s="10" t="s">
        <v>129</v>
      </c>
      <c r="C12" s="10" t="s">
        <v>130</v>
      </c>
      <c r="D12" s="10" t="s">
        <v>131</v>
      </c>
      <c r="E12" s="10" t="s">
        <v>132</v>
      </c>
      <c r="F12" s="10" t="s">
        <v>133</v>
      </c>
      <c r="G12" s="10" t="s">
        <v>134</v>
      </c>
      <c r="H12" s="10" t="s">
        <v>135</v>
      </c>
      <c r="I12" s="10" t="s">
        <v>136</v>
      </c>
      <c r="K12" s="3"/>
      <c r="L12" s="3"/>
      <c r="M12" s="39"/>
      <c r="O12" s="3"/>
      <c r="P12" s="3"/>
      <c r="Q12" s="39"/>
    </row>
    <row r="13" spans="1:17" ht="18" customHeight="1" x14ac:dyDescent="0.25">
      <c r="A13" s="9" t="s">
        <v>137</v>
      </c>
      <c r="B13" s="103">
        <f>ZMB!B$13</f>
        <v>0.50000000002910383</v>
      </c>
      <c r="C13" s="103">
        <f>ZMB!C$13</f>
        <v>0.50000000002910383</v>
      </c>
      <c r="D13" s="103" t="str">
        <f>ZMB!D$13</f>
        <v/>
      </c>
      <c r="E13" s="103">
        <f>ZMB!E$13</f>
        <v>0.50000000002910383</v>
      </c>
      <c r="F13" s="103">
        <f>ZMB!F$13</f>
        <v>0.50000000002910383</v>
      </c>
      <c r="G13" s="103">
        <f>ZMB!G$13</f>
        <v>0.50000000002910383</v>
      </c>
      <c r="H13" s="103">
        <f>ZMB!H$13</f>
        <v>0.50000000002910383</v>
      </c>
      <c r="I13" s="103">
        <f>ZMB!I$13</f>
        <v>0.50000000002910383</v>
      </c>
      <c r="K13" s="38"/>
      <c r="L13" s="38"/>
      <c r="M13" s="37"/>
      <c r="O13" s="38"/>
      <c r="P13" s="38"/>
      <c r="Q13" s="37"/>
    </row>
    <row r="15" spans="1:17" ht="18" customHeight="1" x14ac:dyDescent="0.25">
      <c r="A15" s="29" t="s">
        <v>138</v>
      </c>
      <c r="B15" s="30"/>
      <c r="C15" s="30"/>
      <c r="D15" s="30"/>
      <c r="E15" s="30"/>
      <c r="F15" s="30"/>
      <c r="G15" s="30"/>
      <c r="H15" s="30"/>
      <c r="I15" s="31"/>
      <c r="J15" s="3"/>
      <c r="K15" s="3"/>
      <c r="L15" s="3"/>
      <c r="M15" s="3"/>
      <c r="N15" s="3"/>
      <c r="O15" s="3"/>
      <c r="P15" s="3"/>
      <c r="Q15" s="3"/>
    </row>
    <row r="16" spans="1:17" ht="18" customHeight="1" x14ac:dyDescent="0.25">
      <c r="A16" s="32"/>
      <c r="B16" s="10" t="s">
        <v>8</v>
      </c>
      <c r="C16" s="10" t="s">
        <v>11</v>
      </c>
      <c r="D16" s="10" t="s">
        <v>12</v>
      </c>
      <c r="E16" s="10" t="s">
        <v>13</v>
      </c>
      <c r="F16" s="10" t="s">
        <v>22</v>
      </c>
      <c r="G16" s="10" t="s">
        <v>23</v>
      </c>
      <c r="H16" s="10" t="s">
        <v>24</v>
      </c>
      <c r="I16" s="10" t="s">
        <v>25</v>
      </c>
      <c r="K16" s="3"/>
      <c r="L16" s="3"/>
      <c r="M16" s="39"/>
      <c r="O16" s="3"/>
      <c r="P16" s="3"/>
      <c r="Q16" s="39"/>
    </row>
    <row r="17" spans="1:17" ht="18" customHeight="1" x14ac:dyDescent="0.25">
      <c r="A17" s="9" t="s">
        <v>139</v>
      </c>
      <c r="B17" s="119"/>
      <c r="C17" s="119"/>
      <c r="D17" s="119"/>
      <c r="E17" s="119"/>
      <c r="F17" s="119"/>
      <c r="G17" s="119"/>
      <c r="H17" s="119"/>
      <c r="I17" s="119"/>
      <c r="K17" s="38"/>
      <c r="L17" s="38"/>
      <c r="M17" s="37"/>
      <c r="O17" s="38"/>
      <c r="P17" s="38"/>
      <c r="Q17" s="37"/>
    </row>
    <row r="18" spans="1:17" ht="18" customHeight="1" x14ac:dyDescent="0.25">
      <c r="A18" s="9" t="s">
        <v>140</v>
      </c>
      <c r="B18" s="119"/>
      <c r="C18" s="119"/>
      <c r="D18" s="119"/>
      <c r="E18" s="119"/>
      <c r="F18" s="119"/>
      <c r="G18" s="119"/>
      <c r="H18" s="119"/>
      <c r="I18" s="119"/>
      <c r="K18" s="38"/>
      <c r="L18" s="38"/>
      <c r="M18" s="37"/>
      <c r="O18" s="38"/>
      <c r="P18" s="38"/>
      <c r="Q18" s="37"/>
    </row>
    <row r="19" spans="1:17" ht="18" customHeight="1" x14ac:dyDescent="0.25">
      <c r="A19" s="9" t="s">
        <v>141</v>
      </c>
      <c r="B19" s="119"/>
      <c r="C19" s="119"/>
      <c r="D19" s="119"/>
      <c r="E19" s="119"/>
      <c r="F19" s="119"/>
      <c r="G19" s="119"/>
      <c r="H19" s="119"/>
      <c r="I19" s="119"/>
      <c r="K19" s="38"/>
      <c r="L19" s="38"/>
      <c r="M19" s="37"/>
      <c r="O19" s="38"/>
      <c r="P19" s="38"/>
      <c r="Q19" s="37"/>
    </row>
    <row r="20" spans="1:17" ht="18" customHeight="1" x14ac:dyDescent="0.25">
      <c r="A20" s="9" t="s">
        <v>142</v>
      </c>
      <c r="B20" s="119" t="str">
        <f t="shared" ref="B20:I20" si="2">IFERROR(100-100*(B18+B19)/B17,"")</f>
        <v/>
      </c>
      <c r="C20" s="119" t="str">
        <f t="shared" si="2"/>
        <v/>
      </c>
      <c r="D20" s="119" t="str">
        <f t="shared" si="2"/>
        <v/>
      </c>
      <c r="E20" s="119" t="str">
        <f t="shared" si="2"/>
        <v/>
      </c>
      <c r="F20" s="119" t="str">
        <f t="shared" si="2"/>
        <v/>
      </c>
      <c r="G20" s="119" t="str">
        <f t="shared" si="2"/>
        <v/>
      </c>
      <c r="H20" s="119" t="str">
        <f t="shared" si="2"/>
        <v/>
      </c>
      <c r="I20" s="119" t="str">
        <f t="shared" si="2"/>
        <v/>
      </c>
    </row>
    <row r="22" spans="1:17" ht="18" customHeight="1" x14ac:dyDescent="0.25">
      <c r="A22" s="29" t="s">
        <v>143</v>
      </c>
      <c r="B22" s="30"/>
      <c r="C22" s="30"/>
      <c r="D22" s="30"/>
      <c r="E22" s="30"/>
      <c r="F22" s="30"/>
      <c r="G22" s="30"/>
      <c r="H22" s="30"/>
      <c r="I22" s="31"/>
    </row>
    <row r="23" spans="1:17" ht="18" customHeight="1" x14ac:dyDescent="0.25">
      <c r="A23" s="32"/>
      <c r="B23" s="10" t="s">
        <v>8</v>
      </c>
      <c r="C23" s="10" t="s">
        <v>11</v>
      </c>
      <c r="D23" s="10" t="s">
        <v>12</v>
      </c>
      <c r="E23" s="10" t="s">
        <v>13</v>
      </c>
      <c r="F23" s="10" t="s">
        <v>22</v>
      </c>
      <c r="G23" s="10" t="s">
        <v>23</v>
      </c>
      <c r="H23" s="10" t="s">
        <v>24</v>
      </c>
      <c r="I23" s="10" t="s">
        <v>25</v>
      </c>
    </row>
    <row r="24" spans="1:17" ht="18" customHeight="1" x14ac:dyDescent="0.25">
      <c r="A24" s="9" t="s">
        <v>144</v>
      </c>
      <c r="B24" s="119"/>
      <c r="C24" s="119"/>
      <c r="D24" s="119"/>
      <c r="E24" s="119"/>
      <c r="F24" s="119"/>
      <c r="G24" s="119"/>
      <c r="H24" s="119"/>
      <c r="I24" s="119"/>
    </row>
    <row r="25" spans="1:17" ht="18" customHeight="1" x14ac:dyDescent="0.25">
      <c r="A25" s="9" t="s">
        <v>145</v>
      </c>
      <c r="B25" s="119"/>
      <c r="C25" s="119"/>
      <c r="D25" s="119"/>
      <c r="E25" s="119"/>
      <c r="F25" s="119"/>
      <c r="G25" s="119"/>
      <c r="H25" s="119"/>
      <c r="I25" s="119"/>
    </row>
    <row r="26" spans="1:17" ht="18" customHeight="1" x14ac:dyDescent="0.25">
      <c r="A26" s="9" t="s">
        <v>146</v>
      </c>
      <c r="B26" s="119"/>
      <c r="C26" s="119"/>
      <c r="D26" s="119"/>
      <c r="E26" s="119"/>
      <c r="F26" s="119"/>
      <c r="G26" s="119"/>
      <c r="H26" s="119"/>
      <c r="I26" s="119"/>
    </row>
    <row r="27" spans="1:17" ht="18" customHeight="1" x14ac:dyDescent="0.25">
      <c r="A27" s="9" t="s">
        <v>147</v>
      </c>
      <c r="B27" s="128"/>
      <c r="C27" s="128"/>
      <c r="D27" s="128"/>
      <c r="E27" s="128"/>
      <c r="F27" s="128"/>
      <c r="G27" s="128"/>
      <c r="H27" s="128"/>
      <c r="I27" s="128"/>
    </row>
    <row r="28" spans="1:17" ht="18" customHeight="1" x14ac:dyDescent="0.25">
      <c r="A28" s="9" t="s">
        <v>148</v>
      </c>
      <c r="B28" s="128"/>
      <c r="C28" s="128"/>
      <c r="D28" s="128"/>
      <c r="E28" s="128"/>
      <c r="F28" s="128"/>
      <c r="G28" s="128"/>
      <c r="H28" s="128"/>
      <c r="I28" s="128"/>
    </row>
    <row r="30" spans="1:17" ht="18" customHeight="1" x14ac:dyDescent="0.25">
      <c r="A30" s="29" t="s">
        <v>149</v>
      </c>
      <c r="B30" s="30"/>
      <c r="C30" s="30"/>
      <c r="D30" s="30"/>
      <c r="E30" s="30"/>
      <c r="F30" s="30"/>
      <c r="G30" s="30"/>
      <c r="H30" s="30"/>
      <c r="I30" s="31"/>
    </row>
    <row r="31" spans="1:17" ht="18" customHeight="1" x14ac:dyDescent="0.25">
      <c r="A31" s="32"/>
      <c r="B31" s="10" t="s">
        <v>8</v>
      </c>
      <c r="C31" s="10" t="s">
        <v>11</v>
      </c>
      <c r="D31" s="10" t="s">
        <v>12</v>
      </c>
      <c r="E31" s="10" t="s">
        <v>13</v>
      </c>
      <c r="F31" s="10" t="s">
        <v>22</v>
      </c>
      <c r="G31" s="10" t="s">
        <v>23</v>
      </c>
      <c r="H31" s="10" t="s">
        <v>24</v>
      </c>
      <c r="I31" s="10" t="s">
        <v>25</v>
      </c>
    </row>
    <row r="32" spans="1:17" ht="18" customHeight="1" x14ac:dyDescent="0.25">
      <c r="A32" s="9" t="s">
        <v>150</v>
      </c>
      <c r="B32" s="118"/>
      <c r="C32" s="118"/>
      <c r="D32" s="118"/>
      <c r="E32" s="118"/>
      <c r="F32" s="118"/>
      <c r="G32" s="118"/>
      <c r="H32" s="118"/>
      <c r="I32" s="118"/>
    </row>
    <row r="33" spans="1:17" ht="18" customHeight="1" x14ac:dyDescent="0.25">
      <c r="A33" s="35" t="s">
        <v>151</v>
      </c>
      <c r="B33" s="110"/>
      <c r="C33" s="110"/>
      <c r="D33" s="110"/>
      <c r="E33" s="110"/>
      <c r="F33" s="110"/>
      <c r="G33" s="110"/>
      <c r="H33" s="110"/>
      <c r="I33" s="110"/>
    </row>
    <row r="34" spans="1:17" ht="18" customHeight="1" x14ac:dyDescent="0.25">
      <c r="A34" s="35" t="s">
        <v>152</v>
      </c>
      <c r="B34" s="110"/>
      <c r="C34" s="110"/>
      <c r="D34" s="110"/>
      <c r="E34" s="110"/>
      <c r="F34" s="110"/>
      <c r="G34" s="110"/>
      <c r="H34" s="110"/>
      <c r="I34" s="110"/>
    </row>
    <row r="35" spans="1:17" ht="18" customHeight="1" x14ac:dyDescent="0.25">
      <c r="A35" s="35" t="s">
        <v>153</v>
      </c>
      <c r="B35" s="110"/>
      <c r="C35" s="110"/>
      <c r="D35" s="110"/>
      <c r="E35" s="110"/>
      <c r="F35" s="110"/>
      <c r="G35" s="110"/>
      <c r="H35" s="110"/>
      <c r="I35" s="110"/>
    </row>
    <row r="36" spans="1:17" ht="18" customHeight="1" x14ac:dyDescent="0.25">
      <c r="A36" s="35" t="s">
        <v>82</v>
      </c>
      <c r="B36" s="128"/>
      <c r="C36" s="128"/>
      <c r="D36" s="128"/>
      <c r="E36" s="128"/>
      <c r="F36" s="128"/>
      <c r="G36" s="128"/>
      <c r="H36" s="128"/>
      <c r="I36" s="128"/>
    </row>
    <row r="38" spans="1:17" ht="18" customHeight="1" x14ac:dyDescent="0.25">
      <c r="A38" s="265" t="s">
        <v>154</v>
      </c>
      <c r="B38" s="258"/>
      <c r="C38" s="258"/>
      <c r="D38" s="258"/>
      <c r="E38" s="258"/>
      <c r="F38" s="258"/>
      <c r="G38" s="258"/>
      <c r="H38" s="258"/>
      <c r="I38" s="259"/>
      <c r="J38" s="3"/>
      <c r="K38" s="3"/>
      <c r="L38" s="3"/>
      <c r="M38" s="3"/>
      <c r="N38" s="3"/>
      <c r="O38" s="3"/>
      <c r="P38" s="3"/>
      <c r="Q38" s="3"/>
    </row>
    <row r="39" spans="1:17" ht="18" customHeight="1" x14ac:dyDescent="0.25">
      <c r="A39" s="32"/>
      <c r="B39" s="10" t="s">
        <v>8</v>
      </c>
      <c r="C39" s="10" t="s">
        <v>11</v>
      </c>
      <c r="D39" s="10" t="s">
        <v>12</v>
      </c>
      <c r="E39" s="10" t="s">
        <v>13</v>
      </c>
      <c r="F39" s="10" t="s">
        <v>22</v>
      </c>
      <c r="G39" s="10" t="s">
        <v>23</v>
      </c>
      <c r="H39" s="10" t="s">
        <v>24</v>
      </c>
      <c r="I39" s="10" t="s">
        <v>25</v>
      </c>
      <c r="K39" s="3"/>
      <c r="L39" s="3"/>
      <c r="M39" s="39"/>
      <c r="O39" s="3"/>
      <c r="P39" s="3"/>
      <c r="Q39" s="39"/>
    </row>
    <row r="40" spans="1:17" ht="18" customHeight="1" x14ac:dyDescent="0.25">
      <c r="A40" s="9" t="s">
        <v>155</v>
      </c>
      <c r="B40" s="90">
        <f t="shared" ref="B40:I40" si="3">IFERROR((B17-B19)/(B8),"")</f>
        <v>0</v>
      </c>
      <c r="C40" s="90">
        <f t="shared" si="3"/>
        <v>0</v>
      </c>
      <c r="D40" s="90">
        <f t="shared" si="3"/>
        <v>0</v>
      </c>
      <c r="E40" s="90">
        <f t="shared" si="3"/>
        <v>0</v>
      </c>
      <c r="F40" s="90">
        <f t="shared" si="3"/>
        <v>0</v>
      </c>
      <c r="G40" s="90">
        <f t="shared" si="3"/>
        <v>0</v>
      </c>
      <c r="H40" s="90">
        <f t="shared" si="3"/>
        <v>0</v>
      </c>
      <c r="I40" s="90">
        <f t="shared" si="3"/>
        <v>0</v>
      </c>
      <c r="K40" s="38"/>
      <c r="L40" s="38"/>
      <c r="M40" s="37"/>
      <c r="O40" s="38"/>
      <c r="P40" s="38"/>
      <c r="Q40" s="37"/>
    </row>
    <row r="41" spans="1:17" ht="18" customHeight="1" x14ac:dyDescent="0.25">
      <c r="A41" s="9" t="s">
        <v>156</v>
      </c>
      <c r="B41" s="90">
        <f t="shared" ref="B41:I41" si="4">IFERROR(B19/(B7/60),"")</f>
        <v>0</v>
      </c>
      <c r="C41" s="90">
        <f t="shared" si="4"/>
        <v>0</v>
      </c>
      <c r="D41" s="90" t="str">
        <f t="shared" si="4"/>
        <v/>
      </c>
      <c r="E41" s="90">
        <f t="shared" si="4"/>
        <v>0</v>
      </c>
      <c r="F41" s="90">
        <f t="shared" si="4"/>
        <v>0</v>
      </c>
      <c r="G41" s="90">
        <f t="shared" si="4"/>
        <v>0</v>
      </c>
      <c r="H41" s="90">
        <f t="shared" si="4"/>
        <v>0</v>
      </c>
      <c r="I41" s="90">
        <f t="shared" si="4"/>
        <v>0</v>
      </c>
      <c r="K41" s="38"/>
      <c r="L41" s="38"/>
      <c r="M41" s="37"/>
      <c r="O41" s="38"/>
      <c r="P41" s="38"/>
      <c r="Q41" s="37"/>
    </row>
  </sheetData>
  <sheetProtection sheet="1" objects="1" scenarios="1"/>
  <mergeCells count="1">
    <mergeCell ref="A38:I38"/>
  </mergeCells>
  <conditionalFormatting sqref="B4">
    <cfRule type="expression" dxfId="157" priority="8">
      <formula>NOT(B4="")</formula>
    </cfRule>
  </conditionalFormatting>
  <conditionalFormatting sqref="B5:I6">
    <cfRule type="expression" dxfId="156" priority="7">
      <formula>NOT(B5="")</formula>
    </cfRule>
  </conditionalFormatting>
  <conditionalFormatting sqref="B17:I20">
    <cfRule type="expression" dxfId="155" priority="1">
      <formula>NOT(B17="")</formula>
    </cfRule>
  </conditionalFormatting>
  <conditionalFormatting sqref="B24:I28">
    <cfRule type="expression" dxfId="154" priority="5">
      <formula>NOT(B24="")</formula>
    </cfRule>
  </conditionalFormatting>
  <conditionalFormatting sqref="B32:I36">
    <cfRule type="expression" dxfId="153" priority="3">
      <formula>NOT(B32="")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AE103"/>
  <sheetViews>
    <sheetView showGridLines="0" workbookViewId="0">
      <selection activeCell="L10" sqref="L10"/>
    </sheetView>
  </sheetViews>
  <sheetFormatPr defaultColWidth="12.7109375" defaultRowHeight="18" customHeight="1" x14ac:dyDescent="0.25"/>
  <cols>
    <col min="1" max="1" width="3.7109375" style="2" customWidth="1"/>
    <col min="2" max="2" width="15" style="2" customWidth="1"/>
    <col min="3" max="15" width="15.7109375" style="2" customWidth="1"/>
    <col min="16" max="17" width="12.7109375" style="2" customWidth="1"/>
    <col min="18" max="16384" width="12.7109375" style="2"/>
  </cols>
  <sheetData>
    <row r="1" spans="2:31" ht="20.100000000000001" customHeight="1" x14ac:dyDescent="0.25">
      <c r="C1" s="266" t="s">
        <v>157</v>
      </c>
      <c r="D1" s="258"/>
      <c r="E1" s="258"/>
      <c r="F1" s="258"/>
      <c r="G1" s="258"/>
      <c r="H1" s="258"/>
      <c r="I1" s="258"/>
      <c r="J1" s="259"/>
      <c r="K1" s="70" t="s">
        <v>29</v>
      </c>
      <c r="L1" s="70" t="s">
        <v>30</v>
      </c>
      <c r="X1" s="287"/>
      <c r="Y1" s="264"/>
      <c r="Z1" s="264"/>
      <c r="AA1" s="264"/>
      <c r="AB1" s="264"/>
      <c r="AC1" s="264"/>
      <c r="AD1" s="264"/>
      <c r="AE1" s="264"/>
    </row>
    <row r="2" spans="2:31" ht="36" customHeight="1" thickBot="1" x14ac:dyDescent="0.3">
      <c r="B2" s="33" t="s">
        <v>158</v>
      </c>
      <c r="C2" s="160" t="str">
        <f>Run_Plan!B14</f>
        <v>R1 Catalyst Ni2CBV-3014</v>
      </c>
      <c r="D2" s="160" t="str">
        <f>Run_Plan!F14</f>
        <v>R2 Catalyst Ni5CBV-3014</v>
      </c>
      <c r="E2" s="160" t="str">
        <f>Run_Plan!J14</f>
        <v/>
      </c>
      <c r="F2" s="160" t="str">
        <f>Run_Plan!N14</f>
        <v>R4 Catalyst Cu5CBV500</v>
      </c>
      <c r="G2" s="160" t="str">
        <f>Run_Plan!B21</f>
        <v>R5 Catalyst alpha-Alumina</v>
      </c>
      <c r="H2" s="160" t="str">
        <f>Run_Plan!F21</f>
        <v>R6 Catalyst Cu5CBV720</v>
      </c>
      <c r="I2" s="160" t="str">
        <f>Run_Plan!J21</f>
        <v>R7 Catalyst Ni2CBV-3014</v>
      </c>
      <c r="J2" s="160" t="str">
        <f>Run_Plan!N21</f>
        <v>R8 Catalyst Ni5CBV500</v>
      </c>
      <c r="W2" s="69"/>
      <c r="X2" s="69"/>
      <c r="Y2" s="69"/>
      <c r="Z2" s="69"/>
      <c r="AA2" s="69"/>
      <c r="AB2" s="69"/>
      <c r="AC2" s="69"/>
      <c r="AD2" s="69"/>
      <c r="AE2" s="69"/>
    </row>
    <row r="3" spans="2:31" ht="18" customHeight="1" x14ac:dyDescent="0.25">
      <c r="B3" s="68">
        <v>0.5</v>
      </c>
      <c r="C3" s="120"/>
      <c r="D3" s="120"/>
      <c r="E3" s="120"/>
      <c r="F3" s="120"/>
      <c r="G3" s="120"/>
      <c r="H3" s="120"/>
      <c r="I3" s="120"/>
      <c r="J3" s="120"/>
      <c r="M3" s="288" t="s">
        <v>159</v>
      </c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9"/>
    </row>
    <row r="4" spans="2:31" ht="18" customHeight="1" thickBot="1" x14ac:dyDescent="0.3">
      <c r="B4" s="34">
        <v>1</v>
      </c>
      <c r="C4" s="120"/>
      <c r="D4" s="120"/>
      <c r="E4" s="120"/>
      <c r="F4" s="120"/>
      <c r="G4" s="120"/>
      <c r="H4" s="120"/>
      <c r="I4" s="120"/>
      <c r="J4" s="120"/>
      <c r="M4" s="290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2"/>
    </row>
    <row r="5" spans="2:31" ht="18" customHeight="1" x14ac:dyDescent="0.25">
      <c r="B5" s="34">
        <v>2</v>
      </c>
      <c r="C5" s="120"/>
      <c r="D5" s="120"/>
      <c r="E5" s="120"/>
      <c r="F5" s="120"/>
      <c r="G5" s="120"/>
      <c r="H5" s="120"/>
      <c r="I5" s="120"/>
      <c r="J5" s="120"/>
      <c r="M5" s="67" t="s">
        <v>160</v>
      </c>
      <c r="N5" s="65" t="str">
        <f>Liq!B1</f>
        <v>R6-C1-S1</v>
      </c>
      <c r="O5" s="66" t="s">
        <v>161</v>
      </c>
      <c r="P5" s="285" t="str">
        <f>Liq!B4</f>
        <v>C1-S1</v>
      </c>
      <c r="Q5" s="286"/>
      <c r="R5" s="286"/>
      <c r="S5" s="286"/>
      <c r="T5" s="64"/>
      <c r="U5" s="63"/>
      <c r="V5" s="62"/>
      <c r="W5" s="62"/>
      <c r="X5" s="61"/>
    </row>
    <row r="6" spans="2:31" ht="18" customHeight="1" x14ac:dyDescent="0.2">
      <c r="B6" s="34">
        <v>3</v>
      </c>
      <c r="C6" s="120"/>
      <c r="D6" s="120"/>
      <c r="E6" s="120"/>
      <c r="F6" s="120"/>
      <c r="G6" s="120"/>
      <c r="H6" s="120"/>
      <c r="I6" s="120"/>
      <c r="J6" s="120"/>
      <c r="M6" s="60" t="s">
        <v>162</v>
      </c>
      <c r="N6" s="5" t="str">
        <f>Run_Plan!B49</f>
        <v>Diesel (2nd stage), tol mixed</v>
      </c>
      <c r="O6" s="1"/>
      <c r="P6" s="1"/>
      <c r="Q6" s="1"/>
      <c r="R6" s="1"/>
      <c r="S6" s="1"/>
      <c r="T6" s="1"/>
      <c r="U6" s="58"/>
      <c r="X6" s="52"/>
    </row>
    <row r="7" spans="2:31" ht="18" customHeight="1" x14ac:dyDescent="0.2">
      <c r="B7" s="34">
        <v>4</v>
      </c>
      <c r="C7" s="120"/>
      <c r="D7" s="120"/>
      <c r="E7" s="120"/>
      <c r="F7" s="120"/>
      <c r="G7" s="120"/>
      <c r="H7" s="120"/>
      <c r="I7" s="120"/>
      <c r="J7" s="120"/>
      <c r="M7" s="59"/>
      <c r="N7" s="1"/>
      <c r="O7" s="1"/>
      <c r="P7" s="1"/>
      <c r="Q7" s="1"/>
      <c r="R7" s="1"/>
      <c r="S7" s="1"/>
      <c r="T7" s="1"/>
      <c r="U7" s="58"/>
      <c r="X7" s="52"/>
    </row>
    <row r="8" spans="2:31" ht="18" customHeight="1" x14ac:dyDescent="0.2">
      <c r="B8" s="34">
        <v>5</v>
      </c>
      <c r="C8" s="120"/>
      <c r="D8" s="120"/>
      <c r="E8" s="120"/>
      <c r="F8" s="120"/>
      <c r="G8" s="120"/>
      <c r="H8" s="120"/>
      <c r="I8" s="120"/>
      <c r="J8" s="120"/>
      <c r="M8" s="59"/>
      <c r="N8" s="1"/>
      <c r="O8" s="1"/>
      <c r="P8" s="1"/>
      <c r="Q8" s="1"/>
      <c r="R8" s="1"/>
      <c r="S8" s="1"/>
      <c r="T8" s="1"/>
      <c r="U8" s="58"/>
      <c r="X8" s="52"/>
    </row>
    <row r="9" spans="2:31" ht="18" customHeight="1" x14ac:dyDescent="0.2">
      <c r="B9" s="34">
        <v>6</v>
      </c>
      <c r="C9" s="120"/>
      <c r="D9" s="120"/>
      <c r="E9" s="120"/>
      <c r="F9" s="120"/>
      <c r="G9" s="120"/>
      <c r="H9" s="120"/>
      <c r="I9" s="120"/>
      <c r="J9" s="120"/>
      <c r="M9" s="59"/>
      <c r="N9" s="1"/>
      <c r="O9" s="1"/>
      <c r="P9" s="1"/>
      <c r="Q9" s="1"/>
      <c r="R9" s="1"/>
      <c r="S9" s="1"/>
      <c r="T9" s="1"/>
      <c r="U9" s="58"/>
      <c r="X9" s="52"/>
    </row>
    <row r="10" spans="2:31" ht="18" customHeight="1" x14ac:dyDescent="0.2">
      <c r="B10" s="34">
        <v>7</v>
      </c>
      <c r="C10" s="120"/>
      <c r="D10" s="120"/>
      <c r="E10" s="120"/>
      <c r="F10" s="120"/>
      <c r="G10" s="120"/>
      <c r="H10" s="120"/>
      <c r="I10" s="120"/>
      <c r="J10" s="120"/>
      <c r="M10" s="59"/>
      <c r="N10" s="1"/>
      <c r="O10" s="1"/>
      <c r="P10" s="1"/>
      <c r="Q10" s="1"/>
      <c r="R10" s="1"/>
      <c r="S10" s="1"/>
      <c r="T10" s="1"/>
      <c r="U10" s="58"/>
      <c r="X10" s="52"/>
    </row>
    <row r="11" spans="2:31" ht="18" customHeight="1" x14ac:dyDescent="0.2">
      <c r="B11" s="34">
        <v>8</v>
      </c>
      <c r="C11" s="120"/>
      <c r="D11" s="120"/>
      <c r="E11" s="120"/>
      <c r="F11" s="120"/>
      <c r="G11" s="120"/>
      <c r="H11" s="120"/>
      <c r="I11" s="120"/>
      <c r="J11" s="120"/>
      <c r="M11" s="59"/>
      <c r="N11" s="1"/>
      <c r="O11" s="1"/>
      <c r="P11" s="1"/>
      <c r="Q11" s="1"/>
      <c r="R11" s="1"/>
      <c r="S11" s="1"/>
      <c r="T11" s="1"/>
      <c r="U11" s="58"/>
      <c r="X11" s="52"/>
    </row>
    <row r="12" spans="2:31" ht="18" customHeight="1" x14ac:dyDescent="0.2">
      <c r="B12" s="34">
        <v>9</v>
      </c>
      <c r="C12" s="120"/>
      <c r="D12" s="120"/>
      <c r="E12" s="120"/>
      <c r="F12" s="120"/>
      <c r="G12" s="120"/>
      <c r="H12" s="120"/>
      <c r="I12" s="120"/>
      <c r="J12" s="120"/>
      <c r="M12" s="59"/>
      <c r="N12" s="1"/>
      <c r="O12" s="1"/>
      <c r="P12" s="1"/>
      <c r="Q12" s="1"/>
      <c r="R12" s="1"/>
      <c r="S12" s="1"/>
      <c r="T12" s="1"/>
      <c r="U12" s="58"/>
      <c r="X12" s="52"/>
    </row>
    <row r="13" spans="2:31" ht="18" customHeight="1" x14ac:dyDescent="0.2">
      <c r="B13" s="34">
        <v>10</v>
      </c>
      <c r="C13" s="120"/>
      <c r="D13" s="120"/>
      <c r="E13" s="120"/>
      <c r="F13" s="120"/>
      <c r="G13" s="120"/>
      <c r="H13" s="120"/>
      <c r="I13" s="120"/>
      <c r="J13" s="120"/>
      <c r="M13" s="59"/>
      <c r="N13" s="1"/>
      <c r="O13" s="1"/>
      <c r="P13" s="1"/>
      <c r="Q13" s="1"/>
      <c r="R13" s="1"/>
      <c r="S13" s="1"/>
      <c r="T13" s="1"/>
      <c r="U13" s="58"/>
      <c r="X13" s="52"/>
    </row>
    <row r="14" spans="2:31" ht="18" customHeight="1" x14ac:dyDescent="0.2">
      <c r="B14" s="34">
        <v>11</v>
      </c>
      <c r="C14" s="120"/>
      <c r="D14" s="120"/>
      <c r="E14" s="120"/>
      <c r="F14" s="120"/>
      <c r="G14" s="120"/>
      <c r="H14" s="120"/>
      <c r="I14" s="120"/>
      <c r="J14" s="120"/>
      <c r="M14" s="59"/>
      <c r="N14" s="1"/>
      <c r="O14" s="1"/>
      <c r="P14" s="1"/>
      <c r="Q14" s="1"/>
      <c r="R14" s="1"/>
      <c r="S14" s="1"/>
      <c r="T14" s="1"/>
      <c r="U14" s="58"/>
      <c r="X14" s="52"/>
    </row>
    <row r="15" spans="2:31" ht="18" customHeight="1" x14ac:dyDescent="0.2">
      <c r="B15" s="34">
        <v>12</v>
      </c>
      <c r="C15" s="120"/>
      <c r="D15" s="120"/>
      <c r="E15" s="120"/>
      <c r="F15" s="120"/>
      <c r="G15" s="120"/>
      <c r="H15" s="120"/>
      <c r="I15" s="120"/>
      <c r="J15" s="120"/>
      <c r="M15" s="59"/>
      <c r="N15" s="1"/>
      <c r="O15" s="1"/>
      <c r="P15" s="1"/>
      <c r="Q15" s="1"/>
      <c r="R15" s="1"/>
      <c r="S15" s="1"/>
      <c r="T15" s="1"/>
      <c r="U15" s="58"/>
      <c r="X15" s="52"/>
    </row>
    <row r="16" spans="2:31" ht="18" customHeight="1" x14ac:dyDescent="0.2">
      <c r="B16" s="34">
        <v>13</v>
      </c>
      <c r="C16" s="120"/>
      <c r="D16" s="120"/>
      <c r="E16" s="120"/>
      <c r="F16" s="120"/>
      <c r="G16" s="120"/>
      <c r="H16" s="120"/>
      <c r="I16" s="120"/>
      <c r="J16" s="120"/>
      <c r="M16" s="59"/>
      <c r="N16" s="1"/>
      <c r="O16" s="1"/>
      <c r="P16" s="1"/>
      <c r="Q16" s="1"/>
      <c r="R16" s="1"/>
      <c r="S16" s="1"/>
      <c r="T16" s="1"/>
      <c r="U16" s="58"/>
      <c r="X16" s="52"/>
    </row>
    <row r="17" spans="2:24" ht="18" customHeight="1" x14ac:dyDescent="0.2">
      <c r="B17" s="34">
        <v>14</v>
      </c>
      <c r="C17" s="120"/>
      <c r="D17" s="120"/>
      <c r="E17" s="120"/>
      <c r="F17" s="120"/>
      <c r="G17" s="120"/>
      <c r="H17" s="120"/>
      <c r="I17" s="120"/>
      <c r="J17" s="120"/>
      <c r="M17" s="59"/>
      <c r="N17" s="1"/>
      <c r="O17" s="1"/>
      <c r="P17" s="1"/>
      <c r="Q17" s="1"/>
      <c r="R17" s="1"/>
      <c r="S17" s="1"/>
      <c r="T17" s="1"/>
      <c r="U17" s="58"/>
      <c r="X17" s="52"/>
    </row>
    <row r="18" spans="2:24" ht="18" customHeight="1" x14ac:dyDescent="0.2">
      <c r="B18" s="34">
        <v>15</v>
      </c>
      <c r="C18" s="120"/>
      <c r="D18" s="120"/>
      <c r="E18" s="120"/>
      <c r="F18" s="120"/>
      <c r="G18" s="120"/>
      <c r="H18" s="120"/>
      <c r="I18" s="120"/>
      <c r="J18" s="120"/>
      <c r="M18" s="59"/>
      <c r="N18" s="1"/>
      <c r="O18" s="1"/>
      <c r="P18" s="1"/>
      <c r="Q18" s="1"/>
      <c r="R18" s="1"/>
      <c r="S18" s="1"/>
      <c r="T18" s="1"/>
      <c r="U18" s="58"/>
      <c r="X18" s="52"/>
    </row>
    <row r="19" spans="2:24" ht="18" customHeight="1" x14ac:dyDescent="0.2">
      <c r="B19" s="34">
        <v>16</v>
      </c>
      <c r="C19" s="120"/>
      <c r="D19" s="120"/>
      <c r="E19" s="120"/>
      <c r="F19" s="120"/>
      <c r="G19" s="120"/>
      <c r="H19" s="120"/>
      <c r="I19" s="120"/>
      <c r="J19" s="120"/>
      <c r="M19" s="59"/>
      <c r="N19" s="1"/>
      <c r="O19" s="1"/>
      <c r="P19" s="1"/>
      <c r="Q19" s="1"/>
      <c r="R19" s="1"/>
      <c r="S19" s="1"/>
      <c r="T19" s="1"/>
      <c r="U19" s="58"/>
      <c r="X19" s="52"/>
    </row>
    <row r="20" spans="2:24" ht="18" customHeight="1" x14ac:dyDescent="0.2">
      <c r="B20" s="34">
        <v>17</v>
      </c>
      <c r="C20" s="120"/>
      <c r="D20" s="120"/>
      <c r="E20" s="120"/>
      <c r="F20" s="120"/>
      <c r="G20" s="120"/>
      <c r="H20" s="120"/>
      <c r="I20" s="120"/>
      <c r="J20" s="120"/>
      <c r="M20" s="59"/>
      <c r="N20" s="1"/>
      <c r="O20" s="1"/>
      <c r="P20" s="1"/>
      <c r="Q20" s="1"/>
      <c r="R20" s="1"/>
      <c r="S20" s="1"/>
      <c r="T20" s="1"/>
      <c r="U20" s="58"/>
      <c r="X20" s="52"/>
    </row>
    <row r="21" spans="2:24" ht="18" customHeight="1" x14ac:dyDescent="0.2">
      <c r="B21" s="34">
        <v>18</v>
      </c>
      <c r="C21" s="120"/>
      <c r="D21" s="120"/>
      <c r="E21" s="120"/>
      <c r="F21" s="120"/>
      <c r="G21" s="120"/>
      <c r="H21" s="120"/>
      <c r="I21" s="120"/>
      <c r="J21" s="120"/>
      <c r="M21" s="59"/>
      <c r="N21" s="1"/>
      <c r="O21" s="1"/>
      <c r="P21" s="1"/>
      <c r="Q21" s="1"/>
      <c r="R21" s="1"/>
      <c r="S21" s="1"/>
      <c r="T21" s="1"/>
      <c r="U21" s="58"/>
      <c r="X21" s="52"/>
    </row>
    <row r="22" spans="2:24" ht="18" customHeight="1" x14ac:dyDescent="0.2">
      <c r="B22" s="34">
        <v>19</v>
      </c>
      <c r="C22" s="120"/>
      <c r="D22" s="120"/>
      <c r="E22" s="120"/>
      <c r="F22" s="120"/>
      <c r="G22" s="120"/>
      <c r="H22" s="120"/>
      <c r="I22" s="120"/>
      <c r="J22" s="120"/>
      <c r="M22" s="59"/>
      <c r="N22" s="1"/>
      <c r="O22" s="1"/>
      <c r="P22" s="1"/>
      <c r="Q22" s="1"/>
      <c r="R22" s="1"/>
      <c r="S22" s="1"/>
      <c r="T22" s="1"/>
      <c r="U22" s="58"/>
      <c r="X22" s="52"/>
    </row>
    <row r="23" spans="2:24" ht="18" customHeight="1" x14ac:dyDescent="0.2">
      <c r="B23" s="34">
        <v>20</v>
      </c>
      <c r="C23" s="120"/>
      <c r="D23" s="120"/>
      <c r="E23" s="120"/>
      <c r="F23" s="120"/>
      <c r="G23" s="120"/>
      <c r="H23" s="120"/>
      <c r="I23" s="120"/>
      <c r="J23" s="120"/>
      <c r="M23" s="59"/>
      <c r="N23" s="1"/>
      <c r="O23" s="1"/>
      <c r="P23" s="1"/>
      <c r="Q23" s="1"/>
      <c r="R23" s="1"/>
      <c r="S23" s="1"/>
      <c r="T23" s="1"/>
      <c r="U23" s="58"/>
      <c r="X23" s="52"/>
    </row>
    <row r="24" spans="2:24" ht="18" customHeight="1" x14ac:dyDescent="0.2">
      <c r="B24" s="34">
        <v>21</v>
      </c>
      <c r="C24" s="120"/>
      <c r="D24" s="120"/>
      <c r="E24" s="120"/>
      <c r="F24" s="120"/>
      <c r="G24" s="120"/>
      <c r="H24" s="120"/>
      <c r="I24" s="120"/>
      <c r="J24" s="120"/>
      <c r="M24" s="59"/>
      <c r="N24" s="1"/>
      <c r="O24" s="1"/>
      <c r="P24" s="1"/>
      <c r="Q24" s="1"/>
      <c r="R24" s="1"/>
      <c r="S24" s="1"/>
      <c r="T24" s="1"/>
      <c r="U24" s="58"/>
      <c r="X24" s="52"/>
    </row>
    <row r="25" spans="2:24" ht="18" customHeight="1" x14ac:dyDescent="0.2">
      <c r="B25" s="34">
        <v>22</v>
      </c>
      <c r="C25" s="120"/>
      <c r="D25" s="120"/>
      <c r="E25" s="120"/>
      <c r="F25" s="120"/>
      <c r="G25" s="120"/>
      <c r="H25" s="120"/>
      <c r="I25" s="120"/>
      <c r="J25" s="120"/>
      <c r="M25" s="59"/>
      <c r="N25" s="1"/>
      <c r="O25" s="1"/>
      <c r="P25" s="1"/>
      <c r="Q25" s="1"/>
      <c r="R25" s="1"/>
      <c r="S25" s="1"/>
      <c r="T25" s="1"/>
      <c r="U25" s="58"/>
      <c r="X25" s="52"/>
    </row>
    <row r="26" spans="2:24" ht="18" customHeight="1" x14ac:dyDescent="0.2">
      <c r="B26" s="34">
        <v>23</v>
      </c>
      <c r="C26" s="120"/>
      <c r="D26" s="120"/>
      <c r="E26" s="120"/>
      <c r="F26" s="120"/>
      <c r="G26" s="120"/>
      <c r="H26" s="120"/>
      <c r="I26" s="120"/>
      <c r="J26" s="120"/>
      <c r="M26" s="59"/>
      <c r="N26" s="1"/>
      <c r="O26" s="1"/>
      <c r="P26" s="1"/>
      <c r="Q26" s="1"/>
      <c r="R26" s="1"/>
      <c r="S26" s="1"/>
      <c r="T26" s="1"/>
      <c r="U26" s="58"/>
      <c r="X26" s="52"/>
    </row>
    <row r="27" spans="2:24" ht="18" customHeight="1" x14ac:dyDescent="0.2">
      <c r="B27" s="34">
        <v>24</v>
      </c>
      <c r="C27" s="120"/>
      <c r="D27" s="120"/>
      <c r="E27" s="120"/>
      <c r="F27" s="120"/>
      <c r="G27" s="120"/>
      <c r="H27" s="120"/>
      <c r="I27" s="120"/>
      <c r="J27" s="120"/>
      <c r="M27" s="59"/>
      <c r="N27" s="1"/>
      <c r="O27" s="1"/>
      <c r="P27" s="1"/>
      <c r="Q27" s="1"/>
      <c r="R27" s="1"/>
      <c r="S27" s="1"/>
      <c r="T27" s="1"/>
      <c r="U27" s="58"/>
      <c r="X27" s="52"/>
    </row>
    <row r="28" spans="2:24" ht="18" customHeight="1" x14ac:dyDescent="0.2">
      <c r="B28" s="34">
        <v>25</v>
      </c>
      <c r="C28" s="120"/>
      <c r="D28" s="120"/>
      <c r="E28" s="120"/>
      <c r="F28" s="120"/>
      <c r="G28" s="120"/>
      <c r="H28" s="120"/>
      <c r="I28" s="120"/>
      <c r="J28" s="120"/>
      <c r="M28" s="59"/>
      <c r="N28" s="1"/>
      <c r="O28" s="1"/>
      <c r="P28" s="1"/>
      <c r="Q28" s="1"/>
      <c r="R28" s="1"/>
      <c r="S28" s="1"/>
      <c r="T28" s="1"/>
      <c r="U28" s="58"/>
      <c r="X28" s="52"/>
    </row>
    <row r="29" spans="2:24" ht="18" customHeight="1" x14ac:dyDescent="0.2">
      <c r="B29" s="34">
        <v>26</v>
      </c>
      <c r="C29" s="120"/>
      <c r="D29" s="120"/>
      <c r="E29" s="120"/>
      <c r="F29" s="120"/>
      <c r="G29" s="120"/>
      <c r="H29" s="120"/>
      <c r="I29" s="120"/>
      <c r="J29" s="120"/>
      <c r="M29" s="59"/>
      <c r="N29" s="1"/>
      <c r="O29" s="1"/>
      <c r="P29" s="1"/>
      <c r="Q29" s="1"/>
      <c r="R29" s="1"/>
      <c r="S29" s="1"/>
      <c r="T29" s="1"/>
      <c r="U29" s="58"/>
      <c r="X29" s="52"/>
    </row>
    <row r="30" spans="2:24" ht="18" customHeight="1" x14ac:dyDescent="0.25">
      <c r="B30" s="34">
        <v>27</v>
      </c>
      <c r="C30" s="120"/>
      <c r="D30" s="120"/>
      <c r="E30" s="120"/>
      <c r="F30" s="120"/>
      <c r="G30" s="120"/>
      <c r="H30" s="120"/>
      <c r="I30" s="120"/>
      <c r="J30" s="120"/>
      <c r="M30" s="57"/>
      <c r="N30" s="56"/>
      <c r="O30" s="55"/>
      <c r="P30" s="56"/>
      <c r="Q30" s="55"/>
      <c r="R30" s="54"/>
      <c r="S30" s="56"/>
      <c r="T30" s="55"/>
      <c r="U30" s="54"/>
      <c r="X30" s="52"/>
    </row>
    <row r="31" spans="2:24" ht="18" customHeight="1" x14ac:dyDescent="0.25">
      <c r="B31" s="34">
        <v>28</v>
      </c>
      <c r="C31" s="120"/>
      <c r="D31" s="120"/>
      <c r="E31" s="120"/>
      <c r="F31" s="120"/>
      <c r="G31" s="120"/>
      <c r="H31" s="120"/>
      <c r="I31" s="120"/>
      <c r="J31" s="120"/>
      <c r="M31" s="53"/>
      <c r="X31" s="52"/>
    </row>
    <row r="32" spans="2:24" ht="18" customHeight="1" x14ac:dyDescent="0.25">
      <c r="B32" s="34">
        <v>29</v>
      </c>
      <c r="C32" s="120"/>
      <c r="D32" s="120"/>
      <c r="E32" s="120"/>
      <c r="F32" s="120"/>
      <c r="G32" s="120"/>
      <c r="H32" s="120"/>
      <c r="I32" s="120"/>
      <c r="J32" s="120"/>
      <c r="M32" s="53"/>
      <c r="X32" s="52"/>
    </row>
    <row r="33" spans="2:24" ht="18" customHeight="1" x14ac:dyDescent="0.25">
      <c r="B33" s="34">
        <v>30</v>
      </c>
      <c r="C33" s="120"/>
      <c r="D33" s="120"/>
      <c r="E33" s="120"/>
      <c r="F33" s="120"/>
      <c r="G33" s="120"/>
      <c r="H33" s="120"/>
      <c r="I33" s="120"/>
      <c r="J33" s="120"/>
      <c r="M33" s="53"/>
      <c r="X33" s="52"/>
    </row>
    <row r="34" spans="2:24" ht="18" customHeight="1" thickBot="1" x14ac:dyDescent="0.3">
      <c r="B34" s="34">
        <v>31</v>
      </c>
      <c r="C34" s="120"/>
      <c r="D34" s="120"/>
      <c r="E34" s="120"/>
      <c r="F34" s="120"/>
      <c r="G34" s="120"/>
      <c r="H34" s="120"/>
      <c r="I34" s="120"/>
      <c r="J34" s="120"/>
      <c r="M34" s="51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49"/>
    </row>
    <row r="35" spans="2:24" ht="18" customHeight="1" x14ac:dyDescent="0.25">
      <c r="B35" s="34">
        <v>32</v>
      </c>
      <c r="C35" s="120"/>
      <c r="D35" s="120"/>
      <c r="E35" s="120"/>
      <c r="F35" s="120"/>
      <c r="G35" s="120"/>
      <c r="H35" s="120"/>
      <c r="I35" s="120"/>
      <c r="J35" s="120"/>
    </row>
    <row r="36" spans="2:24" ht="18" customHeight="1" thickBot="1" x14ac:dyDescent="0.3">
      <c r="B36" s="34">
        <v>33</v>
      </c>
      <c r="C36" s="120"/>
      <c r="D36" s="120"/>
      <c r="E36" s="120"/>
      <c r="F36" s="120"/>
      <c r="G36" s="120"/>
      <c r="H36" s="120"/>
      <c r="I36" s="120"/>
      <c r="J36" s="120"/>
    </row>
    <row r="37" spans="2:24" ht="18" customHeight="1" x14ac:dyDescent="0.25">
      <c r="B37" s="34">
        <v>34</v>
      </c>
      <c r="C37" s="120"/>
      <c r="D37" s="120"/>
      <c r="E37" s="120"/>
      <c r="F37" s="120"/>
      <c r="G37" s="120"/>
      <c r="H37" s="120"/>
      <c r="I37" s="120"/>
      <c r="J37" s="120"/>
      <c r="M37" s="288" t="s">
        <v>159</v>
      </c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9"/>
    </row>
    <row r="38" spans="2:24" ht="18" customHeight="1" thickBot="1" x14ac:dyDescent="0.3">
      <c r="B38" s="34">
        <v>35</v>
      </c>
      <c r="C38" s="120"/>
      <c r="D38" s="120"/>
      <c r="E38" s="120"/>
      <c r="F38" s="120"/>
      <c r="G38" s="120"/>
      <c r="H38" s="120"/>
      <c r="I38" s="120"/>
      <c r="J38" s="120"/>
      <c r="M38" s="290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2"/>
    </row>
    <row r="39" spans="2:24" ht="18" customHeight="1" x14ac:dyDescent="0.25">
      <c r="B39" s="34">
        <v>36</v>
      </c>
      <c r="C39" s="120"/>
      <c r="D39" s="120"/>
      <c r="E39" s="120"/>
      <c r="F39" s="120"/>
      <c r="G39" s="120"/>
      <c r="H39" s="120"/>
      <c r="I39" s="120"/>
      <c r="J39" s="120"/>
      <c r="M39" s="67" t="s">
        <v>160</v>
      </c>
      <c r="N39" s="65" t="str">
        <f>N5</f>
        <v>R6-C1-S1</v>
      </c>
      <c r="O39" s="66" t="s">
        <v>161</v>
      </c>
      <c r="P39" s="285" t="str">
        <f>P5</f>
        <v>C1-S1</v>
      </c>
      <c r="Q39" s="286"/>
      <c r="R39" s="286"/>
      <c r="S39" s="286"/>
      <c r="T39" s="64"/>
      <c r="U39" s="63"/>
      <c r="V39" s="62"/>
      <c r="W39" s="62"/>
      <c r="X39" s="61"/>
    </row>
    <row r="40" spans="2:24" ht="18" customHeight="1" x14ac:dyDescent="0.2">
      <c r="B40" s="34">
        <v>37</v>
      </c>
      <c r="C40" s="120"/>
      <c r="D40" s="120"/>
      <c r="E40" s="120"/>
      <c r="F40" s="120"/>
      <c r="G40" s="120"/>
      <c r="H40" s="120"/>
      <c r="I40" s="120"/>
      <c r="J40" s="120"/>
      <c r="M40" s="60" t="s">
        <v>162</v>
      </c>
      <c r="N40" s="5" t="str">
        <f>Run_Plan!B49</f>
        <v>Diesel (2nd stage), tol mixed</v>
      </c>
      <c r="O40" s="1"/>
      <c r="P40" s="1"/>
      <c r="Q40" s="1"/>
      <c r="R40" s="1"/>
      <c r="S40" s="1"/>
      <c r="T40" s="1"/>
      <c r="U40" s="58"/>
      <c r="X40" s="52"/>
    </row>
    <row r="41" spans="2:24" ht="18" customHeight="1" x14ac:dyDescent="0.2">
      <c r="B41" s="34">
        <v>38</v>
      </c>
      <c r="C41" s="120"/>
      <c r="D41" s="120"/>
      <c r="E41" s="120"/>
      <c r="F41" s="120"/>
      <c r="G41" s="120"/>
      <c r="H41" s="120"/>
      <c r="I41" s="120"/>
      <c r="J41" s="120"/>
      <c r="M41" s="59"/>
      <c r="N41" s="1"/>
      <c r="O41" s="1"/>
      <c r="P41" s="1"/>
      <c r="Q41" s="1"/>
      <c r="R41" s="1"/>
      <c r="S41" s="1"/>
      <c r="T41" s="1"/>
      <c r="U41" s="58"/>
      <c r="X41" s="52"/>
    </row>
    <row r="42" spans="2:24" ht="18" customHeight="1" x14ac:dyDescent="0.2">
      <c r="B42" s="34">
        <v>39</v>
      </c>
      <c r="C42" s="120"/>
      <c r="D42" s="120"/>
      <c r="E42" s="120"/>
      <c r="F42" s="120"/>
      <c r="G42" s="120"/>
      <c r="H42" s="120"/>
      <c r="I42" s="120"/>
      <c r="J42" s="120"/>
      <c r="M42" s="59"/>
      <c r="N42" s="1"/>
      <c r="O42" s="1"/>
      <c r="P42" s="1"/>
      <c r="Q42" s="1"/>
      <c r="R42" s="1"/>
      <c r="S42" s="1"/>
      <c r="T42" s="1"/>
      <c r="U42" s="58"/>
      <c r="X42" s="52"/>
    </row>
    <row r="43" spans="2:24" ht="18" customHeight="1" x14ac:dyDescent="0.2">
      <c r="B43" s="34">
        <v>40</v>
      </c>
      <c r="C43" s="120"/>
      <c r="D43" s="120"/>
      <c r="E43" s="120"/>
      <c r="F43" s="120"/>
      <c r="G43" s="120"/>
      <c r="H43" s="120"/>
      <c r="I43" s="120"/>
      <c r="J43" s="120"/>
      <c r="M43" s="59"/>
      <c r="N43" s="1"/>
      <c r="O43" s="1"/>
      <c r="P43" s="1"/>
      <c r="Q43" s="1"/>
      <c r="R43" s="1"/>
      <c r="S43" s="1"/>
      <c r="T43" s="1"/>
      <c r="U43" s="58"/>
      <c r="X43" s="52"/>
    </row>
    <row r="44" spans="2:24" ht="18" customHeight="1" x14ac:dyDescent="0.2">
      <c r="B44" s="34">
        <v>41</v>
      </c>
      <c r="C44" s="120"/>
      <c r="D44" s="120"/>
      <c r="E44" s="120"/>
      <c r="F44" s="120"/>
      <c r="G44" s="120"/>
      <c r="H44" s="120"/>
      <c r="I44" s="120"/>
      <c r="J44" s="120"/>
      <c r="M44" s="59"/>
      <c r="N44" s="1"/>
      <c r="O44" s="1"/>
      <c r="P44" s="1"/>
      <c r="Q44" s="1"/>
      <c r="R44" s="1"/>
      <c r="S44" s="1"/>
      <c r="T44" s="1"/>
      <c r="U44" s="58"/>
      <c r="X44" s="52"/>
    </row>
    <row r="45" spans="2:24" ht="18" customHeight="1" x14ac:dyDescent="0.2">
      <c r="B45" s="34">
        <v>42</v>
      </c>
      <c r="C45" s="120"/>
      <c r="D45" s="120"/>
      <c r="E45" s="120"/>
      <c r="F45" s="120"/>
      <c r="G45" s="120"/>
      <c r="H45" s="120"/>
      <c r="I45" s="120"/>
      <c r="J45" s="120"/>
      <c r="M45" s="59"/>
      <c r="N45" s="1"/>
      <c r="O45" s="1"/>
      <c r="P45" s="1"/>
      <c r="Q45" s="1"/>
      <c r="R45" s="1"/>
      <c r="S45" s="1"/>
      <c r="T45" s="1"/>
      <c r="U45" s="58"/>
      <c r="X45" s="52"/>
    </row>
    <row r="46" spans="2:24" ht="18" customHeight="1" x14ac:dyDescent="0.2">
      <c r="B46" s="34">
        <v>43</v>
      </c>
      <c r="C46" s="120"/>
      <c r="D46" s="120"/>
      <c r="E46" s="120"/>
      <c r="F46" s="120"/>
      <c r="G46" s="120"/>
      <c r="H46" s="120"/>
      <c r="I46" s="120"/>
      <c r="J46" s="120"/>
      <c r="M46" s="59"/>
      <c r="N46" s="1"/>
      <c r="O46" s="1"/>
      <c r="P46" s="1"/>
      <c r="Q46" s="1"/>
      <c r="R46" s="1"/>
      <c r="S46" s="1"/>
      <c r="T46" s="1"/>
      <c r="U46" s="58"/>
      <c r="X46" s="52"/>
    </row>
    <row r="47" spans="2:24" ht="18" customHeight="1" x14ac:dyDescent="0.2">
      <c r="B47" s="34">
        <v>44</v>
      </c>
      <c r="C47" s="120"/>
      <c r="D47" s="120"/>
      <c r="E47" s="120"/>
      <c r="F47" s="120"/>
      <c r="G47" s="120"/>
      <c r="H47" s="120"/>
      <c r="I47" s="120"/>
      <c r="J47" s="120"/>
      <c r="M47" s="59"/>
      <c r="N47" s="1"/>
      <c r="O47" s="1"/>
      <c r="P47" s="1"/>
      <c r="Q47" s="1"/>
      <c r="R47" s="1"/>
      <c r="S47" s="1"/>
      <c r="T47" s="1"/>
      <c r="U47" s="58"/>
      <c r="X47" s="52"/>
    </row>
    <row r="48" spans="2:24" ht="18" customHeight="1" x14ac:dyDescent="0.2">
      <c r="B48" s="34">
        <v>45</v>
      </c>
      <c r="C48" s="120"/>
      <c r="D48" s="120"/>
      <c r="E48" s="120"/>
      <c r="F48" s="120"/>
      <c r="G48" s="120"/>
      <c r="H48" s="120"/>
      <c r="I48" s="120"/>
      <c r="J48" s="120"/>
      <c r="M48" s="59"/>
      <c r="N48" s="1"/>
      <c r="O48" s="1"/>
      <c r="P48" s="1"/>
      <c r="Q48" s="1"/>
      <c r="R48" s="1"/>
      <c r="S48" s="1"/>
      <c r="T48" s="1"/>
      <c r="U48" s="58"/>
      <c r="X48" s="52"/>
    </row>
    <row r="49" spans="2:24" ht="18" customHeight="1" x14ac:dyDescent="0.2">
      <c r="B49" s="34">
        <v>46</v>
      </c>
      <c r="C49" s="120"/>
      <c r="D49" s="120"/>
      <c r="E49" s="120"/>
      <c r="F49" s="120"/>
      <c r="G49" s="120"/>
      <c r="H49" s="120"/>
      <c r="I49" s="120"/>
      <c r="J49" s="120"/>
      <c r="M49" s="59"/>
      <c r="N49" s="1"/>
      <c r="O49" s="1"/>
      <c r="P49" s="1"/>
      <c r="Q49" s="1"/>
      <c r="R49" s="1"/>
      <c r="S49" s="1"/>
      <c r="T49" s="1"/>
      <c r="U49" s="58"/>
      <c r="X49" s="52"/>
    </row>
    <row r="50" spans="2:24" ht="18" customHeight="1" x14ac:dyDescent="0.2">
      <c r="B50" s="34">
        <v>47</v>
      </c>
      <c r="C50" s="120"/>
      <c r="D50" s="120"/>
      <c r="E50" s="120"/>
      <c r="F50" s="120"/>
      <c r="G50" s="120"/>
      <c r="H50" s="120"/>
      <c r="I50" s="120"/>
      <c r="J50" s="120"/>
      <c r="M50" s="59"/>
      <c r="N50" s="1"/>
      <c r="O50" s="1"/>
      <c r="P50" s="1"/>
      <c r="Q50" s="1"/>
      <c r="R50" s="1"/>
      <c r="S50" s="1"/>
      <c r="T50" s="1"/>
      <c r="U50" s="58"/>
      <c r="X50" s="52"/>
    </row>
    <row r="51" spans="2:24" ht="18" customHeight="1" x14ac:dyDescent="0.2">
      <c r="B51" s="34">
        <v>48</v>
      </c>
      <c r="C51" s="120"/>
      <c r="D51" s="120"/>
      <c r="E51" s="120"/>
      <c r="F51" s="120"/>
      <c r="G51" s="120"/>
      <c r="H51" s="120"/>
      <c r="I51" s="120"/>
      <c r="J51" s="120"/>
      <c r="M51" s="59"/>
      <c r="N51" s="1"/>
      <c r="O51" s="1"/>
      <c r="P51" s="1"/>
      <c r="Q51" s="1"/>
      <c r="R51" s="1"/>
      <c r="S51" s="1"/>
      <c r="T51" s="1"/>
      <c r="U51" s="58"/>
      <c r="X51" s="52"/>
    </row>
    <row r="52" spans="2:24" ht="18" customHeight="1" x14ac:dyDescent="0.2">
      <c r="B52" s="34">
        <v>49</v>
      </c>
      <c r="C52" s="120"/>
      <c r="D52" s="120"/>
      <c r="E52" s="120"/>
      <c r="F52" s="120"/>
      <c r="G52" s="120"/>
      <c r="H52" s="120"/>
      <c r="I52" s="120"/>
      <c r="J52" s="120"/>
      <c r="M52" s="59"/>
      <c r="N52" s="1"/>
      <c r="O52" s="1"/>
      <c r="P52" s="1"/>
      <c r="Q52" s="1"/>
      <c r="R52" s="1"/>
      <c r="S52" s="1"/>
      <c r="T52" s="1"/>
      <c r="U52" s="58"/>
      <c r="X52" s="52"/>
    </row>
    <row r="53" spans="2:24" ht="18" customHeight="1" x14ac:dyDescent="0.2">
      <c r="B53" s="34">
        <v>50</v>
      </c>
      <c r="C53" s="120"/>
      <c r="D53" s="120"/>
      <c r="E53" s="120"/>
      <c r="F53" s="120"/>
      <c r="G53" s="120"/>
      <c r="H53" s="120"/>
      <c r="I53" s="120"/>
      <c r="J53" s="120"/>
      <c r="M53" s="59"/>
      <c r="N53" s="1"/>
      <c r="O53" s="1"/>
      <c r="P53" s="1"/>
      <c r="Q53" s="1"/>
      <c r="R53" s="1"/>
      <c r="S53" s="1"/>
      <c r="T53" s="1"/>
      <c r="U53" s="58"/>
      <c r="X53" s="52"/>
    </row>
    <row r="54" spans="2:24" ht="18" customHeight="1" x14ac:dyDescent="0.2">
      <c r="B54" s="34">
        <v>51</v>
      </c>
      <c r="C54" s="120"/>
      <c r="D54" s="120"/>
      <c r="E54" s="120"/>
      <c r="F54" s="120"/>
      <c r="G54" s="120"/>
      <c r="H54" s="120"/>
      <c r="I54" s="120"/>
      <c r="J54" s="120"/>
      <c r="M54" s="59"/>
      <c r="N54" s="1"/>
      <c r="O54" s="1"/>
      <c r="P54" s="1"/>
      <c r="Q54" s="1"/>
      <c r="R54" s="1"/>
      <c r="S54" s="1"/>
      <c r="T54" s="1"/>
      <c r="U54" s="58"/>
      <c r="X54" s="52"/>
    </row>
    <row r="55" spans="2:24" ht="18" customHeight="1" x14ac:dyDescent="0.2">
      <c r="B55" s="34">
        <v>52</v>
      </c>
      <c r="C55" s="120"/>
      <c r="D55" s="120"/>
      <c r="E55" s="120"/>
      <c r="F55" s="120"/>
      <c r="G55" s="120"/>
      <c r="H55" s="120"/>
      <c r="I55" s="120"/>
      <c r="J55" s="120"/>
      <c r="M55" s="59"/>
      <c r="N55" s="1"/>
      <c r="O55" s="1"/>
      <c r="P55" s="1"/>
      <c r="Q55" s="1"/>
      <c r="R55" s="1"/>
      <c r="S55" s="1"/>
      <c r="T55" s="1"/>
      <c r="U55" s="58"/>
      <c r="X55" s="52"/>
    </row>
    <row r="56" spans="2:24" ht="18" customHeight="1" x14ac:dyDescent="0.2">
      <c r="B56" s="34">
        <v>53</v>
      </c>
      <c r="C56" s="120"/>
      <c r="D56" s="120"/>
      <c r="E56" s="120"/>
      <c r="F56" s="120"/>
      <c r="G56" s="120"/>
      <c r="H56" s="120"/>
      <c r="I56" s="120"/>
      <c r="J56" s="120"/>
      <c r="M56" s="59"/>
      <c r="N56" s="1"/>
      <c r="O56" s="1"/>
      <c r="P56" s="1"/>
      <c r="Q56" s="1"/>
      <c r="R56" s="1"/>
      <c r="S56" s="1"/>
      <c r="T56" s="1"/>
      <c r="U56" s="58"/>
      <c r="X56" s="52"/>
    </row>
    <row r="57" spans="2:24" ht="18" customHeight="1" x14ac:dyDescent="0.2">
      <c r="B57" s="34">
        <v>54</v>
      </c>
      <c r="C57" s="120"/>
      <c r="D57" s="120"/>
      <c r="E57" s="120"/>
      <c r="F57" s="120"/>
      <c r="G57" s="120"/>
      <c r="H57" s="120"/>
      <c r="I57" s="120"/>
      <c r="J57" s="120"/>
      <c r="M57" s="59"/>
      <c r="N57" s="1"/>
      <c r="O57" s="1"/>
      <c r="P57" s="1"/>
      <c r="Q57" s="1"/>
      <c r="R57" s="1"/>
      <c r="S57" s="1"/>
      <c r="T57" s="1"/>
      <c r="U57" s="58"/>
      <c r="X57" s="52"/>
    </row>
    <row r="58" spans="2:24" ht="18" customHeight="1" x14ac:dyDescent="0.2">
      <c r="B58" s="34">
        <v>55</v>
      </c>
      <c r="C58" s="120"/>
      <c r="D58" s="120"/>
      <c r="E58" s="120"/>
      <c r="F58" s="120"/>
      <c r="G58" s="120"/>
      <c r="H58" s="120"/>
      <c r="I58" s="120"/>
      <c r="J58" s="120"/>
      <c r="M58" s="59"/>
      <c r="N58" s="1"/>
      <c r="O58" s="1"/>
      <c r="P58" s="1"/>
      <c r="Q58" s="1"/>
      <c r="R58" s="1"/>
      <c r="S58" s="1"/>
      <c r="T58" s="1"/>
      <c r="U58" s="58"/>
      <c r="X58" s="52"/>
    </row>
    <row r="59" spans="2:24" ht="18" customHeight="1" x14ac:dyDescent="0.2">
      <c r="B59" s="34">
        <v>56</v>
      </c>
      <c r="C59" s="120"/>
      <c r="D59" s="120"/>
      <c r="E59" s="120"/>
      <c r="F59" s="120"/>
      <c r="G59" s="120"/>
      <c r="H59" s="120"/>
      <c r="I59" s="120"/>
      <c r="J59" s="120"/>
      <c r="M59" s="59"/>
      <c r="N59" s="1"/>
      <c r="O59" s="1"/>
      <c r="P59" s="1"/>
      <c r="Q59" s="1"/>
      <c r="R59" s="1"/>
      <c r="S59" s="1"/>
      <c r="T59" s="1"/>
      <c r="U59" s="58"/>
      <c r="X59" s="52"/>
    </row>
    <row r="60" spans="2:24" ht="18" customHeight="1" x14ac:dyDescent="0.2">
      <c r="B60" s="34">
        <v>57</v>
      </c>
      <c r="C60" s="120"/>
      <c r="D60" s="120"/>
      <c r="E60" s="120"/>
      <c r="F60" s="120"/>
      <c r="G60" s="120"/>
      <c r="H60" s="120"/>
      <c r="I60" s="120"/>
      <c r="J60" s="120"/>
      <c r="M60" s="59"/>
      <c r="N60" s="1"/>
      <c r="O60" s="1"/>
      <c r="P60" s="1"/>
      <c r="Q60" s="1"/>
      <c r="R60" s="1"/>
      <c r="S60" s="1"/>
      <c r="T60" s="1"/>
      <c r="U60" s="58"/>
      <c r="X60" s="52"/>
    </row>
    <row r="61" spans="2:24" ht="18" customHeight="1" x14ac:dyDescent="0.2">
      <c r="B61" s="34">
        <v>58</v>
      </c>
      <c r="C61" s="120"/>
      <c r="D61" s="120"/>
      <c r="E61" s="120"/>
      <c r="F61" s="120"/>
      <c r="G61" s="120"/>
      <c r="H61" s="120"/>
      <c r="I61" s="120"/>
      <c r="J61" s="120"/>
      <c r="M61" s="59"/>
      <c r="N61" s="1"/>
      <c r="O61" s="1"/>
      <c r="P61" s="1"/>
      <c r="Q61" s="1"/>
      <c r="R61" s="1"/>
      <c r="S61" s="1"/>
      <c r="T61" s="1"/>
      <c r="U61" s="58"/>
      <c r="X61" s="52"/>
    </row>
    <row r="62" spans="2:24" ht="18" customHeight="1" x14ac:dyDescent="0.2">
      <c r="B62" s="34">
        <v>59</v>
      </c>
      <c r="C62" s="120"/>
      <c r="D62" s="120"/>
      <c r="E62" s="120"/>
      <c r="F62" s="120"/>
      <c r="G62" s="120"/>
      <c r="H62" s="120"/>
      <c r="I62" s="120"/>
      <c r="J62" s="120"/>
      <c r="M62" s="59"/>
      <c r="N62" s="1"/>
      <c r="O62" s="1"/>
      <c r="P62" s="1"/>
      <c r="Q62" s="1"/>
      <c r="R62" s="1"/>
      <c r="S62" s="1"/>
      <c r="T62" s="1"/>
      <c r="U62" s="58"/>
      <c r="X62" s="52"/>
    </row>
    <row r="63" spans="2:24" ht="18" customHeight="1" x14ac:dyDescent="0.2">
      <c r="B63" s="34">
        <v>60</v>
      </c>
      <c r="C63" s="120"/>
      <c r="D63" s="120"/>
      <c r="E63" s="120"/>
      <c r="F63" s="120"/>
      <c r="G63" s="120"/>
      <c r="H63" s="120"/>
      <c r="I63" s="120"/>
      <c r="J63" s="120"/>
      <c r="M63" s="59"/>
      <c r="N63" s="1"/>
      <c r="O63" s="1"/>
      <c r="P63" s="1"/>
      <c r="Q63" s="1"/>
      <c r="R63" s="1"/>
      <c r="S63" s="1"/>
      <c r="T63" s="1"/>
      <c r="U63" s="58"/>
      <c r="X63" s="52"/>
    </row>
    <row r="64" spans="2:24" ht="18" customHeight="1" x14ac:dyDescent="0.25">
      <c r="B64" s="34">
        <v>61</v>
      </c>
      <c r="C64" s="120"/>
      <c r="D64" s="120"/>
      <c r="E64" s="120"/>
      <c r="F64" s="120"/>
      <c r="G64" s="120"/>
      <c r="H64" s="120"/>
      <c r="I64" s="120"/>
      <c r="J64" s="120"/>
      <c r="M64" s="57"/>
      <c r="N64" s="56"/>
      <c r="O64" s="55"/>
      <c r="P64" s="56"/>
      <c r="Q64" s="55"/>
      <c r="R64" s="54"/>
      <c r="S64" s="56"/>
      <c r="T64" s="55"/>
      <c r="U64" s="54"/>
      <c r="X64" s="52"/>
    </row>
    <row r="65" spans="2:24" ht="18" customHeight="1" x14ac:dyDescent="0.25">
      <c r="B65" s="34">
        <v>62</v>
      </c>
      <c r="C65" s="120"/>
      <c r="D65" s="120"/>
      <c r="E65" s="120"/>
      <c r="F65" s="120"/>
      <c r="G65" s="120"/>
      <c r="H65" s="120"/>
      <c r="I65" s="120"/>
      <c r="J65" s="120"/>
      <c r="M65" s="53"/>
      <c r="X65" s="52"/>
    </row>
    <row r="66" spans="2:24" ht="18" customHeight="1" x14ac:dyDescent="0.25">
      <c r="B66" s="34">
        <v>63</v>
      </c>
      <c r="C66" s="120"/>
      <c r="D66" s="120"/>
      <c r="E66" s="120"/>
      <c r="F66" s="120"/>
      <c r="G66" s="120"/>
      <c r="H66" s="120"/>
      <c r="I66" s="120"/>
      <c r="J66" s="120"/>
      <c r="M66" s="53"/>
      <c r="X66" s="52"/>
    </row>
    <row r="67" spans="2:24" ht="18" customHeight="1" x14ac:dyDescent="0.25">
      <c r="B67" s="34">
        <v>64</v>
      </c>
      <c r="C67" s="120"/>
      <c r="D67" s="120"/>
      <c r="E67" s="120"/>
      <c r="F67" s="120"/>
      <c r="G67" s="120"/>
      <c r="H67" s="120"/>
      <c r="I67" s="120"/>
      <c r="J67" s="120"/>
      <c r="M67" s="53"/>
      <c r="X67" s="52"/>
    </row>
    <row r="68" spans="2:24" ht="18" customHeight="1" thickBot="1" x14ac:dyDescent="0.3">
      <c r="B68" s="34">
        <v>65</v>
      </c>
      <c r="C68" s="120"/>
      <c r="D68" s="120"/>
      <c r="E68" s="120"/>
      <c r="F68" s="120"/>
      <c r="G68" s="120"/>
      <c r="H68" s="120"/>
      <c r="I68" s="120"/>
      <c r="J68" s="120"/>
      <c r="M68" s="51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49"/>
    </row>
    <row r="69" spans="2:24" ht="18" customHeight="1" x14ac:dyDescent="0.25">
      <c r="B69" s="34">
        <v>66</v>
      </c>
      <c r="C69" s="120"/>
      <c r="D69" s="120"/>
      <c r="E69" s="120"/>
      <c r="F69" s="120"/>
      <c r="G69" s="120"/>
      <c r="H69" s="120"/>
      <c r="I69" s="120"/>
      <c r="J69" s="120"/>
    </row>
    <row r="70" spans="2:24" ht="18" customHeight="1" x14ac:dyDescent="0.25">
      <c r="B70" s="34">
        <v>67</v>
      </c>
      <c r="C70" s="120"/>
      <c r="D70" s="120"/>
      <c r="E70" s="120"/>
      <c r="F70" s="120"/>
      <c r="G70" s="120"/>
      <c r="H70" s="120"/>
      <c r="I70" s="120"/>
      <c r="J70" s="120"/>
    </row>
    <row r="71" spans="2:24" ht="18" customHeight="1" x14ac:dyDescent="0.25">
      <c r="B71" s="34">
        <v>68</v>
      </c>
      <c r="C71" s="120"/>
      <c r="D71" s="120"/>
      <c r="E71" s="120"/>
      <c r="F71" s="120"/>
      <c r="G71" s="120"/>
      <c r="H71" s="120"/>
      <c r="I71" s="120"/>
      <c r="J71" s="120"/>
    </row>
    <row r="72" spans="2:24" ht="18" customHeight="1" x14ac:dyDescent="0.25">
      <c r="B72" s="34">
        <v>69</v>
      </c>
      <c r="C72" s="120"/>
      <c r="D72" s="120"/>
      <c r="E72" s="120"/>
      <c r="F72" s="120"/>
      <c r="G72" s="120"/>
      <c r="H72" s="120"/>
      <c r="I72" s="120"/>
      <c r="J72" s="120"/>
    </row>
    <row r="73" spans="2:24" ht="18" customHeight="1" x14ac:dyDescent="0.25">
      <c r="B73" s="34">
        <v>70</v>
      </c>
      <c r="C73" s="120"/>
      <c r="D73" s="120"/>
      <c r="E73" s="120"/>
      <c r="F73" s="120"/>
      <c r="G73" s="120"/>
      <c r="H73" s="120"/>
      <c r="I73" s="120"/>
      <c r="J73" s="120"/>
    </row>
    <row r="74" spans="2:24" ht="18" customHeight="1" x14ac:dyDescent="0.25">
      <c r="B74" s="34">
        <v>71</v>
      </c>
      <c r="C74" s="120"/>
      <c r="D74" s="120"/>
      <c r="E74" s="120"/>
      <c r="F74" s="120"/>
      <c r="G74" s="120"/>
      <c r="H74" s="120"/>
      <c r="I74" s="120"/>
      <c r="J74" s="120"/>
    </row>
    <row r="75" spans="2:24" ht="18" customHeight="1" x14ac:dyDescent="0.25">
      <c r="B75" s="34">
        <v>72</v>
      </c>
      <c r="C75" s="120"/>
      <c r="D75" s="120"/>
      <c r="E75" s="120"/>
      <c r="F75" s="120"/>
      <c r="G75" s="120"/>
      <c r="H75" s="120"/>
      <c r="I75" s="120"/>
      <c r="J75" s="120"/>
    </row>
    <row r="76" spans="2:24" ht="18" customHeight="1" x14ac:dyDescent="0.25">
      <c r="B76" s="34">
        <v>73</v>
      </c>
      <c r="C76" s="120"/>
      <c r="D76" s="120"/>
      <c r="E76" s="120"/>
      <c r="F76" s="120"/>
      <c r="G76" s="120"/>
      <c r="H76" s="120"/>
      <c r="I76" s="120"/>
      <c r="J76" s="120"/>
    </row>
    <row r="77" spans="2:24" ht="18" customHeight="1" x14ac:dyDescent="0.25">
      <c r="B77" s="34">
        <v>74</v>
      </c>
      <c r="C77" s="120"/>
      <c r="D77" s="120"/>
      <c r="E77" s="120"/>
      <c r="F77" s="120"/>
      <c r="G77" s="120"/>
      <c r="H77" s="120"/>
      <c r="I77" s="120"/>
      <c r="J77" s="120"/>
    </row>
    <row r="78" spans="2:24" ht="18" customHeight="1" x14ac:dyDescent="0.25">
      <c r="B78" s="34">
        <v>75</v>
      </c>
      <c r="C78" s="120"/>
      <c r="D78" s="120"/>
      <c r="E78" s="120"/>
      <c r="F78" s="120"/>
      <c r="G78" s="120"/>
      <c r="H78" s="120"/>
      <c r="I78" s="120"/>
      <c r="J78" s="120"/>
    </row>
    <row r="79" spans="2:24" ht="18" customHeight="1" x14ac:dyDescent="0.25">
      <c r="B79" s="34">
        <v>76</v>
      </c>
      <c r="C79" s="120"/>
      <c r="D79" s="120"/>
      <c r="E79" s="120"/>
      <c r="F79" s="120"/>
      <c r="G79" s="120"/>
      <c r="H79" s="120"/>
      <c r="I79" s="120"/>
      <c r="J79" s="120"/>
    </row>
    <row r="80" spans="2:24" ht="18" customHeight="1" x14ac:dyDescent="0.25">
      <c r="B80" s="34">
        <v>77</v>
      </c>
      <c r="C80" s="120"/>
      <c r="D80" s="120"/>
      <c r="E80" s="120"/>
      <c r="F80" s="120"/>
      <c r="G80" s="120"/>
      <c r="H80" s="120"/>
      <c r="I80" s="120"/>
      <c r="J80" s="120"/>
    </row>
    <row r="81" spans="2:10" ht="18" customHeight="1" x14ac:dyDescent="0.25">
      <c r="B81" s="34">
        <v>78</v>
      </c>
      <c r="C81" s="120"/>
      <c r="D81" s="120"/>
      <c r="E81" s="120"/>
      <c r="F81" s="120"/>
      <c r="G81" s="120"/>
      <c r="H81" s="120"/>
      <c r="I81" s="120"/>
      <c r="J81" s="120"/>
    </row>
    <row r="82" spans="2:10" ht="18" customHeight="1" x14ac:dyDescent="0.25">
      <c r="B82" s="34">
        <v>79</v>
      </c>
      <c r="C82" s="120"/>
      <c r="D82" s="120"/>
      <c r="E82" s="120"/>
      <c r="F82" s="120"/>
      <c r="G82" s="120"/>
      <c r="H82" s="120"/>
      <c r="I82" s="120"/>
      <c r="J82" s="120"/>
    </row>
    <row r="83" spans="2:10" ht="18" customHeight="1" x14ac:dyDescent="0.25">
      <c r="B83" s="34">
        <v>80</v>
      </c>
      <c r="C83" s="120"/>
      <c r="D83" s="120"/>
      <c r="E83" s="120"/>
      <c r="F83" s="120"/>
      <c r="G83" s="120"/>
      <c r="H83" s="120"/>
      <c r="I83" s="120"/>
      <c r="J83" s="120"/>
    </row>
    <row r="84" spans="2:10" ht="18" customHeight="1" x14ac:dyDescent="0.25">
      <c r="B84" s="34">
        <v>81</v>
      </c>
      <c r="C84" s="120"/>
      <c r="D84" s="120"/>
      <c r="E84" s="120"/>
      <c r="F84" s="120"/>
      <c r="G84" s="120"/>
      <c r="H84" s="120"/>
      <c r="I84" s="120"/>
      <c r="J84" s="120"/>
    </row>
    <row r="85" spans="2:10" ht="18" customHeight="1" x14ac:dyDescent="0.25">
      <c r="B85" s="34">
        <v>82</v>
      </c>
      <c r="C85" s="120"/>
      <c r="D85" s="120"/>
      <c r="E85" s="120"/>
      <c r="F85" s="120"/>
      <c r="G85" s="120"/>
      <c r="H85" s="120"/>
      <c r="I85" s="120"/>
      <c r="J85" s="120"/>
    </row>
    <row r="86" spans="2:10" ht="18" customHeight="1" x14ac:dyDescent="0.25">
      <c r="B86" s="34">
        <v>83</v>
      </c>
      <c r="C86" s="120"/>
      <c r="D86" s="120"/>
      <c r="E86" s="120"/>
      <c r="F86" s="120"/>
      <c r="G86" s="120"/>
      <c r="H86" s="120"/>
      <c r="I86" s="120"/>
      <c r="J86" s="120"/>
    </row>
    <row r="87" spans="2:10" ht="18" customHeight="1" x14ac:dyDescent="0.25">
      <c r="B87" s="34">
        <v>84</v>
      </c>
      <c r="C87" s="120"/>
      <c r="D87" s="120"/>
      <c r="E87" s="120"/>
      <c r="F87" s="120"/>
      <c r="G87" s="120"/>
      <c r="H87" s="120"/>
      <c r="I87" s="120"/>
      <c r="J87" s="120"/>
    </row>
    <row r="88" spans="2:10" ht="18" customHeight="1" x14ac:dyDescent="0.25">
      <c r="B88" s="34">
        <v>85</v>
      </c>
      <c r="C88" s="120"/>
      <c r="D88" s="120"/>
      <c r="E88" s="120"/>
      <c r="F88" s="120"/>
      <c r="G88" s="120"/>
      <c r="H88" s="120"/>
      <c r="I88" s="120"/>
      <c r="J88" s="120"/>
    </row>
    <row r="89" spans="2:10" ht="18" customHeight="1" x14ac:dyDescent="0.25">
      <c r="B89" s="34">
        <v>86</v>
      </c>
      <c r="C89" s="120"/>
      <c r="D89" s="120"/>
      <c r="E89" s="120"/>
      <c r="F89" s="120"/>
      <c r="G89" s="120"/>
      <c r="H89" s="120"/>
      <c r="I89" s="120"/>
      <c r="J89" s="120"/>
    </row>
    <row r="90" spans="2:10" ht="18" customHeight="1" x14ac:dyDescent="0.25">
      <c r="B90" s="34">
        <v>87</v>
      </c>
      <c r="C90" s="120"/>
      <c r="D90" s="120"/>
      <c r="E90" s="120"/>
      <c r="F90" s="120"/>
      <c r="G90" s="120"/>
      <c r="H90" s="120"/>
      <c r="I90" s="120"/>
      <c r="J90" s="120"/>
    </row>
    <row r="91" spans="2:10" ht="18" customHeight="1" x14ac:dyDescent="0.25">
      <c r="B91" s="34">
        <v>88</v>
      </c>
      <c r="C91" s="120"/>
      <c r="D91" s="120"/>
      <c r="E91" s="120"/>
      <c r="F91" s="120"/>
      <c r="G91" s="120"/>
      <c r="H91" s="120"/>
      <c r="I91" s="120"/>
      <c r="J91" s="120"/>
    </row>
    <row r="92" spans="2:10" ht="18" customHeight="1" x14ac:dyDescent="0.25">
      <c r="B92" s="34">
        <v>89</v>
      </c>
      <c r="C92" s="120"/>
      <c r="D92" s="120"/>
      <c r="E92" s="120"/>
      <c r="F92" s="120"/>
      <c r="G92" s="120"/>
      <c r="H92" s="120"/>
      <c r="I92" s="120"/>
      <c r="J92" s="120"/>
    </row>
    <row r="93" spans="2:10" ht="18" customHeight="1" x14ac:dyDescent="0.25">
      <c r="B93" s="34">
        <v>90</v>
      </c>
      <c r="C93" s="120"/>
      <c r="D93" s="120"/>
      <c r="E93" s="120"/>
      <c r="F93" s="120"/>
      <c r="G93" s="120"/>
      <c r="H93" s="120"/>
      <c r="I93" s="120"/>
      <c r="J93" s="120"/>
    </row>
    <row r="94" spans="2:10" ht="18" customHeight="1" x14ac:dyDescent="0.25">
      <c r="B94" s="34">
        <v>91</v>
      </c>
      <c r="C94" s="120"/>
      <c r="D94" s="120"/>
      <c r="E94" s="120"/>
      <c r="F94" s="120"/>
      <c r="G94" s="120"/>
      <c r="H94" s="120"/>
      <c r="I94" s="120"/>
      <c r="J94" s="120"/>
    </row>
    <row r="95" spans="2:10" ht="18" customHeight="1" x14ac:dyDescent="0.25">
      <c r="B95" s="34">
        <v>92</v>
      </c>
      <c r="C95" s="120"/>
      <c r="D95" s="120"/>
      <c r="E95" s="120"/>
      <c r="F95" s="120"/>
      <c r="G95" s="120"/>
      <c r="H95" s="120"/>
      <c r="I95" s="120"/>
      <c r="J95" s="120"/>
    </row>
    <row r="96" spans="2:10" ht="18" customHeight="1" x14ac:dyDescent="0.25">
      <c r="B96" s="34">
        <v>93</v>
      </c>
      <c r="C96" s="120"/>
      <c r="D96" s="120"/>
      <c r="E96" s="120"/>
      <c r="F96" s="120"/>
      <c r="G96" s="120"/>
      <c r="H96" s="120"/>
      <c r="I96" s="120"/>
      <c r="J96" s="120"/>
    </row>
    <row r="97" spans="2:23" ht="18" customHeight="1" x14ac:dyDescent="0.25">
      <c r="B97" s="34">
        <v>94</v>
      </c>
      <c r="C97" s="120"/>
      <c r="D97" s="120"/>
      <c r="E97" s="120"/>
      <c r="F97" s="120"/>
      <c r="G97" s="120"/>
      <c r="H97" s="120"/>
      <c r="I97" s="120"/>
      <c r="J97" s="120"/>
    </row>
    <row r="98" spans="2:23" ht="18" customHeight="1" x14ac:dyDescent="0.25">
      <c r="B98" s="34">
        <v>95</v>
      </c>
      <c r="C98" s="120"/>
      <c r="D98" s="120"/>
      <c r="E98" s="120"/>
      <c r="F98" s="120"/>
      <c r="G98" s="120"/>
      <c r="H98" s="120"/>
      <c r="I98" s="120"/>
      <c r="J98" s="120"/>
    </row>
    <row r="99" spans="2:23" ht="18" customHeight="1" x14ac:dyDescent="0.25">
      <c r="B99" s="34">
        <v>96</v>
      </c>
      <c r="C99" s="120"/>
      <c r="D99" s="120"/>
      <c r="E99" s="120"/>
      <c r="F99" s="120"/>
      <c r="G99" s="120"/>
      <c r="H99" s="120"/>
      <c r="I99" s="120"/>
      <c r="J99" s="120"/>
    </row>
    <row r="100" spans="2:23" ht="18" customHeight="1" x14ac:dyDescent="0.25">
      <c r="B100" s="34">
        <v>97</v>
      </c>
      <c r="C100" s="120"/>
      <c r="D100" s="120"/>
      <c r="E100" s="120"/>
      <c r="F100" s="120"/>
      <c r="G100" s="120"/>
      <c r="H100" s="120"/>
      <c r="I100" s="120"/>
      <c r="J100" s="120"/>
    </row>
    <row r="101" spans="2:23" ht="18" customHeight="1" x14ac:dyDescent="0.25">
      <c r="B101" s="34">
        <v>98</v>
      </c>
      <c r="C101" s="120"/>
      <c r="D101" s="120"/>
      <c r="E101" s="120"/>
      <c r="F101" s="120"/>
      <c r="G101" s="120"/>
      <c r="H101" s="120"/>
      <c r="I101" s="120"/>
      <c r="J101" s="120"/>
    </row>
    <row r="102" spans="2:23" ht="18" customHeight="1" x14ac:dyDescent="0.25">
      <c r="B102" s="34">
        <v>99</v>
      </c>
      <c r="C102" s="120"/>
      <c r="D102" s="120"/>
      <c r="E102" s="120"/>
      <c r="F102" s="120"/>
      <c r="G102" s="120"/>
      <c r="H102" s="120"/>
      <c r="I102" s="120"/>
      <c r="J102" s="120"/>
    </row>
    <row r="103" spans="2:23" ht="18" customHeight="1" x14ac:dyDescent="0.25">
      <c r="B103" s="48">
        <v>99.5</v>
      </c>
      <c r="C103" s="120"/>
      <c r="D103" s="120"/>
      <c r="E103" s="120"/>
      <c r="F103" s="120"/>
      <c r="G103" s="120"/>
      <c r="H103" s="120"/>
      <c r="I103" s="120"/>
      <c r="J103" s="120"/>
      <c r="W103" s="47"/>
    </row>
  </sheetData>
  <sheetProtection sheet="1" objects="1" scenarios="1"/>
  <mergeCells count="6">
    <mergeCell ref="P39:S39"/>
    <mergeCell ref="C1:J1"/>
    <mergeCell ref="X1:AE1"/>
    <mergeCell ref="M3:X4"/>
    <mergeCell ref="M37:X38"/>
    <mergeCell ref="P5:S5"/>
  </mergeCells>
  <conditionalFormatting sqref="C3:J103">
    <cfRule type="expression" dxfId="152" priority="1">
      <formula>NOT(C3="")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N112"/>
  <sheetViews>
    <sheetView showGridLines="0" zoomScale="70" zoomScaleNormal="70" workbookViewId="0">
      <selection activeCell="D10" sqref="D10"/>
    </sheetView>
  </sheetViews>
  <sheetFormatPr defaultColWidth="12.85546875" defaultRowHeight="18" customHeight="1" x14ac:dyDescent="0.2"/>
  <cols>
    <col min="1" max="1" width="2.7109375" style="58" customWidth="1"/>
    <col min="2" max="2" width="17" style="58" bestFit="1" customWidth="1"/>
    <col min="3" max="21" width="12.85546875" style="58" customWidth="1"/>
    <col min="22" max="22" width="17" style="58" bestFit="1" customWidth="1"/>
    <col min="23" max="24" width="12.85546875" style="58" customWidth="1"/>
    <col min="25" max="16384" width="12.85546875" style="58"/>
  </cols>
  <sheetData>
    <row r="1" spans="2:40" ht="9.75" customHeight="1" thickBot="1" x14ac:dyDescent="0.25"/>
    <row r="2" spans="2:40" ht="18" customHeight="1" x14ac:dyDescent="0.25">
      <c r="B2" s="268" t="s">
        <v>163</v>
      </c>
      <c r="C2" s="258"/>
      <c r="D2" s="258"/>
      <c r="E2" s="258"/>
      <c r="F2" s="258"/>
      <c r="G2" s="258"/>
      <c r="H2" s="258"/>
      <c r="I2" s="259"/>
      <c r="K2" s="288" t="str">
        <f>B2</f>
        <v>DHA-PIONA Reactor-1 Hydrocarbon TLP</v>
      </c>
      <c r="L2" s="286"/>
      <c r="M2" s="286"/>
      <c r="N2" s="286"/>
      <c r="O2" s="286"/>
      <c r="P2" s="286"/>
      <c r="Q2" s="286"/>
      <c r="R2" s="286"/>
      <c r="S2" s="286"/>
      <c r="T2" s="289"/>
      <c r="V2" s="268" t="s">
        <v>164</v>
      </c>
      <c r="W2" s="258"/>
      <c r="X2" s="258"/>
      <c r="Y2" s="258"/>
      <c r="Z2" s="258"/>
      <c r="AA2" s="258"/>
      <c r="AB2" s="258"/>
      <c r="AC2" s="259"/>
      <c r="AE2" s="288" t="str">
        <f>V2</f>
        <v>DHA-PIONA Reactor-5 Hydrocarbon TLP</v>
      </c>
      <c r="AF2" s="286"/>
      <c r="AG2" s="286"/>
      <c r="AH2" s="286"/>
      <c r="AI2" s="286"/>
      <c r="AJ2" s="286"/>
      <c r="AK2" s="286"/>
      <c r="AL2" s="286"/>
      <c r="AM2" s="286"/>
      <c r="AN2" s="289"/>
    </row>
    <row r="3" spans="2:40" ht="18" customHeight="1" thickBot="1" x14ac:dyDescent="0.25">
      <c r="B3" s="9" t="s">
        <v>165</v>
      </c>
      <c r="C3" s="10" t="s">
        <v>166</v>
      </c>
      <c r="D3" s="10" t="s">
        <v>167</v>
      </c>
      <c r="E3" s="10" t="s">
        <v>168</v>
      </c>
      <c r="F3" s="10" t="s">
        <v>169</v>
      </c>
      <c r="G3" s="10" t="s">
        <v>170</v>
      </c>
      <c r="H3" s="10" t="s">
        <v>171</v>
      </c>
      <c r="I3" s="10" t="s">
        <v>44</v>
      </c>
      <c r="K3" s="290"/>
      <c r="L3" s="291"/>
      <c r="M3" s="291"/>
      <c r="N3" s="291"/>
      <c r="O3" s="291"/>
      <c r="P3" s="291"/>
      <c r="Q3" s="291"/>
      <c r="R3" s="291"/>
      <c r="S3" s="291"/>
      <c r="T3" s="292"/>
      <c r="V3" s="9" t="s">
        <v>165</v>
      </c>
      <c r="W3" s="10" t="s">
        <v>166</v>
      </c>
      <c r="X3" s="10" t="s">
        <v>167</v>
      </c>
      <c r="Y3" s="10" t="s">
        <v>168</v>
      </c>
      <c r="Z3" s="10" t="s">
        <v>169</v>
      </c>
      <c r="AA3" s="10" t="s">
        <v>170</v>
      </c>
      <c r="AB3" s="10" t="s">
        <v>171</v>
      </c>
      <c r="AC3" s="10" t="s">
        <v>44</v>
      </c>
      <c r="AE3" s="290"/>
      <c r="AF3" s="291"/>
      <c r="AG3" s="291"/>
      <c r="AH3" s="291"/>
      <c r="AI3" s="291"/>
      <c r="AJ3" s="291"/>
      <c r="AK3" s="291"/>
      <c r="AL3" s="291"/>
      <c r="AM3" s="291"/>
      <c r="AN3" s="292"/>
    </row>
    <row r="4" spans="2:40" ht="18" customHeight="1" x14ac:dyDescent="0.25">
      <c r="B4" s="9">
        <v>1</v>
      </c>
      <c r="C4" s="120"/>
      <c r="D4" s="120"/>
      <c r="E4" s="120"/>
      <c r="F4" s="120"/>
      <c r="G4" s="120"/>
      <c r="H4" s="120"/>
      <c r="I4" s="120"/>
      <c r="K4" s="67" t="s">
        <v>160</v>
      </c>
      <c r="L4" s="65" t="str">
        <f>Run_Plan!B14</f>
        <v>R1 Catalyst Ni2CBV-3014</v>
      </c>
      <c r="M4" s="66"/>
      <c r="N4" s="65"/>
      <c r="O4" s="63"/>
      <c r="P4" s="66" t="s">
        <v>161</v>
      </c>
      <c r="Q4" s="293" t="str">
        <f>Liq!$B$4</f>
        <v>C1-S1</v>
      </c>
      <c r="R4" s="286"/>
      <c r="S4" s="286"/>
      <c r="T4" s="289"/>
      <c r="V4" s="9">
        <v>1</v>
      </c>
      <c r="W4" s="120"/>
      <c r="X4" s="120"/>
      <c r="Y4" s="120"/>
      <c r="Z4" s="120"/>
      <c r="AA4" s="120"/>
      <c r="AB4" s="120"/>
      <c r="AC4" s="120"/>
      <c r="AE4" s="67" t="s">
        <v>160</v>
      </c>
      <c r="AF4" s="65" t="str">
        <f>Run_Plan!B21</f>
        <v>R5 Catalyst alpha-Alumina</v>
      </c>
      <c r="AG4" s="66"/>
      <c r="AH4" s="65"/>
      <c r="AI4" s="63"/>
      <c r="AJ4" s="66" t="s">
        <v>161</v>
      </c>
      <c r="AK4" s="293" t="str">
        <f>Liq!$B$4</f>
        <v>C1-S1</v>
      </c>
      <c r="AL4" s="286"/>
      <c r="AM4" s="286"/>
      <c r="AN4" s="289"/>
    </row>
    <row r="5" spans="2:40" s="1" customFormat="1" ht="18" customHeight="1" x14ac:dyDescent="0.25">
      <c r="B5" s="9">
        <v>2</v>
      </c>
      <c r="C5" s="120"/>
      <c r="D5" s="120"/>
      <c r="E5" s="120"/>
      <c r="F5" s="120"/>
      <c r="G5" s="120"/>
      <c r="H5" s="120"/>
      <c r="I5" s="120"/>
      <c r="K5" s="59"/>
      <c r="T5" s="78"/>
      <c r="V5" s="9">
        <v>2</v>
      </c>
      <c r="W5" s="120"/>
      <c r="X5" s="120"/>
      <c r="Y5" s="120"/>
      <c r="Z5" s="120"/>
      <c r="AA5" s="120"/>
      <c r="AB5" s="120"/>
      <c r="AC5" s="120"/>
      <c r="AE5" s="59"/>
      <c r="AN5" s="78"/>
    </row>
    <row r="6" spans="2:40" s="1" customFormat="1" ht="18" customHeight="1" x14ac:dyDescent="0.25">
      <c r="B6" s="9">
        <v>3</v>
      </c>
      <c r="C6" s="120"/>
      <c r="D6" s="120"/>
      <c r="E6" s="120"/>
      <c r="F6" s="120"/>
      <c r="G6" s="120"/>
      <c r="H6" s="120"/>
      <c r="I6" s="120"/>
      <c r="K6" s="59"/>
      <c r="T6" s="78"/>
      <c r="V6" s="9">
        <v>3</v>
      </c>
      <c r="W6" s="120"/>
      <c r="X6" s="120"/>
      <c r="Y6" s="120"/>
      <c r="Z6" s="120"/>
      <c r="AA6" s="120"/>
      <c r="AB6" s="120"/>
      <c r="AC6" s="120"/>
      <c r="AE6" s="59"/>
      <c r="AN6" s="78"/>
    </row>
    <row r="7" spans="2:40" s="1" customFormat="1" ht="18" customHeight="1" x14ac:dyDescent="0.25">
      <c r="B7" s="9">
        <v>4</v>
      </c>
      <c r="C7" s="120"/>
      <c r="D7" s="120"/>
      <c r="E7" s="120"/>
      <c r="F7" s="120"/>
      <c r="G7" s="120"/>
      <c r="H7" s="120"/>
      <c r="I7" s="120"/>
      <c r="K7" s="59"/>
      <c r="T7" s="78"/>
      <c r="V7" s="9">
        <v>4</v>
      </c>
      <c r="W7" s="120"/>
      <c r="X7" s="120"/>
      <c r="Y7" s="120"/>
      <c r="Z7" s="120"/>
      <c r="AA7" s="120"/>
      <c r="AB7" s="120"/>
      <c r="AC7" s="120"/>
      <c r="AE7" s="59"/>
      <c r="AN7" s="78"/>
    </row>
    <row r="8" spans="2:40" s="1" customFormat="1" ht="18" customHeight="1" x14ac:dyDescent="0.25">
      <c r="B8" s="9">
        <v>5</v>
      </c>
      <c r="C8" s="120"/>
      <c r="D8" s="120"/>
      <c r="E8" s="120"/>
      <c r="F8" s="120"/>
      <c r="G8" s="120"/>
      <c r="H8" s="120"/>
      <c r="I8" s="120"/>
      <c r="K8" s="59"/>
      <c r="T8" s="78"/>
      <c r="V8" s="9">
        <v>5</v>
      </c>
      <c r="W8" s="120"/>
      <c r="X8" s="120"/>
      <c r="Y8" s="120"/>
      <c r="Z8" s="120"/>
      <c r="AA8" s="120"/>
      <c r="AB8" s="120"/>
      <c r="AC8" s="120"/>
      <c r="AE8" s="59"/>
      <c r="AN8" s="78"/>
    </row>
    <row r="9" spans="2:40" s="1" customFormat="1" ht="18" customHeight="1" x14ac:dyDescent="0.25">
      <c r="B9" s="9">
        <v>6</v>
      </c>
      <c r="C9" s="120"/>
      <c r="D9" s="120"/>
      <c r="E9" s="120"/>
      <c r="F9" s="120"/>
      <c r="G9" s="120"/>
      <c r="H9" s="120"/>
      <c r="I9" s="120"/>
      <c r="K9" s="59"/>
      <c r="T9" s="78"/>
      <c r="V9" s="9">
        <v>6</v>
      </c>
      <c r="W9" s="120"/>
      <c r="X9" s="120"/>
      <c r="Y9" s="120"/>
      <c r="Z9" s="120"/>
      <c r="AA9" s="120"/>
      <c r="AB9" s="120"/>
      <c r="AC9" s="120"/>
      <c r="AE9" s="59"/>
      <c r="AN9" s="78"/>
    </row>
    <row r="10" spans="2:40" s="1" customFormat="1" ht="18" customHeight="1" x14ac:dyDescent="0.25">
      <c r="B10" s="9">
        <v>7</v>
      </c>
      <c r="C10" s="120"/>
      <c r="D10" s="120"/>
      <c r="E10" s="120"/>
      <c r="F10" s="120"/>
      <c r="G10" s="120"/>
      <c r="H10" s="120"/>
      <c r="I10" s="120"/>
      <c r="K10" s="59"/>
      <c r="T10" s="78"/>
      <c r="V10" s="9">
        <v>7</v>
      </c>
      <c r="W10" s="120"/>
      <c r="X10" s="120"/>
      <c r="Y10" s="120"/>
      <c r="Z10" s="120"/>
      <c r="AA10" s="120"/>
      <c r="AB10" s="120"/>
      <c r="AC10" s="120"/>
      <c r="AE10" s="59"/>
      <c r="AN10" s="78"/>
    </row>
    <row r="11" spans="2:40" s="1" customFormat="1" ht="18" customHeight="1" x14ac:dyDescent="0.25">
      <c r="B11" s="9">
        <v>8</v>
      </c>
      <c r="C11" s="120"/>
      <c r="D11" s="120"/>
      <c r="E11" s="120"/>
      <c r="F11" s="120"/>
      <c r="G11" s="120"/>
      <c r="H11" s="120"/>
      <c r="I11" s="120"/>
      <c r="K11" s="59"/>
      <c r="T11" s="78"/>
      <c r="V11" s="9">
        <v>8</v>
      </c>
      <c r="W11" s="120"/>
      <c r="X11" s="120"/>
      <c r="Y11" s="120"/>
      <c r="Z11" s="120"/>
      <c r="AA11" s="120"/>
      <c r="AB11" s="120"/>
      <c r="AC11" s="120"/>
      <c r="AE11" s="59"/>
      <c r="AN11" s="78"/>
    </row>
    <row r="12" spans="2:40" s="1" customFormat="1" ht="18" customHeight="1" x14ac:dyDescent="0.25">
      <c r="B12" s="9">
        <v>9</v>
      </c>
      <c r="C12" s="120"/>
      <c r="D12" s="120"/>
      <c r="E12" s="120"/>
      <c r="F12" s="120"/>
      <c r="G12" s="120"/>
      <c r="H12" s="120"/>
      <c r="I12" s="120"/>
      <c r="K12" s="59"/>
      <c r="T12" s="78"/>
      <c r="V12" s="9">
        <v>9</v>
      </c>
      <c r="W12" s="120"/>
      <c r="X12" s="120"/>
      <c r="Y12" s="120"/>
      <c r="Z12" s="120"/>
      <c r="AA12" s="120"/>
      <c r="AB12" s="120"/>
      <c r="AC12" s="120"/>
      <c r="AE12" s="59"/>
      <c r="AN12" s="78"/>
    </row>
    <row r="13" spans="2:40" s="1" customFormat="1" ht="18" customHeight="1" x14ac:dyDescent="0.25">
      <c r="B13" s="9">
        <v>10</v>
      </c>
      <c r="C13" s="120"/>
      <c r="D13" s="120"/>
      <c r="E13" s="120"/>
      <c r="F13" s="120"/>
      <c r="G13" s="120"/>
      <c r="H13" s="120"/>
      <c r="I13" s="120"/>
      <c r="K13" s="59"/>
      <c r="T13" s="78"/>
      <c r="V13" s="9">
        <v>10</v>
      </c>
      <c r="W13" s="120"/>
      <c r="X13" s="120"/>
      <c r="Y13" s="120"/>
      <c r="Z13" s="120"/>
      <c r="AA13" s="120"/>
      <c r="AB13" s="120"/>
      <c r="AC13" s="120"/>
      <c r="AE13" s="59"/>
      <c r="AN13" s="78"/>
    </row>
    <row r="14" spans="2:40" s="1" customFormat="1" ht="18" customHeight="1" x14ac:dyDescent="0.25">
      <c r="B14" s="9">
        <v>11</v>
      </c>
      <c r="C14" s="120"/>
      <c r="D14" s="120"/>
      <c r="E14" s="120"/>
      <c r="F14" s="120"/>
      <c r="G14" s="120"/>
      <c r="H14" s="120"/>
      <c r="I14" s="120"/>
      <c r="K14" s="59"/>
      <c r="T14" s="78"/>
      <c r="V14" s="9">
        <v>11</v>
      </c>
      <c r="W14" s="120"/>
      <c r="X14" s="120"/>
      <c r="Y14" s="120"/>
      <c r="Z14" s="120"/>
      <c r="AA14" s="120"/>
      <c r="AB14" s="120"/>
      <c r="AC14" s="120"/>
      <c r="AE14" s="59"/>
      <c r="AN14" s="78"/>
    </row>
    <row r="15" spans="2:40" s="1" customFormat="1" ht="18" customHeight="1" x14ac:dyDescent="0.25">
      <c r="B15" s="9">
        <v>12</v>
      </c>
      <c r="C15" s="120"/>
      <c r="D15" s="120"/>
      <c r="E15" s="120"/>
      <c r="F15" s="120"/>
      <c r="G15" s="120"/>
      <c r="H15" s="120"/>
      <c r="I15" s="120"/>
      <c r="K15" s="59"/>
      <c r="T15" s="78"/>
      <c r="V15" s="9">
        <v>12</v>
      </c>
      <c r="W15" s="120"/>
      <c r="X15" s="120"/>
      <c r="Y15" s="120"/>
      <c r="Z15" s="120"/>
      <c r="AA15" s="120"/>
      <c r="AB15" s="120"/>
      <c r="AC15" s="120"/>
      <c r="AE15" s="59"/>
      <c r="AN15" s="78"/>
    </row>
    <row r="16" spans="2:40" s="1" customFormat="1" ht="18" customHeight="1" x14ac:dyDescent="0.25">
      <c r="B16" s="9">
        <v>13</v>
      </c>
      <c r="C16" s="120"/>
      <c r="D16" s="120"/>
      <c r="E16" s="120"/>
      <c r="F16" s="120"/>
      <c r="G16" s="120"/>
      <c r="H16" s="120"/>
      <c r="I16" s="120"/>
      <c r="K16" s="59"/>
      <c r="T16" s="78"/>
      <c r="V16" s="9">
        <v>13</v>
      </c>
      <c r="W16" s="120"/>
      <c r="X16" s="120"/>
      <c r="Y16" s="120"/>
      <c r="Z16" s="120"/>
      <c r="AA16" s="120"/>
      <c r="AB16" s="120"/>
      <c r="AC16" s="120"/>
      <c r="AE16" s="59"/>
      <c r="AN16" s="78"/>
    </row>
    <row r="17" spans="2:40" s="1" customFormat="1" ht="18" customHeight="1" x14ac:dyDescent="0.25">
      <c r="B17" s="9">
        <v>14</v>
      </c>
      <c r="C17" s="120"/>
      <c r="D17" s="120"/>
      <c r="E17" s="120"/>
      <c r="F17" s="120"/>
      <c r="G17" s="120"/>
      <c r="H17" s="120"/>
      <c r="I17" s="120"/>
      <c r="K17" s="59"/>
      <c r="T17" s="78"/>
      <c r="V17" s="9">
        <v>14</v>
      </c>
      <c r="W17" s="120"/>
      <c r="X17" s="120"/>
      <c r="Y17" s="120"/>
      <c r="Z17" s="120"/>
      <c r="AA17" s="120"/>
      <c r="AB17" s="120"/>
      <c r="AC17" s="120"/>
      <c r="AE17" s="59"/>
      <c r="AN17" s="78"/>
    </row>
    <row r="18" spans="2:40" s="1" customFormat="1" ht="18" customHeight="1" x14ac:dyDescent="0.25">
      <c r="B18" s="9">
        <v>15</v>
      </c>
      <c r="C18" s="120"/>
      <c r="D18" s="120"/>
      <c r="E18" s="120"/>
      <c r="F18" s="120"/>
      <c r="G18" s="120"/>
      <c r="H18" s="120"/>
      <c r="I18" s="120"/>
      <c r="K18" s="59"/>
      <c r="T18" s="78"/>
      <c r="V18" s="9">
        <v>15</v>
      </c>
      <c r="W18" s="120"/>
      <c r="X18" s="120"/>
      <c r="Y18" s="120"/>
      <c r="Z18" s="120"/>
      <c r="AA18" s="120"/>
      <c r="AB18" s="120"/>
      <c r="AC18" s="120"/>
      <c r="AE18" s="59"/>
      <c r="AN18" s="78"/>
    </row>
    <row r="19" spans="2:40" s="1" customFormat="1" ht="18" customHeight="1" x14ac:dyDescent="0.25">
      <c r="B19" s="9" t="s">
        <v>44</v>
      </c>
      <c r="C19" s="120"/>
      <c r="D19" s="120"/>
      <c r="E19" s="120"/>
      <c r="F19" s="120"/>
      <c r="G19" s="120"/>
      <c r="H19" s="120"/>
      <c r="I19" s="120"/>
      <c r="K19" s="59"/>
      <c r="T19" s="78"/>
      <c r="V19" s="9" t="s">
        <v>44</v>
      </c>
      <c r="W19" s="120"/>
      <c r="X19" s="120"/>
      <c r="Y19" s="120"/>
      <c r="Z19" s="120"/>
      <c r="AA19" s="120"/>
      <c r="AB19" s="120"/>
      <c r="AC19" s="120"/>
      <c r="AE19" s="59"/>
      <c r="AN19" s="78"/>
    </row>
    <row r="20" spans="2:40" s="1" customFormat="1" ht="18" customHeight="1" x14ac:dyDescent="0.25">
      <c r="C20" s="81"/>
      <c r="D20" s="81"/>
      <c r="E20" s="81"/>
      <c r="F20" s="81"/>
      <c r="G20" s="83"/>
      <c r="H20" s="82" t="s">
        <v>172</v>
      </c>
      <c r="I20" s="120"/>
      <c r="K20" s="59"/>
      <c r="T20" s="78"/>
      <c r="W20" s="81"/>
      <c r="X20" s="81"/>
      <c r="Y20" s="81"/>
      <c r="Z20" s="81"/>
      <c r="AA20" s="83"/>
      <c r="AB20" s="82" t="s">
        <v>172</v>
      </c>
      <c r="AC20" s="120"/>
      <c r="AE20" s="59"/>
      <c r="AN20" s="78"/>
    </row>
    <row r="21" spans="2:40" s="1" customFormat="1" ht="18" customHeight="1" x14ac:dyDescent="0.25">
      <c r="C21" s="81"/>
      <c r="D21" s="81"/>
      <c r="E21" s="81"/>
      <c r="F21" s="81"/>
      <c r="G21" s="80"/>
      <c r="H21" s="79" t="s">
        <v>173</v>
      </c>
      <c r="I21" s="120"/>
      <c r="K21" s="59"/>
      <c r="T21" s="78"/>
      <c r="W21" s="81"/>
      <c r="X21" s="81"/>
      <c r="Y21" s="81"/>
      <c r="Z21" s="81"/>
      <c r="AA21" s="80"/>
      <c r="AB21" s="79" t="s">
        <v>173</v>
      </c>
      <c r="AC21" s="120"/>
      <c r="AE21" s="59"/>
      <c r="AN21" s="78"/>
    </row>
    <row r="22" spans="2:40" s="1" customFormat="1" ht="18" customHeight="1" x14ac:dyDescent="0.25">
      <c r="K22" s="59"/>
      <c r="T22" s="78"/>
      <c r="AE22" s="59"/>
      <c r="AN22" s="78"/>
    </row>
    <row r="23" spans="2:40" s="1" customFormat="1" ht="18" customHeight="1" x14ac:dyDescent="0.25">
      <c r="K23" s="59"/>
      <c r="T23" s="78"/>
      <c r="AE23" s="59"/>
      <c r="AN23" s="78"/>
    </row>
    <row r="24" spans="2:40" s="1" customFormat="1" ht="18" customHeight="1" x14ac:dyDescent="0.25">
      <c r="K24" s="59"/>
      <c r="T24" s="78"/>
      <c r="AE24" s="59"/>
      <c r="AN24" s="78"/>
    </row>
    <row r="25" spans="2:40" ht="18" customHeight="1" x14ac:dyDescent="0.2">
      <c r="K25" s="59"/>
      <c r="L25" s="1"/>
      <c r="M25" s="1"/>
      <c r="N25" s="1"/>
      <c r="O25" s="1"/>
      <c r="P25" s="1"/>
      <c r="Q25" s="1"/>
      <c r="R25" s="1"/>
      <c r="T25" s="76"/>
      <c r="AE25" s="59"/>
      <c r="AF25" s="1"/>
      <c r="AG25" s="1"/>
      <c r="AH25" s="1"/>
      <c r="AI25" s="1"/>
      <c r="AJ25" s="1"/>
      <c r="AK25" s="1"/>
      <c r="AL25" s="1"/>
      <c r="AN25" s="76"/>
    </row>
    <row r="26" spans="2:40" ht="18" customHeight="1" x14ac:dyDescent="0.2">
      <c r="K26" s="57"/>
      <c r="L26" s="56"/>
      <c r="M26" s="55"/>
      <c r="N26" s="56"/>
      <c r="S26" s="54"/>
      <c r="T26" s="76"/>
      <c r="AE26" s="57"/>
      <c r="AF26" s="56"/>
      <c r="AG26" s="55"/>
      <c r="AH26" s="56"/>
      <c r="AM26" s="54"/>
      <c r="AN26" s="76"/>
    </row>
    <row r="27" spans="2:40" ht="18" customHeight="1" x14ac:dyDescent="0.2">
      <c r="K27" s="77"/>
      <c r="T27" s="76"/>
      <c r="AE27" s="77"/>
      <c r="AN27" s="76"/>
    </row>
    <row r="28" spans="2:40" ht="18" customHeight="1" thickBot="1" x14ac:dyDescent="0.25">
      <c r="K28" s="75"/>
      <c r="L28" s="72"/>
      <c r="M28" s="72"/>
      <c r="N28" s="72"/>
      <c r="O28" s="74" t="s">
        <v>174</v>
      </c>
      <c r="P28" s="73">
        <f>I20</f>
        <v>0</v>
      </c>
      <c r="Q28" s="72"/>
      <c r="R28" s="72"/>
      <c r="S28" s="72"/>
      <c r="T28" s="71"/>
      <c r="AE28" s="75"/>
      <c r="AF28" s="72"/>
      <c r="AG28" s="72"/>
      <c r="AH28" s="72"/>
      <c r="AI28" s="74" t="s">
        <v>174</v>
      </c>
      <c r="AJ28" s="73">
        <f>AC20</f>
        <v>0</v>
      </c>
      <c r="AK28" s="72"/>
      <c r="AL28" s="72"/>
      <c r="AM28" s="72"/>
      <c r="AN28" s="71"/>
    </row>
    <row r="29" spans="2:40" ht="18" customHeight="1" thickBot="1" x14ac:dyDescent="0.25"/>
    <row r="30" spans="2:40" ht="18" customHeight="1" x14ac:dyDescent="0.25">
      <c r="B30" s="268" t="s">
        <v>175</v>
      </c>
      <c r="C30" s="258"/>
      <c r="D30" s="258"/>
      <c r="E30" s="258"/>
      <c r="F30" s="258"/>
      <c r="G30" s="258"/>
      <c r="H30" s="258"/>
      <c r="I30" s="259"/>
      <c r="K30" s="288" t="str">
        <f>B30</f>
        <v>DHA-PIONA Reactor-2 Hydrocarbon TLP</v>
      </c>
      <c r="L30" s="286"/>
      <c r="M30" s="286"/>
      <c r="N30" s="286"/>
      <c r="O30" s="286"/>
      <c r="P30" s="286"/>
      <c r="Q30" s="286"/>
      <c r="R30" s="286"/>
      <c r="S30" s="286"/>
      <c r="T30" s="289"/>
      <c r="V30" s="268" t="s">
        <v>176</v>
      </c>
      <c r="W30" s="258"/>
      <c r="X30" s="258"/>
      <c r="Y30" s="258"/>
      <c r="Z30" s="258"/>
      <c r="AA30" s="258"/>
      <c r="AB30" s="258"/>
      <c r="AC30" s="259"/>
      <c r="AE30" s="288" t="str">
        <f>V30</f>
        <v>DHA-PIONA Reactor-6 Hydrocarbon TLP</v>
      </c>
      <c r="AF30" s="286"/>
      <c r="AG30" s="286"/>
      <c r="AH30" s="286"/>
      <c r="AI30" s="286"/>
      <c r="AJ30" s="286"/>
      <c r="AK30" s="286"/>
      <c r="AL30" s="286"/>
      <c r="AM30" s="286"/>
      <c r="AN30" s="289"/>
    </row>
    <row r="31" spans="2:40" ht="18" customHeight="1" thickBot="1" x14ac:dyDescent="0.25">
      <c r="B31" s="9" t="s">
        <v>165</v>
      </c>
      <c r="C31" s="10" t="s">
        <v>166</v>
      </c>
      <c r="D31" s="10" t="s">
        <v>167</v>
      </c>
      <c r="E31" s="10" t="s">
        <v>168</v>
      </c>
      <c r="F31" s="10" t="s">
        <v>169</v>
      </c>
      <c r="G31" s="10" t="s">
        <v>170</v>
      </c>
      <c r="H31" s="10" t="s">
        <v>171</v>
      </c>
      <c r="I31" s="10" t="s">
        <v>44</v>
      </c>
      <c r="K31" s="290"/>
      <c r="L31" s="291"/>
      <c r="M31" s="291"/>
      <c r="N31" s="291"/>
      <c r="O31" s="291"/>
      <c r="P31" s="291"/>
      <c r="Q31" s="291"/>
      <c r="R31" s="291"/>
      <c r="S31" s="291"/>
      <c r="T31" s="292"/>
      <c r="V31" s="9" t="s">
        <v>165</v>
      </c>
      <c r="W31" s="10" t="s">
        <v>166</v>
      </c>
      <c r="X31" s="10" t="s">
        <v>167</v>
      </c>
      <c r="Y31" s="10" t="s">
        <v>168</v>
      </c>
      <c r="Z31" s="10" t="s">
        <v>169</v>
      </c>
      <c r="AA31" s="10" t="s">
        <v>170</v>
      </c>
      <c r="AB31" s="10" t="s">
        <v>171</v>
      </c>
      <c r="AC31" s="10" t="s">
        <v>44</v>
      </c>
      <c r="AE31" s="290"/>
      <c r="AF31" s="291"/>
      <c r="AG31" s="291"/>
      <c r="AH31" s="291"/>
      <c r="AI31" s="291"/>
      <c r="AJ31" s="291"/>
      <c r="AK31" s="291"/>
      <c r="AL31" s="291"/>
      <c r="AM31" s="291"/>
      <c r="AN31" s="292"/>
    </row>
    <row r="32" spans="2:40" ht="18" customHeight="1" x14ac:dyDescent="0.25">
      <c r="B32" s="9">
        <v>1</v>
      </c>
      <c r="C32" s="120"/>
      <c r="D32" s="120"/>
      <c r="E32" s="120"/>
      <c r="F32" s="120"/>
      <c r="G32" s="120"/>
      <c r="H32" s="120"/>
      <c r="I32" s="120"/>
      <c r="K32" s="67" t="s">
        <v>160</v>
      </c>
      <c r="L32" s="65" t="str">
        <f>Run_Plan!F14</f>
        <v>R2 Catalyst Ni5CBV-3014</v>
      </c>
      <c r="M32" s="66"/>
      <c r="N32" s="65"/>
      <c r="O32" s="63"/>
      <c r="P32" s="66" t="s">
        <v>161</v>
      </c>
      <c r="Q32" s="293" t="str">
        <f>Liq!$B$4</f>
        <v>C1-S1</v>
      </c>
      <c r="R32" s="286"/>
      <c r="S32" s="286"/>
      <c r="T32" s="289"/>
      <c r="V32" s="9">
        <v>1</v>
      </c>
      <c r="W32" s="120"/>
      <c r="X32" s="120"/>
      <c r="Y32" s="120"/>
      <c r="Z32" s="120"/>
      <c r="AA32" s="120"/>
      <c r="AB32" s="120"/>
      <c r="AC32" s="120"/>
      <c r="AE32" s="67" t="s">
        <v>160</v>
      </c>
      <c r="AF32" s="65" t="str">
        <f>Run_Plan!F21</f>
        <v>R6 Catalyst Cu5CBV720</v>
      </c>
      <c r="AG32" s="66"/>
      <c r="AH32" s="65"/>
      <c r="AI32" s="63"/>
      <c r="AJ32" s="66" t="s">
        <v>161</v>
      </c>
      <c r="AK32" s="85" t="str">
        <f>Liq!$B$4</f>
        <v>C1-S1</v>
      </c>
      <c r="AL32" s="64"/>
      <c r="AM32" s="63"/>
      <c r="AN32" s="84"/>
    </row>
    <row r="33" spans="2:40" ht="18" customHeight="1" x14ac:dyDescent="0.2">
      <c r="B33" s="9">
        <v>2</v>
      </c>
      <c r="C33" s="120"/>
      <c r="D33" s="120"/>
      <c r="E33" s="120"/>
      <c r="F33" s="120"/>
      <c r="G33" s="120"/>
      <c r="H33" s="120"/>
      <c r="I33" s="120"/>
      <c r="J33" s="1"/>
      <c r="K33" s="59"/>
      <c r="L33" s="1"/>
      <c r="M33" s="1"/>
      <c r="N33" s="1"/>
      <c r="O33" s="1"/>
      <c r="P33" s="1"/>
      <c r="Q33" s="1"/>
      <c r="R33" s="1"/>
      <c r="S33" s="1"/>
      <c r="T33" s="78"/>
      <c r="V33" s="9">
        <v>2</v>
      </c>
      <c r="W33" s="120"/>
      <c r="X33" s="120"/>
      <c r="Y33" s="120"/>
      <c r="Z33" s="120"/>
      <c r="AA33" s="120"/>
      <c r="AB33" s="120"/>
      <c r="AC33" s="120"/>
      <c r="AD33" s="1"/>
      <c r="AE33" s="59"/>
      <c r="AF33" s="1"/>
      <c r="AG33" s="1"/>
      <c r="AH33" s="1"/>
      <c r="AI33" s="1"/>
      <c r="AJ33" s="1"/>
      <c r="AK33" s="1"/>
      <c r="AL33" s="1"/>
      <c r="AM33" s="1"/>
      <c r="AN33" s="78"/>
    </row>
    <row r="34" spans="2:40" ht="18" customHeight="1" x14ac:dyDescent="0.2">
      <c r="B34" s="9">
        <v>3</v>
      </c>
      <c r="C34" s="120"/>
      <c r="D34" s="120"/>
      <c r="E34" s="120"/>
      <c r="F34" s="120"/>
      <c r="G34" s="120"/>
      <c r="H34" s="120"/>
      <c r="I34" s="120"/>
      <c r="J34" s="1"/>
      <c r="K34" s="59"/>
      <c r="L34" s="1"/>
      <c r="M34" s="1"/>
      <c r="N34" s="1"/>
      <c r="O34" s="1"/>
      <c r="P34" s="1"/>
      <c r="Q34" s="1"/>
      <c r="R34" s="1"/>
      <c r="S34" s="1"/>
      <c r="T34" s="78"/>
      <c r="V34" s="9">
        <v>3</v>
      </c>
      <c r="W34" s="120"/>
      <c r="X34" s="120"/>
      <c r="Y34" s="120"/>
      <c r="Z34" s="120"/>
      <c r="AA34" s="120"/>
      <c r="AB34" s="120"/>
      <c r="AC34" s="120"/>
      <c r="AD34" s="1"/>
      <c r="AE34" s="59"/>
      <c r="AF34" s="1"/>
      <c r="AG34" s="1"/>
      <c r="AH34" s="1"/>
      <c r="AI34" s="1"/>
      <c r="AJ34" s="1"/>
      <c r="AK34" s="1"/>
      <c r="AL34" s="1"/>
      <c r="AM34" s="1"/>
      <c r="AN34" s="78"/>
    </row>
    <row r="35" spans="2:40" ht="18" customHeight="1" x14ac:dyDescent="0.2">
      <c r="B35" s="9">
        <v>4</v>
      </c>
      <c r="C35" s="120"/>
      <c r="D35" s="120"/>
      <c r="E35" s="120"/>
      <c r="F35" s="120"/>
      <c r="G35" s="120"/>
      <c r="H35" s="120"/>
      <c r="I35" s="120"/>
      <c r="J35" s="1"/>
      <c r="K35" s="59"/>
      <c r="L35" s="1"/>
      <c r="M35" s="1"/>
      <c r="N35" s="1"/>
      <c r="O35" s="1"/>
      <c r="P35" s="1"/>
      <c r="Q35" s="1"/>
      <c r="R35" s="1"/>
      <c r="S35" s="1"/>
      <c r="T35" s="78"/>
      <c r="V35" s="9">
        <v>4</v>
      </c>
      <c r="W35" s="120"/>
      <c r="X35" s="120"/>
      <c r="Y35" s="120"/>
      <c r="Z35" s="120"/>
      <c r="AA35" s="120"/>
      <c r="AB35" s="120"/>
      <c r="AC35" s="120"/>
      <c r="AD35" s="1"/>
      <c r="AE35" s="59"/>
      <c r="AF35" s="1"/>
      <c r="AG35" s="1"/>
      <c r="AH35" s="1"/>
      <c r="AI35" s="1"/>
      <c r="AJ35" s="1"/>
      <c r="AK35" s="1"/>
      <c r="AL35" s="1"/>
      <c r="AM35" s="1"/>
      <c r="AN35" s="78"/>
    </row>
    <row r="36" spans="2:40" ht="18" customHeight="1" x14ac:dyDescent="0.2">
      <c r="B36" s="9">
        <v>5</v>
      </c>
      <c r="C36" s="120"/>
      <c r="D36" s="120"/>
      <c r="E36" s="120"/>
      <c r="F36" s="120"/>
      <c r="G36" s="120"/>
      <c r="H36" s="120"/>
      <c r="I36" s="120"/>
      <c r="J36" s="1"/>
      <c r="K36" s="59"/>
      <c r="L36" s="1"/>
      <c r="M36" s="1"/>
      <c r="N36" s="1"/>
      <c r="O36" s="1"/>
      <c r="P36" s="1"/>
      <c r="Q36" s="1"/>
      <c r="R36" s="1"/>
      <c r="S36" s="1"/>
      <c r="T36" s="78"/>
      <c r="V36" s="9">
        <v>5</v>
      </c>
      <c r="W36" s="120"/>
      <c r="X36" s="120"/>
      <c r="Y36" s="120"/>
      <c r="Z36" s="120"/>
      <c r="AA36" s="120"/>
      <c r="AB36" s="120"/>
      <c r="AC36" s="120"/>
      <c r="AD36" s="1"/>
      <c r="AE36" s="59"/>
      <c r="AF36" s="1"/>
      <c r="AG36" s="1"/>
      <c r="AH36" s="1"/>
      <c r="AI36" s="1"/>
      <c r="AJ36" s="1"/>
      <c r="AK36" s="1"/>
      <c r="AL36" s="1"/>
      <c r="AM36" s="1"/>
      <c r="AN36" s="78"/>
    </row>
    <row r="37" spans="2:40" ht="18" customHeight="1" x14ac:dyDescent="0.2">
      <c r="B37" s="9">
        <v>6</v>
      </c>
      <c r="C37" s="120"/>
      <c r="D37" s="120"/>
      <c r="E37" s="120"/>
      <c r="F37" s="120"/>
      <c r="G37" s="120"/>
      <c r="H37" s="120"/>
      <c r="I37" s="120"/>
      <c r="J37" s="1"/>
      <c r="K37" s="59"/>
      <c r="L37" s="1"/>
      <c r="M37" s="1"/>
      <c r="N37" s="1"/>
      <c r="O37" s="1"/>
      <c r="P37" s="1"/>
      <c r="Q37" s="1"/>
      <c r="R37" s="1"/>
      <c r="S37" s="1"/>
      <c r="T37" s="78"/>
      <c r="V37" s="9">
        <v>6</v>
      </c>
      <c r="W37" s="120"/>
      <c r="X37" s="120"/>
      <c r="Y37" s="120"/>
      <c r="Z37" s="120"/>
      <c r="AA37" s="120"/>
      <c r="AB37" s="120"/>
      <c r="AC37" s="120"/>
      <c r="AD37" s="1"/>
      <c r="AE37" s="59"/>
      <c r="AF37" s="1"/>
      <c r="AG37" s="1"/>
      <c r="AH37" s="1"/>
      <c r="AI37" s="1"/>
      <c r="AJ37" s="1"/>
      <c r="AK37" s="1"/>
      <c r="AL37" s="1"/>
      <c r="AM37" s="1"/>
      <c r="AN37" s="78"/>
    </row>
    <row r="38" spans="2:40" ht="18" customHeight="1" x14ac:dyDescent="0.2">
      <c r="B38" s="9">
        <v>7</v>
      </c>
      <c r="C38" s="120"/>
      <c r="D38" s="120"/>
      <c r="E38" s="120"/>
      <c r="F38" s="120"/>
      <c r="G38" s="120"/>
      <c r="H38" s="120"/>
      <c r="I38" s="120"/>
      <c r="J38" s="1"/>
      <c r="K38" s="59"/>
      <c r="L38" s="1"/>
      <c r="M38" s="1"/>
      <c r="N38" s="1"/>
      <c r="O38" s="1"/>
      <c r="P38" s="1"/>
      <c r="Q38" s="1"/>
      <c r="R38" s="1"/>
      <c r="S38" s="1"/>
      <c r="T38" s="78"/>
      <c r="V38" s="9">
        <v>7</v>
      </c>
      <c r="W38" s="120"/>
      <c r="X38" s="120"/>
      <c r="Y38" s="120"/>
      <c r="Z38" s="120"/>
      <c r="AA38" s="120"/>
      <c r="AB38" s="120"/>
      <c r="AC38" s="120"/>
      <c r="AD38" s="1"/>
      <c r="AE38" s="59"/>
      <c r="AF38" s="1"/>
      <c r="AG38" s="1"/>
      <c r="AH38" s="1"/>
      <c r="AI38" s="1"/>
      <c r="AJ38" s="1"/>
      <c r="AK38" s="1"/>
      <c r="AL38" s="1"/>
      <c r="AM38" s="1"/>
      <c r="AN38" s="78"/>
    </row>
    <row r="39" spans="2:40" ht="18" customHeight="1" x14ac:dyDescent="0.2">
      <c r="B39" s="9">
        <v>8</v>
      </c>
      <c r="C39" s="120"/>
      <c r="D39" s="120"/>
      <c r="E39" s="120"/>
      <c r="F39" s="120"/>
      <c r="G39" s="120"/>
      <c r="H39" s="120"/>
      <c r="I39" s="120"/>
      <c r="J39" s="1"/>
      <c r="K39" s="59"/>
      <c r="L39" s="1"/>
      <c r="M39" s="1"/>
      <c r="N39" s="1"/>
      <c r="O39" s="1"/>
      <c r="P39" s="1"/>
      <c r="Q39" s="1"/>
      <c r="R39" s="1"/>
      <c r="S39" s="1"/>
      <c r="T39" s="78"/>
      <c r="V39" s="9">
        <v>8</v>
      </c>
      <c r="W39" s="120"/>
      <c r="X39" s="120"/>
      <c r="Y39" s="120"/>
      <c r="Z39" s="120"/>
      <c r="AA39" s="120"/>
      <c r="AB39" s="120"/>
      <c r="AC39" s="120"/>
      <c r="AD39" s="1"/>
      <c r="AE39" s="59"/>
      <c r="AF39" s="1"/>
      <c r="AG39" s="1"/>
      <c r="AH39" s="1"/>
      <c r="AI39" s="1"/>
      <c r="AJ39" s="1"/>
      <c r="AK39" s="1"/>
      <c r="AL39" s="1"/>
      <c r="AM39" s="1"/>
      <c r="AN39" s="78"/>
    </row>
    <row r="40" spans="2:40" ht="18" customHeight="1" x14ac:dyDescent="0.2">
      <c r="B40" s="9">
        <v>9</v>
      </c>
      <c r="C40" s="120"/>
      <c r="D40" s="120"/>
      <c r="E40" s="120"/>
      <c r="F40" s="120"/>
      <c r="G40" s="120"/>
      <c r="H40" s="120"/>
      <c r="I40" s="120"/>
      <c r="J40" s="1"/>
      <c r="K40" s="59"/>
      <c r="L40" s="1"/>
      <c r="M40" s="1"/>
      <c r="N40" s="1"/>
      <c r="O40" s="1"/>
      <c r="P40" s="1"/>
      <c r="Q40" s="1"/>
      <c r="R40" s="1"/>
      <c r="S40" s="1"/>
      <c r="T40" s="78"/>
      <c r="V40" s="9">
        <v>9</v>
      </c>
      <c r="W40" s="120"/>
      <c r="X40" s="120"/>
      <c r="Y40" s="120"/>
      <c r="Z40" s="120"/>
      <c r="AA40" s="120"/>
      <c r="AB40" s="120"/>
      <c r="AC40" s="120"/>
      <c r="AD40" s="1"/>
      <c r="AE40" s="59"/>
      <c r="AF40" s="1"/>
      <c r="AG40" s="1"/>
      <c r="AH40" s="1"/>
      <c r="AI40" s="1"/>
      <c r="AJ40" s="1"/>
      <c r="AK40" s="1"/>
      <c r="AL40" s="1"/>
      <c r="AM40" s="1"/>
      <c r="AN40" s="78"/>
    </row>
    <row r="41" spans="2:40" ht="18" customHeight="1" x14ac:dyDescent="0.2">
      <c r="B41" s="9">
        <v>10</v>
      </c>
      <c r="C41" s="120"/>
      <c r="D41" s="120"/>
      <c r="E41" s="120"/>
      <c r="F41" s="120"/>
      <c r="G41" s="120"/>
      <c r="H41" s="120"/>
      <c r="I41" s="120"/>
      <c r="J41" s="1"/>
      <c r="K41" s="59"/>
      <c r="L41" s="1"/>
      <c r="M41" s="1"/>
      <c r="N41" s="1"/>
      <c r="O41" s="1"/>
      <c r="P41" s="1"/>
      <c r="Q41" s="1"/>
      <c r="R41" s="1"/>
      <c r="S41" s="1"/>
      <c r="T41" s="78"/>
      <c r="V41" s="9">
        <v>10</v>
      </c>
      <c r="W41" s="120"/>
      <c r="X41" s="120"/>
      <c r="Y41" s="120"/>
      <c r="Z41" s="120"/>
      <c r="AA41" s="120"/>
      <c r="AB41" s="120"/>
      <c r="AC41" s="120"/>
      <c r="AD41" s="1"/>
      <c r="AE41" s="59"/>
      <c r="AF41" s="1"/>
      <c r="AG41" s="1"/>
      <c r="AH41" s="1"/>
      <c r="AI41" s="1"/>
      <c r="AJ41" s="1"/>
      <c r="AK41" s="1"/>
      <c r="AL41" s="1"/>
      <c r="AM41" s="1"/>
      <c r="AN41" s="78"/>
    </row>
    <row r="42" spans="2:40" ht="18" customHeight="1" x14ac:dyDescent="0.2">
      <c r="B42" s="9">
        <v>11</v>
      </c>
      <c r="C42" s="120"/>
      <c r="D42" s="120"/>
      <c r="E42" s="120"/>
      <c r="F42" s="120"/>
      <c r="G42" s="120"/>
      <c r="H42" s="120"/>
      <c r="I42" s="120"/>
      <c r="J42" s="1"/>
      <c r="K42" s="59"/>
      <c r="L42" s="1"/>
      <c r="M42" s="1"/>
      <c r="N42" s="1"/>
      <c r="O42" s="1"/>
      <c r="P42" s="1"/>
      <c r="Q42" s="1"/>
      <c r="R42" s="1"/>
      <c r="S42" s="1"/>
      <c r="T42" s="78"/>
      <c r="V42" s="9">
        <v>11</v>
      </c>
      <c r="W42" s="120"/>
      <c r="X42" s="120"/>
      <c r="Y42" s="120"/>
      <c r="Z42" s="120"/>
      <c r="AA42" s="120"/>
      <c r="AB42" s="120"/>
      <c r="AC42" s="120"/>
      <c r="AD42" s="1"/>
      <c r="AE42" s="59"/>
      <c r="AF42" s="1"/>
      <c r="AG42" s="1"/>
      <c r="AH42" s="1"/>
      <c r="AI42" s="1"/>
      <c r="AJ42" s="1"/>
      <c r="AK42" s="1"/>
      <c r="AL42" s="1"/>
      <c r="AM42" s="1"/>
      <c r="AN42" s="78"/>
    </row>
    <row r="43" spans="2:40" ht="18" customHeight="1" x14ac:dyDescent="0.2">
      <c r="B43" s="9">
        <v>12</v>
      </c>
      <c r="C43" s="120"/>
      <c r="D43" s="120"/>
      <c r="E43" s="120"/>
      <c r="F43" s="120"/>
      <c r="G43" s="120"/>
      <c r="H43" s="120"/>
      <c r="I43" s="120"/>
      <c r="J43" s="1"/>
      <c r="K43" s="59"/>
      <c r="L43" s="1"/>
      <c r="M43" s="1"/>
      <c r="N43" s="1"/>
      <c r="O43" s="1"/>
      <c r="P43" s="1"/>
      <c r="Q43" s="1"/>
      <c r="R43" s="1"/>
      <c r="S43" s="1"/>
      <c r="T43" s="78"/>
      <c r="V43" s="9">
        <v>12</v>
      </c>
      <c r="W43" s="120"/>
      <c r="X43" s="120"/>
      <c r="Y43" s="120"/>
      <c r="Z43" s="120"/>
      <c r="AA43" s="120"/>
      <c r="AB43" s="120"/>
      <c r="AC43" s="120"/>
      <c r="AD43" s="1"/>
      <c r="AE43" s="59"/>
      <c r="AF43" s="1"/>
      <c r="AG43" s="1"/>
      <c r="AH43" s="1"/>
      <c r="AI43" s="1"/>
      <c r="AJ43" s="1"/>
      <c r="AK43" s="1"/>
      <c r="AL43" s="1"/>
      <c r="AM43" s="1"/>
      <c r="AN43" s="78"/>
    </row>
    <row r="44" spans="2:40" ht="18" customHeight="1" x14ac:dyDescent="0.2">
      <c r="B44" s="9">
        <v>13</v>
      </c>
      <c r="C44" s="120"/>
      <c r="D44" s="120"/>
      <c r="E44" s="120"/>
      <c r="F44" s="120"/>
      <c r="G44" s="120"/>
      <c r="H44" s="120"/>
      <c r="I44" s="120"/>
      <c r="J44" s="1"/>
      <c r="K44" s="59"/>
      <c r="L44" s="1"/>
      <c r="M44" s="1"/>
      <c r="N44" s="1"/>
      <c r="O44" s="1"/>
      <c r="P44" s="1"/>
      <c r="Q44" s="1"/>
      <c r="R44" s="1"/>
      <c r="S44" s="1"/>
      <c r="T44" s="78"/>
      <c r="V44" s="9">
        <v>13</v>
      </c>
      <c r="W44" s="120"/>
      <c r="X44" s="120"/>
      <c r="Y44" s="120"/>
      <c r="Z44" s="120"/>
      <c r="AA44" s="120"/>
      <c r="AB44" s="120"/>
      <c r="AC44" s="120"/>
      <c r="AD44" s="1"/>
      <c r="AE44" s="59"/>
      <c r="AF44" s="1"/>
      <c r="AG44" s="1"/>
      <c r="AH44" s="1"/>
      <c r="AI44" s="1"/>
      <c r="AJ44" s="1"/>
      <c r="AK44" s="1"/>
      <c r="AL44" s="1"/>
      <c r="AM44" s="1"/>
      <c r="AN44" s="78"/>
    </row>
    <row r="45" spans="2:40" ht="18" customHeight="1" x14ac:dyDescent="0.2">
      <c r="B45" s="9">
        <v>14</v>
      </c>
      <c r="C45" s="120"/>
      <c r="D45" s="120"/>
      <c r="E45" s="120"/>
      <c r="F45" s="120"/>
      <c r="G45" s="120"/>
      <c r="H45" s="120"/>
      <c r="I45" s="120"/>
      <c r="J45" s="1"/>
      <c r="K45" s="59"/>
      <c r="L45" s="1"/>
      <c r="M45" s="1"/>
      <c r="N45" s="1"/>
      <c r="O45" s="1"/>
      <c r="P45" s="1"/>
      <c r="Q45" s="1"/>
      <c r="R45" s="1"/>
      <c r="S45" s="1"/>
      <c r="T45" s="78"/>
      <c r="V45" s="9">
        <v>14</v>
      </c>
      <c r="W45" s="120"/>
      <c r="X45" s="120"/>
      <c r="Y45" s="120"/>
      <c r="Z45" s="120"/>
      <c r="AA45" s="120"/>
      <c r="AB45" s="120"/>
      <c r="AC45" s="120"/>
      <c r="AD45" s="1"/>
      <c r="AE45" s="59"/>
      <c r="AF45" s="1"/>
      <c r="AG45" s="1"/>
      <c r="AH45" s="1"/>
      <c r="AI45" s="1"/>
      <c r="AJ45" s="1"/>
      <c r="AK45" s="1"/>
      <c r="AL45" s="1"/>
      <c r="AM45" s="1"/>
      <c r="AN45" s="78"/>
    </row>
    <row r="46" spans="2:40" ht="18" customHeight="1" x14ac:dyDescent="0.2">
      <c r="B46" s="9">
        <v>15</v>
      </c>
      <c r="C46" s="120"/>
      <c r="D46" s="120"/>
      <c r="E46" s="120"/>
      <c r="F46" s="120"/>
      <c r="G46" s="120"/>
      <c r="H46" s="120"/>
      <c r="I46" s="120"/>
      <c r="J46" s="1"/>
      <c r="K46" s="59"/>
      <c r="L46" s="1"/>
      <c r="M46" s="1"/>
      <c r="N46" s="1"/>
      <c r="O46" s="1"/>
      <c r="P46" s="1"/>
      <c r="Q46" s="1"/>
      <c r="R46" s="1"/>
      <c r="S46" s="1"/>
      <c r="T46" s="78"/>
      <c r="V46" s="9">
        <v>15</v>
      </c>
      <c r="W46" s="120"/>
      <c r="X46" s="120"/>
      <c r="Y46" s="120"/>
      <c r="Z46" s="120"/>
      <c r="AA46" s="120"/>
      <c r="AB46" s="120"/>
      <c r="AC46" s="120"/>
      <c r="AD46" s="1"/>
      <c r="AE46" s="59"/>
      <c r="AF46" s="1"/>
      <c r="AG46" s="1"/>
      <c r="AH46" s="1"/>
      <c r="AI46" s="1"/>
      <c r="AJ46" s="1"/>
      <c r="AK46" s="1"/>
      <c r="AL46" s="1"/>
      <c r="AM46" s="1"/>
      <c r="AN46" s="78"/>
    </row>
    <row r="47" spans="2:40" ht="18" customHeight="1" x14ac:dyDescent="0.2">
      <c r="B47" s="9" t="s">
        <v>44</v>
      </c>
      <c r="C47" s="120"/>
      <c r="D47" s="120"/>
      <c r="E47" s="120"/>
      <c r="F47" s="120"/>
      <c r="G47" s="120"/>
      <c r="H47" s="120"/>
      <c r="I47" s="120"/>
      <c r="J47" s="1"/>
      <c r="K47" s="59"/>
      <c r="L47" s="1"/>
      <c r="M47" s="1"/>
      <c r="N47" s="1"/>
      <c r="O47" s="1"/>
      <c r="P47" s="1"/>
      <c r="Q47" s="1"/>
      <c r="R47" s="1"/>
      <c r="S47" s="1"/>
      <c r="T47" s="78"/>
      <c r="V47" s="9" t="s">
        <v>44</v>
      </c>
      <c r="W47" s="120"/>
      <c r="X47" s="120"/>
      <c r="Y47" s="120"/>
      <c r="Z47" s="120"/>
      <c r="AA47" s="120"/>
      <c r="AB47" s="120"/>
      <c r="AC47" s="120"/>
      <c r="AD47" s="1"/>
      <c r="AE47" s="59"/>
      <c r="AF47" s="1"/>
      <c r="AG47" s="1"/>
      <c r="AH47" s="1"/>
      <c r="AI47" s="1"/>
      <c r="AJ47" s="1"/>
      <c r="AK47" s="1"/>
      <c r="AL47" s="1"/>
      <c r="AM47" s="1"/>
      <c r="AN47" s="78"/>
    </row>
    <row r="48" spans="2:40" ht="18" customHeight="1" x14ac:dyDescent="0.2">
      <c r="B48" s="1"/>
      <c r="C48" s="81"/>
      <c r="D48" s="81"/>
      <c r="E48" s="81"/>
      <c r="F48" s="81"/>
      <c r="G48" s="83"/>
      <c r="H48" s="82" t="s">
        <v>172</v>
      </c>
      <c r="I48" s="120"/>
      <c r="J48" s="1"/>
      <c r="K48" s="59"/>
      <c r="L48" s="1"/>
      <c r="M48" s="1"/>
      <c r="N48" s="1"/>
      <c r="O48" s="1"/>
      <c r="P48" s="1"/>
      <c r="Q48" s="1"/>
      <c r="R48" s="1"/>
      <c r="S48" s="1"/>
      <c r="T48" s="78"/>
      <c r="V48" s="1"/>
      <c r="W48" s="81"/>
      <c r="X48" s="81"/>
      <c r="Y48" s="81"/>
      <c r="Z48" s="81"/>
      <c r="AA48" s="83"/>
      <c r="AB48" s="82" t="s">
        <v>172</v>
      </c>
      <c r="AC48" s="120"/>
      <c r="AD48" s="1"/>
      <c r="AE48" s="59"/>
      <c r="AF48" s="1"/>
      <c r="AG48" s="1"/>
      <c r="AH48" s="1"/>
      <c r="AI48" s="1"/>
      <c r="AJ48" s="1"/>
      <c r="AK48" s="1"/>
      <c r="AL48" s="1"/>
      <c r="AM48" s="1"/>
      <c r="AN48" s="78"/>
    </row>
    <row r="49" spans="2:40" ht="18" customHeight="1" x14ac:dyDescent="0.2">
      <c r="B49" s="1"/>
      <c r="C49" s="81"/>
      <c r="D49" s="81"/>
      <c r="E49" s="81"/>
      <c r="F49" s="81"/>
      <c r="G49" s="80"/>
      <c r="H49" s="79" t="s">
        <v>173</v>
      </c>
      <c r="I49" s="120"/>
      <c r="J49" s="1"/>
      <c r="K49" s="59"/>
      <c r="L49" s="1"/>
      <c r="M49" s="1"/>
      <c r="N49" s="1"/>
      <c r="O49" s="1"/>
      <c r="P49" s="1"/>
      <c r="Q49" s="1"/>
      <c r="R49" s="1"/>
      <c r="S49" s="1"/>
      <c r="T49" s="78"/>
      <c r="V49" s="1"/>
      <c r="W49" s="81"/>
      <c r="X49" s="81"/>
      <c r="Y49" s="81"/>
      <c r="Z49" s="81"/>
      <c r="AA49" s="80"/>
      <c r="AB49" s="79" t="s">
        <v>173</v>
      </c>
      <c r="AC49" s="120"/>
      <c r="AD49" s="1"/>
      <c r="AE49" s="59"/>
      <c r="AF49" s="1"/>
      <c r="AG49" s="1"/>
      <c r="AH49" s="1"/>
      <c r="AI49" s="1"/>
      <c r="AJ49" s="1"/>
      <c r="AK49" s="1"/>
      <c r="AL49" s="1"/>
      <c r="AM49" s="1"/>
      <c r="AN49" s="78"/>
    </row>
    <row r="50" spans="2:40" ht="18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59"/>
      <c r="L50" s="1"/>
      <c r="M50" s="1"/>
      <c r="N50" s="1"/>
      <c r="O50" s="1"/>
      <c r="P50" s="1"/>
      <c r="Q50" s="1"/>
      <c r="R50" s="1"/>
      <c r="S50" s="1"/>
      <c r="T50" s="78"/>
      <c r="V50" s="1"/>
      <c r="W50" s="1"/>
      <c r="X50" s="1"/>
      <c r="Y50" s="1"/>
      <c r="Z50" s="1"/>
      <c r="AA50" s="1"/>
      <c r="AB50" s="1"/>
      <c r="AC50" s="1"/>
      <c r="AD50" s="1"/>
      <c r="AE50" s="59"/>
      <c r="AF50" s="1"/>
      <c r="AG50" s="1"/>
      <c r="AH50" s="1"/>
      <c r="AI50" s="1"/>
      <c r="AJ50" s="1"/>
      <c r="AK50" s="1"/>
      <c r="AL50" s="1"/>
      <c r="AM50" s="1"/>
      <c r="AN50" s="78"/>
    </row>
    <row r="51" spans="2:40" ht="18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59"/>
      <c r="L51" s="1"/>
      <c r="M51" s="1"/>
      <c r="N51" s="1"/>
      <c r="O51" s="1"/>
      <c r="P51" s="1"/>
      <c r="Q51" s="1"/>
      <c r="R51" s="1"/>
      <c r="S51" s="1"/>
      <c r="T51" s="78"/>
      <c r="V51" s="1"/>
      <c r="W51" s="1"/>
      <c r="X51" s="1"/>
      <c r="Y51" s="1"/>
      <c r="Z51" s="1"/>
      <c r="AA51" s="1"/>
      <c r="AB51" s="1"/>
      <c r="AC51" s="1"/>
      <c r="AD51" s="1"/>
      <c r="AE51" s="59"/>
      <c r="AF51" s="1"/>
      <c r="AG51" s="1"/>
      <c r="AH51" s="1"/>
      <c r="AI51" s="1"/>
      <c r="AJ51" s="1"/>
      <c r="AK51" s="1"/>
      <c r="AL51" s="1"/>
      <c r="AM51" s="1"/>
      <c r="AN51" s="78"/>
    </row>
    <row r="52" spans="2:40" ht="18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59"/>
      <c r="L52" s="1"/>
      <c r="M52" s="1"/>
      <c r="N52" s="1"/>
      <c r="O52" s="1"/>
      <c r="P52" s="1"/>
      <c r="Q52" s="1"/>
      <c r="R52" s="1"/>
      <c r="S52" s="1"/>
      <c r="T52" s="78"/>
      <c r="V52" s="1"/>
      <c r="W52" s="1"/>
      <c r="X52" s="1"/>
      <c r="Y52" s="1"/>
      <c r="Z52" s="1"/>
      <c r="AA52" s="1"/>
      <c r="AB52" s="1"/>
      <c r="AC52" s="1"/>
      <c r="AD52" s="1"/>
      <c r="AE52" s="59"/>
      <c r="AF52" s="1"/>
      <c r="AG52" s="1"/>
      <c r="AH52" s="1"/>
      <c r="AI52" s="1"/>
      <c r="AJ52" s="1"/>
      <c r="AK52" s="1"/>
      <c r="AL52" s="1"/>
      <c r="AM52" s="1"/>
      <c r="AN52" s="78"/>
    </row>
    <row r="53" spans="2:40" ht="18" customHeight="1" x14ac:dyDescent="0.2">
      <c r="K53" s="59"/>
      <c r="L53" s="1"/>
      <c r="M53" s="1"/>
      <c r="N53" s="1"/>
      <c r="O53" s="1"/>
      <c r="P53" s="1"/>
      <c r="Q53" s="1"/>
      <c r="R53" s="1"/>
      <c r="T53" s="76"/>
      <c r="AE53" s="59"/>
      <c r="AF53" s="1"/>
      <c r="AG53" s="1"/>
      <c r="AH53" s="1"/>
      <c r="AI53" s="1"/>
      <c r="AJ53" s="1"/>
      <c r="AK53" s="1"/>
      <c r="AL53" s="1"/>
      <c r="AN53" s="76"/>
    </row>
    <row r="54" spans="2:40" ht="18" customHeight="1" x14ac:dyDescent="0.2">
      <c r="K54" s="57"/>
      <c r="L54" s="56"/>
      <c r="M54" s="55"/>
      <c r="N54" s="56"/>
      <c r="S54" s="54"/>
      <c r="T54" s="76"/>
      <c r="AE54" s="57"/>
      <c r="AF54" s="56"/>
      <c r="AG54" s="55"/>
      <c r="AH54" s="56"/>
      <c r="AM54" s="54"/>
      <c r="AN54" s="76"/>
    </row>
    <row r="55" spans="2:40" ht="18" customHeight="1" x14ac:dyDescent="0.2">
      <c r="K55" s="77"/>
      <c r="T55" s="76"/>
      <c r="AE55" s="77"/>
      <c r="AN55" s="76"/>
    </row>
    <row r="56" spans="2:40" ht="18" customHeight="1" thickBot="1" x14ac:dyDescent="0.25">
      <c r="K56" s="75"/>
      <c r="L56" s="72"/>
      <c r="M56" s="72"/>
      <c r="N56" s="72"/>
      <c r="O56" s="74" t="s">
        <v>174</v>
      </c>
      <c r="P56" s="73">
        <f>I48</f>
        <v>0</v>
      </c>
      <c r="Q56" s="72"/>
      <c r="R56" s="72"/>
      <c r="S56" s="72"/>
      <c r="T56" s="71"/>
      <c r="AE56" s="75"/>
      <c r="AF56" s="72"/>
      <c r="AG56" s="72"/>
      <c r="AH56" s="72"/>
      <c r="AI56" s="74" t="s">
        <v>174</v>
      </c>
      <c r="AJ56" s="73">
        <f>AC48</f>
        <v>0</v>
      </c>
      <c r="AK56" s="72"/>
      <c r="AL56" s="72"/>
      <c r="AM56" s="72"/>
      <c r="AN56" s="71"/>
    </row>
    <row r="57" spans="2:40" ht="18" customHeight="1" thickBot="1" x14ac:dyDescent="0.25"/>
    <row r="58" spans="2:40" ht="18" customHeight="1" x14ac:dyDescent="0.25">
      <c r="B58" s="268" t="s">
        <v>177</v>
      </c>
      <c r="C58" s="258"/>
      <c r="D58" s="258"/>
      <c r="E58" s="258"/>
      <c r="F58" s="258"/>
      <c r="G58" s="258"/>
      <c r="H58" s="258"/>
      <c r="I58" s="259"/>
      <c r="K58" s="288" t="str">
        <f>B58</f>
        <v>DHA-PIONA Reactor-3 Hydrocarbon TLP</v>
      </c>
      <c r="L58" s="286"/>
      <c r="M58" s="286"/>
      <c r="N58" s="286"/>
      <c r="O58" s="286"/>
      <c r="P58" s="286"/>
      <c r="Q58" s="286"/>
      <c r="R58" s="286"/>
      <c r="S58" s="286"/>
      <c r="T58" s="289"/>
      <c r="V58" s="268" t="s">
        <v>178</v>
      </c>
      <c r="W58" s="258"/>
      <c r="X58" s="258"/>
      <c r="Y58" s="258"/>
      <c r="Z58" s="258"/>
      <c r="AA58" s="258"/>
      <c r="AB58" s="258"/>
      <c r="AC58" s="259"/>
      <c r="AE58" s="288" t="str">
        <f>V58</f>
        <v>DHA-PIONA Reactor-7 Hydrocarbon TLP</v>
      </c>
      <c r="AF58" s="286"/>
      <c r="AG58" s="286"/>
      <c r="AH58" s="286"/>
      <c r="AI58" s="286"/>
      <c r="AJ58" s="286"/>
      <c r="AK58" s="286"/>
      <c r="AL58" s="286"/>
      <c r="AM58" s="286"/>
      <c r="AN58" s="289"/>
    </row>
    <row r="59" spans="2:40" ht="18" customHeight="1" thickBot="1" x14ac:dyDescent="0.25">
      <c r="B59" s="9" t="s">
        <v>165</v>
      </c>
      <c r="C59" s="10" t="s">
        <v>166</v>
      </c>
      <c r="D59" s="10" t="s">
        <v>167</v>
      </c>
      <c r="E59" s="10" t="s">
        <v>168</v>
      </c>
      <c r="F59" s="10" t="s">
        <v>169</v>
      </c>
      <c r="G59" s="10" t="s">
        <v>170</v>
      </c>
      <c r="H59" s="10" t="s">
        <v>171</v>
      </c>
      <c r="I59" s="10" t="s">
        <v>44</v>
      </c>
      <c r="K59" s="290"/>
      <c r="L59" s="291"/>
      <c r="M59" s="291"/>
      <c r="N59" s="291"/>
      <c r="O59" s="291"/>
      <c r="P59" s="291"/>
      <c r="Q59" s="291"/>
      <c r="R59" s="291"/>
      <c r="S59" s="291"/>
      <c r="T59" s="292"/>
      <c r="V59" s="9" t="s">
        <v>165</v>
      </c>
      <c r="W59" s="10" t="s">
        <v>166</v>
      </c>
      <c r="X59" s="10" t="s">
        <v>167</v>
      </c>
      <c r="Y59" s="10" t="s">
        <v>168</v>
      </c>
      <c r="Z59" s="10" t="s">
        <v>169</v>
      </c>
      <c r="AA59" s="10" t="s">
        <v>170</v>
      </c>
      <c r="AB59" s="10" t="s">
        <v>171</v>
      </c>
      <c r="AC59" s="10" t="s">
        <v>44</v>
      </c>
      <c r="AE59" s="290"/>
      <c r="AF59" s="291"/>
      <c r="AG59" s="291"/>
      <c r="AH59" s="291"/>
      <c r="AI59" s="291"/>
      <c r="AJ59" s="291"/>
      <c r="AK59" s="291"/>
      <c r="AL59" s="291"/>
      <c r="AM59" s="291"/>
      <c r="AN59" s="292"/>
    </row>
    <row r="60" spans="2:40" ht="18" customHeight="1" x14ac:dyDescent="0.2">
      <c r="B60" s="9">
        <v>1</v>
      </c>
      <c r="C60" s="120"/>
      <c r="D60" s="120"/>
      <c r="E60" s="120"/>
      <c r="F60" s="120"/>
      <c r="G60" s="120"/>
      <c r="H60" s="120"/>
      <c r="I60" s="120"/>
      <c r="K60" s="67" t="s">
        <v>160</v>
      </c>
      <c r="L60" s="65" t="str">
        <f>Run_Plan!J14</f>
        <v/>
      </c>
      <c r="M60" s="66"/>
      <c r="N60" s="65"/>
      <c r="O60" s="63"/>
      <c r="P60" s="66" t="s">
        <v>161</v>
      </c>
      <c r="Q60" s="85" t="str">
        <f>Liq!$B$4</f>
        <v>C1-S1</v>
      </c>
      <c r="R60" s="64"/>
      <c r="S60" s="63"/>
      <c r="T60" s="84"/>
      <c r="V60" s="9">
        <v>1</v>
      </c>
      <c r="W60" s="120"/>
      <c r="X60" s="120"/>
      <c r="Y60" s="120"/>
      <c r="Z60" s="120"/>
      <c r="AA60" s="120"/>
      <c r="AB60" s="120"/>
      <c r="AC60" s="120"/>
      <c r="AE60" s="67" t="s">
        <v>160</v>
      </c>
      <c r="AF60" s="65" t="str">
        <f>Run_Plan!J21</f>
        <v>R7 Catalyst Ni2CBV-3014</v>
      </c>
      <c r="AG60" s="66"/>
      <c r="AH60" s="65"/>
      <c r="AI60" s="63"/>
      <c r="AJ60" s="66" t="s">
        <v>161</v>
      </c>
      <c r="AK60" s="85" t="str">
        <f>Liq!$B$4</f>
        <v>C1-S1</v>
      </c>
      <c r="AL60" s="64"/>
      <c r="AM60" s="63"/>
      <c r="AN60" s="84"/>
    </row>
    <row r="61" spans="2:40" ht="18" customHeight="1" x14ac:dyDescent="0.2">
      <c r="B61" s="9">
        <v>2</v>
      </c>
      <c r="C61" s="120"/>
      <c r="D61" s="120"/>
      <c r="E61" s="120"/>
      <c r="F61" s="120"/>
      <c r="G61" s="120"/>
      <c r="H61" s="120"/>
      <c r="I61" s="120"/>
      <c r="J61" s="1"/>
      <c r="K61" s="59"/>
      <c r="L61" s="1"/>
      <c r="M61" s="1"/>
      <c r="N61" s="1"/>
      <c r="O61" s="1"/>
      <c r="P61" s="1"/>
      <c r="Q61" s="1"/>
      <c r="R61" s="1"/>
      <c r="S61" s="1"/>
      <c r="T61" s="78"/>
      <c r="V61" s="9">
        <v>2</v>
      </c>
      <c r="W61" s="120"/>
      <c r="X61" s="120"/>
      <c r="Y61" s="120"/>
      <c r="Z61" s="120"/>
      <c r="AA61" s="120"/>
      <c r="AB61" s="120"/>
      <c r="AC61" s="120"/>
      <c r="AD61" s="1"/>
      <c r="AE61" s="59"/>
      <c r="AF61" s="1"/>
      <c r="AG61" s="1"/>
      <c r="AH61" s="1"/>
      <c r="AI61" s="1"/>
      <c r="AJ61" s="1"/>
      <c r="AK61" s="1"/>
      <c r="AL61" s="1"/>
      <c r="AM61" s="1"/>
      <c r="AN61" s="78"/>
    </row>
    <row r="62" spans="2:40" ht="18" customHeight="1" x14ac:dyDescent="0.2">
      <c r="B62" s="9">
        <v>3</v>
      </c>
      <c r="C62" s="120"/>
      <c r="D62" s="120"/>
      <c r="E62" s="120"/>
      <c r="F62" s="120"/>
      <c r="G62" s="120"/>
      <c r="H62" s="120"/>
      <c r="I62" s="120"/>
      <c r="J62" s="1"/>
      <c r="K62" s="59"/>
      <c r="L62" s="1"/>
      <c r="M62" s="1"/>
      <c r="N62" s="1"/>
      <c r="O62" s="1"/>
      <c r="P62" s="1"/>
      <c r="Q62" s="1"/>
      <c r="R62" s="1"/>
      <c r="S62" s="1"/>
      <c r="T62" s="78"/>
      <c r="V62" s="9">
        <v>3</v>
      </c>
      <c r="W62" s="120"/>
      <c r="X62" s="120"/>
      <c r="Y62" s="120"/>
      <c r="Z62" s="120"/>
      <c r="AA62" s="120"/>
      <c r="AB62" s="120"/>
      <c r="AC62" s="120"/>
      <c r="AD62" s="1"/>
      <c r="AE62" s="59"/>
      <c r="AF62" s="1"/>
      <c r="AG62" s="1"/>
      <c r="AH62" s="1"/>
      <c r="AI62" s="1"/>
      <c r="AJ62" s="1"/>
      <c r="AK62" s="1"/>
      <c r="AL62" s="1"/>
      <c r="AM62" s="1"/>
      <c r="AN62" s="78"/>
    </row>
    <row r="63" spans="2:40" ht="18" customHeight="1" x14ac:dyDescent="0.2">
      <c r="B63" s="9">
        <v>4</v>
      </c>
      <c r="C63" s="120"/>
      <c r="D63" s="120"/>
      <c r="E63" s="120"/>
      <c r="F63" s="120"/>
      <c r="G63" s="120"/>
      <c r="H63" s="120"/>
      <c r="I63" s="120"/>
      <c r="J63" s="1"/>
      <c r="K63" s="59"/>
      <c r="L63" s="1"/>
      <c r="M63" s="1"/>
      <c r="N63" s="1"/>
      <c r="O63" s="1"/>
      <c r="P63" s="1"/>
      <c r="Q63" s="1"/>
      <c r="R63" s="1"/>
      <c r="S63" s="1"/>
      <c r="T63" s="78"/>
      <c r="V63" s="9">
        <v>4</v>
      </c>
      <c r="W63" s="120"/>
      <c r="X63" s="120"/>
      <c r="Y63" s="120"/>
      <c r="Z63" s="120"/>
      <c r="AA63" s="120"/>
      <c r="AB63" s="120"/>
      <c r="AC63" s="120"/>
      <c r="AD63" s="1"/>
      <c r="AE63" s="59"/>
      <c r="AF63" s="1"/>
      <c r="AG63" s="1"/>
      <c r="AH63" s="1"/>
      <c r="AI63" s="1"/>
      <c r="AJ63" s="1"/>
      <c r="AK63" s="1"/>
      <c r="AL63" s="1"/>
      <c r="AM63" s="1"/>
      <c r="AN63" s="78"/>
    </row>
    <row r="64" spans="2:40" ht="18" customHeight="1" x14ac:dyDescent="0.2">
      <c r="B64" s="9">
        <v>5</v>
      </c>
      <c r="C64" s="120"/>
      <c r="D64" s="120"/>
      <c r="E64" s="120"/>
      <c r="F64" s="120"/>
      <c r="G64" s="120"/>
      <c r="H64" s="120"/>
      <c r="I64" s="120"/>
      <c r="J64" s="1"/>
      <c r="K64" s="59"/>
      <c r="L64" s="1"/>
      <c r="M64" s="1"/>
      <c r="N64" s="1"/>
      <c r="O64" s="1"/>
      <c r="P64" s="1"/>
      <c r="Q64" s="1"/>
      <c r="R64" s="1"/>
      <c r="S64" s="1"/>
      <c r="T64" s="78"/>
      <c r="V64" s="9">
        <v>5</v>
      </c>
      <c r="W64" s="120"/>
      <c r="X64" s="120"/>
      <c r="Y64" s="120"/>
      <c r="Z64" s="120"/>
      <c r="AA64" s="120"/>
      <c r="AB64" s="120"/>
      <c r="AC64" s="120"/>
      <c r="AD64" s="1"/>
      <c r="AE64" s="59"/>
      <c r="AF64" s="1"/>
      <c r="AG64" s="1"/>
      <c r="AH64" s="1"/>
      <c r="AI64" s="1"/>
      <c r="AJ64" s="1"/>
      <c r="AK64" s="1"/>
      <c r="AL64" s="1"/>
      <c r="AM64" s="1"/>
      <c r="AN64" s="78"/>
    </row>
    <row r="65" spans="2:40" ht="18" customHeight="1" x14ac:dyDescent="0.2">
      <c r="B65" s="9">
        <v>6</v>
      </c>
      <c r="C65" s="120"/>
      <c r="D65" s="120"/>
      <c r="E65" s="120"/>
      <c r="F65" s="120"/>
      <c r="G65" s="120"/>
      <c r="H65" s="120"/>
      <c r="I65" s="120"/>
      <c r="J65" s="1"/>
      <c r="K65" s="59"/>
      <c r="L65" s="1"/>
      <c r="M65" s="1"/>
      <c r="N65" s="1"/>
      <c r="O65" s="1"/>
      <c r="P65" s="1"/>
      <c r="Q65" s="1"/>
      <c r="R65" s="1"/>
      <c r="S65" s="1"/>
      <c r="T65" s="78"/>
      <c r="V65" s="9">
        <v>6</v>
      </c>
      <c r="W65" s="120"/>
      <c r="X65" s="120"/>
      <c r="Y65" s="120"/>
      <c r="Z65" s="120"/>
      <c r="AA65" s="120"/>
      <c r="AB65" s="120"/>
      <c r="AC65" s="120"/>
      <c r="AD65" s="1"/>
      <c r="AE65" s="59"/>
      <c r="AF65" s="1"/>
      <c r="AG65" s="1"/>
      <c r="AH65" s="1"/>
      <c r="AI65" s="1"/>
      <c r="AJ65" s="1"/>
      <c r="AK65" s="1"/>
      <c r="AL65" s="1"/>
      <c r="AM65" s="1"/>
      <c r="AN65" s="78"/>
    </row>
    <row r="66" spans="2:40" ht="18" customHeight="1" x14ac:dyDescent="0.2">
      <c r="B66" s="9">
        <v>7</v>
      </c>
      <c r="C66" s="120"/>
      <c r="D66" s="120"/>
      <c r="E66" s="120"/>
      <c r="F66" s="120"/>
      <c r="G66" s="120"/>
      <c r="H66" s="120"/>
      <c r="I66" s="120"/>
      <c r="J66" s="1"/>
      <c r="K66" s="59"/>
      <c r="L66" s="1"/>
      <c r="M66" s="1"/>
      <c r="N66" s="1"/>
      <c r="O66" s="1"/>
      <c r="P66" s="1"/>
      <c r="Q66" s="1"/>
      <c r="R66" s="1"/>
      <c r="S66" s="1"/>
      <c r="T66" s="78"/>
      <c r="V66" s="9">
        <v>7</v>
      </c>
      <c r="W66" s="120"/>
      <c r="X66" s="120"/>
      <c r="Y66" s="120"/>
      <c r="Z66" s="120"/>
      <c r="AA66" s="120"/>
      <c r="AB66" s="120"/>
      <c r="AC66" s="120"/>
      <c r="AD66" s="1"/>
      <c r="AE66" s="59"/>
      <c r="AF66" s="1"/>
      <c r="AG66" s="1"/>
      <c r="AH66" s="1"/>
      <c r="AI66" s="1"/>
      <c r="AJ66" s="1"/>
      <c r="AK66" s="1"/>
      <c r="AL66" s="1"/>
      <c r="AM66" s="1"/>
      <c r="AN66" s="78"/>
    </row>
    <row r="67" spans="2:40" ht="18" customHeight="1" x14ac:dyDescent="0.2">
      <c r="B67" s="9">
        <v>8</v>
      </c>
      <c r="C67" s="120"/>
      <c r="D67" s="120"/>
      <c r="E67" s="120"/>
      <c r="F67" s="120"/>
      <c r="G67" s="120"/>
      <c r="H67" s="120"/>
      <c r="I67" s="120"/>
      <c r="J67" s="1"/>
      <c r="K67" s="59"/>
      <c r="L67" s="1"/>
      <c r="M67" s="1"/>
      <c r="N67" s="1"/>
      <c r="O67" s="1"/>
      <c r="P67" s="1"/>
      <c r="Q67" s="1"/>
      <c r="R67" s="1"/>
      <c r="S67" s="1"/>
      <c r="T67" s="78"/>
      <c r="V67" s="9">
        <v>8</v>
      </c>
      <c r="W67" s="120"/>
      <c r="X67" s="120"/>
      <c r="Y67" s="120"/>
      <c r="Z67" s="120"/>
      <c r="AA67" s="120"/>
      <c r="AB67" s="120"/>
      <c r="AC67" s="120"/>
      <c r="AD67" s="1"/>
      <c r="AE67" s="59"/>
      <c r="AF67" s="1"/>
      <c r="AG67" s="1"/>
      <c r="AH67" s="1"/>
      <c r="AI67" s="1"/>
      <c r="AJ67" s="1"/>
      <c r="AK67" s="1"/>
      <c r="AL67" s="1"/>
      <c r="AM67" s="1"/>
      <c r="AN67" s="78"/>
    </row>
    <row r="68" spans="2:40" ht="18" customHeight="1" x14ac:dyDescent="0.2">
      <c r="B68" s="9">
        <v>9</v>
      </c>
      <c r="C68" s="120"/>
      <c r="D68" s="120"/>
      <c r="E68" s="120"/>
      <c r="F68" s="120"/>
      <c r="G68" s="120"/>
      <c r="H68" s="120"/>
      <c r="I68" s="120"/>
      <c r="J68" s="1"/>
      <c r="K68" s="59"/>
      <c r="L68" s="1"/>
      <c r="M68" s="1"/>
      <c r="N68" s="1"/>
      <c r="O68" s="1"/>
      <c r="P68" s="1"/>
      <c r="Q68" s="1"/>
      <c r="R68" s="1"/>
      <c r="S68" s="1"/>
      <c r="T68" s="78"/>
      <c r="V68" s="9">
        <v>9</v>
      </c>
      <c r="W68" s="120"/>
      <c r="X68" s="120"/>
      <c r="Y68" s="120"/>
      <c r="Z68" s="120"/>
      <c r="AA68" s="120"/>
      <c r="AB68" s="120"/>
      <c r="AC68" s="120"/>
      <c r="AD68" s="1"/>
      <c r="AE68" s="59"/>
      <c r="AF68" s="1"/>
      <c r="AG68" s="1"/>
      <c r="AH68" s="1"/>
      <c r="AI68" s="1"/>
      <c r="AJ68" s="1"/>
      <c r="AK68" s="1"/>
      <c r="AL68" s="1"/>
      <c r="AM68" s="1"/>
      <c r="AN68" s="78"/>
    </row>
    <row r="69" spans="2:40" ht="18" customHeight="1" x14ac:dyDescent="0.2">
      <c r="B69" s="9">
        <v>10</v>
      </c>
      <c r="C69" s="120"/>
      <c r="D69" s="120"/>
      <c r="E69" s="120"/>
      <c r="F69" s="120"/>
      <c r="G69" s="120"/>
      <c r="H69" s="120"/>
      <c r="I69" s="120"/>
      <c r="J69" s="1"/>
      <c r="K69" s="59"/>
      <c r="L69" s="1"/>
      <c r="M69" s="1"/>
      <c r="N69" s="1"/>
      <c r="O69" s="1"/>
      <c r="P69" s="1"/>
      <c r="Q69" s="1"/>
      <c r="R69" s="1"/>
      <c r="S69" s="1"/>
      <c r="T69" s="78"/>
      <c r="V69" s="9">
        <v>10</v>
      </c>
      <c r="W69" s="120"/>
      <c r="X69" s="120"/>
      <c r="Y69" s="120"/>
      <c r="Z69" s="120"/>
      <c r="AA69" s="120"/>
      <c r="AB69" s="120"/>
      <c r="AC69" s="120"/>
      <c r="AD69" s="1"/>
      <c r="AE69" s="59"/>
      <c r="AF69" s="1"/>
      <c r="AG69" s="1"/>
      <c r="AH69" s="1"/>
      <c r="AI69" s="1"/>
      <c r="AJ69" s="1"/>
      <c r="AK69" s="1"/>
      <c r="AL69" s="1"/>
      <c r="AM69" s="1"/>
      <c r="AN69" s="78"/>
    </row>
    <row r="70" spans="2:40" ht="18" customHeight="1" x14ac:dyDescent="0.2">
      <c r="B70" s="9">
        <v>11</v>
      </c>
      <c r="C70" s="120"/>
      <c r="D70" s="120"/>
      <c r="E70" s="120"/>
      <c r="F70" s="120"/>
      <c r="G70" s="120"/>
      <c r="H70" s="120"/>
      <c r="I70" s="120"/>
      <c r="J70" s="1"/>
      <c r="K70" s="59"/>
      <c r="L70" s="1"/>
      <c r="M70" s="1"/>
      <c r="N70" s="1"/>
      <c r="O70" s="1"/>
      <c r="P70" s="1"/>
      <c r="Q70" s="1"/>
      <c r="R70" s="1"/>
      <c r="S70" s="1"/>
      <c r="T70" s="78"/>
      <c r="V70" s="9">
        <v>11</v>
      </c>
      <c r="W70" s="120"/>
      <c r="X70" s="120"/>
      <c r="Y70" s="120"/>
      <c r="Z70" s="120"/>
      <c r="AA70" s="120"/>
      <c r="AB70" s="120"/>
      <c r="AC70" s="120"/>
      <c r="AD70" s="1"/>
      <c r="AE70" s="59"/>
      <c r="AF70" s="1"/>
      <c r="AG70" s="1"/>
      <c r="AH70" s="1"/>
      <c r="AI70" s="1"/>
      <c r="AJ70" s="1"/>
      <c r="AK70" s="1"/>
      <c r="AL70" s="1"/>
      <c r="AM70" s="1"/>
      <c r="AN70" s="78"/>
    </row>
    <row r="71" spans="2:40" ht="18" customHeight="1" x14ac:dyDescent="0.2">
      <c r="B71" s="9">
        <v>12</v>
      </c>
      <c r="C71" s="120"/>
      <c r="D71" s="120"/>
      <c r="E71" s="120"/>
      <c r="F71" s="120"/>
      <c r="G71" s="120"/>
      <c r="H71" s="120"/>
      <c r="I71" s="120"/>
      <c r="J71" s="1"/>
      <c r="K71" s="59"/>
      <c r="L71" s="1"/>
      <c r="M71" s="1"/>
      <c r="N71" s="1"/>
      <c r="O71" s="1"/>
      <c r="P71" s="1"/>
      <c r="Q71" s="1"/>
      <c r="R71" s="1"/>
      <c r="S71" s="1"/>
      <c r="T71" s="78"/>
      <c r="V71" s="9">
        <v>12</v>
      </c>
      <c r="W71" s="120"/>
      <c r="X71" s="120"/>
      <c r="Y71" s="120"/>
      <c r="Z71" s="120"/>
      <c r="AA71" s="120"/>
      <c r="AB71" s="120"/>
      <c r="AC71" s="120"/>
      <c r="AD71" s="1"/>
      <c r="AE71" s="59"/>
      <c r="AF71" s="1"/>
      <c r="AG71" s="1"/>
      <c r="AH71" s="1"/>
      <c r="AI71" s="1"/>
      <c r="AJ71" s="1"/>
      <c r="AK71" s="1"/>
      <c r="AL71" s="1"/>
      <c r="AM71" s="1"/>
      <c r="AN71" s="78"/>
    </row>
    <row r="72" spans="2:40" ht="18" customHeight="1" x14ac:dyDescent="0.2">
      <c r="B72" s="9">
        <v>13</v>
      </c>
      <c r="C72" s="120"/>
      <c r="D72" s="120"/>
      <c r="E72" s="120"/>
      <c r="F72" s="120"/>
      <c r="G72" s="120"/>
      <c r="H72" s="120"/>
      <c r="I72" s="120"/>
      <c r="J72" s="1"/>
      <c r="K72" s="59"/>
      <c r="L72" s="1"/>
      <c r="M72" s="1"/>
      <c r="N72" s="1"/>
      <c r="O72" s="1"/>
      <c r="P72" s="1"/>
      <c r="Q72" s="1"/>
      <c r="R72" s="1"/>
      <c r="S72" s="1"/>
      <c r="T72" s="78"/>
      <c r="V72" s="9">
        <v>13</v>
      </c>
      <c r="W72" s="120"/>
      <c r="X72" s="120"/>
      <c r="Y72" s="120"/>
      <c r="Z72" s="120"/>
      <c r="AA72" s="120"/>
      <c r="AB72" s="120"/>
      <c r="AC72" s="120"/>
      <c r="AD72" s="1"/>
      <c r="AE72" s="59"/>
      <c r="AF72" s="1"/>
      <c r="AG72" s="1"/>
      <c r="AH72" s="1"/>
      <c r="AI72" s="1"/>
      <c r="AJ72" s="1"/>
      <c r="AK72" s="1"/>
      <c r="AL72" s="1"/>
      <c r="AM72" s="1"/>
      <c r="AN72" s="78"/>
    </row>
    <row r="73" spans="2:40" ht="18" customHeight="1" x14ac:dyDescent="0.2">
      <c r="B73" s="9">
        <v>14</v>
      </c>
      <c r="C73" s="120"/>
      <c r="D73" s="120"/>
      <c r="E73" s="120"/>
      <c r="F73" s="120"/>
      <c r="G73" s="120"/>
      <c r="H73" s="120"/>
      <c r="I73" s="120"/>
      <c r="J73" s="1"/>
      <c r="K73" s="59"/>
      <c r="L73" s="1"/>
      <c r="M73" s="1"/>
      <c r="N73" s="1"/>
      <c r="O73" s="1"/>
      <c r="P73" s="1"/>
      <c r="Q73" s="1"/>
      <c r="R73" s="1"/>
      <c r="S73" s="1"/>
      <c r="T73" s="78"/>
      <c r="V73" s="9">
        <v>14</v>
      </c>
      <c r="W73" s="120"/>
      <c r="X73" s="120"/>
      <c r="Y73" s="120"/>
      <c r="Z73" s="120"/>
      <c r="AA73" s="120"/>
      <c r="AB73" s="120"/>
      <c r="AC73" s="120"/>
      <c r="AD73" s="1"/>
      <c r="AE73" s="59"/>
      <c r="AF73" s="1"/>
      <c r="AG73" s="1"/>
      <c r="AH73" s="1"/>
      <c r="AI73" s="1"/>
      <c r="AJ73" s="1"/>
      <c r="AK73" s="1"/>
      <c r="AL73" s="1"/>
      <c r="AM73" s="1"/>
      <c r="AN73" s="78"/>
    </row>
    <row r="74" spans="2:40" ht="18" customHeight="1" x14ac:dyDescent="0.2">
      <c r="B74" s="9">
        <v>15</v>
      </c>
      <c r="C74" s="120"/>
      <c r="D74" s="120"/>
      <c r="E74" s="120"/>
      <c r="F74" s="120"/>
      <c r="G74" s="120"/>
      <c r="H74" s="120"/>
      <c r="I74" s="120"/>
      <c r="J74" s="1"/>
      <c r="K74" s="59"/>
      <c r="L74" s="1"/>
      <c r="M74" s="1"/>
      <c r="N74" s="1"/>
      <c r="O74" s="1"/>
      <c r="P74" s="1"/>
      <c r="Q74" s="1"/>
      <c r="R74" s="1"/>
      <c r="S74" s="1"/>
      <c r="T74" s="78"/>
      <c r="V74" s="9">
        <v>15</v>
      </c>
      <c r="W74" s="120"/>
      <c r="X74" s="120"/>
      <c r="Y74" s="120"/>
      <c r="Z74" s="120"/>
      <c r="AA74" s="120"/>
      <c r="AB74" s="120"/>
      <c r="AC74" s="120"/>
      <c r="AD74" s="1"/>
      <c r="AE74" s="59"/>
      <c r="AF74" s="1"/>
      <c r="AG74" s="1"/>
      <c r="AH74" s="1"/>
      <c r="AI74" s="1"/>
      <c r="AJ74" s="1"/>
      <c r="AK74" s="1"/>
      <c r="AL74" s="1"/>
      <c r="AM74" s="1"/>
      <c r="AN74" s="78"/>
    </row>
    <row r="75" spans="2:40" ht="18" customHeight="1" x14ac:dyDescent="0.2">
      <c r="B75" s="9" t="s">
        <v>44</v>
      </c>
      <c r="C75" s="120"/>
      <c r="D75" s="120"/>
      <c r="E75" s="120"/>
      <c r="F75" s="120"/>
      <c r="G75" s="120"/>
      <c r="H75" s="120"/>
      <c r="I75" s="120"/>
      <c r="J75" s="1"/>
      <c r="K75" s="59"/>
      <c r="L75" s="1"/>
      <c r="M75" s="1"/>
      <c r="N75" s="1"/>
      <c r="O75" s="1"/>
      <c r="P75" s="1"/>
      <c r="Q75" s="1"/>
      <c r="R75" s="1"/>
      <c r="S75" s="1"/>
      <c r="T75" s="78"/>
      <c r="V75" s="9" t="s">
        <v>44</v>
      </c>
      <c r="W75" s="120"/>
      <c r="X75" s="120"/>
      <c r="Y75" s="120"/>
      <c r="Z75" s="120"/>
      <c r="AA75" s="120"/>
      <c r="AB75" s="120"/>
      <c r="AC75" s="120"/>
      <c r="AD75" s="1"/>
      <c r="AE75" s="59"/>
      <c r="AF75" s="1"/>
      <c r="AG75" s="1"/>
      <c r="AH75" s="1"/>
      <c r="AI75" s="1"/>
      <c r="AJ75" s="1"/>
      <c r="AK75" s="1"/>
      <c r="AL75" s="1"/>
      <c r="AM75" s="1"/>
      <c r="AN75" s="78"/>
    </row>
    <row r="76" spans="2:40" ht="18" customHeight="1" x14ac:dyDescent="0.2">
      <c r="B76" s="1"/>
      <c r="C76" s="81"/>
      <c r="D76" s="81"/>
      <c r="E76" s="81"/>
      <c r="F76" s="81"/>
      <c r="G76" s="83"/>
      <c r="H76" s="82" t="s">
        <v>172</v>
      </c>
      <c r="I76" s="120"/>
      <c r="J76" s="1"/>
      <c r="K76" s="59"/>
      <c r="L76" s="1"/>
      <c r="M76" s="1"/>
      <c r="N76" s="1"/>
      <c r="O76" s="1"/>
      <c r="P76" s="1"/>
      <c r="Q76" s="1"/>
      <c r="R76" s="1"/>
      <c r="S76" s="1"/>
      <c r="T76" s="78"/>
      <c r="V76" s="1"/>
      <c r="W76" s="81"/>
      <c r="X76" s="81"/>
      <c r="Y76" s="81"/>
      <c r="Z76" s="81"/>
      <c r="AA76" s="83"/>
      <c r="AB76" s="82" t="s">
        <v>172</v>
      </c>
      <c r="AC76" s="120"/>
      <c r="AD76" s="1"/>
      <c r="AE76" s="59"/>
      <c r="AF76" s="1"/>
      <c r="AG76" s="1"/>
      <c r="AH76" s="1"/>
      <c r="AI76" s="1"/>
      <c r="AJ76" s="1"/>
      <c r="AK76" s="1"/>
      <c r="AL76" s="1"/>
      <c r="AM76" s="1"/>
      <c r="AN76" s="78"/>
    </row>
    <row r="77" spans="2:40" ht="18" customHeight="1" x14ac:dyDescent="0.2">
      <c r="B77" s="1"/>
      <c r="C77" s="81"/>
      <c r="D77" s="81"/>
      <c r="E77" s="81"/>
      <c r="F77" s="81"/>
      <c r="G77" s="80"/>
      <c r="H77" s="79" t="s">
        <v>173</v>
      </c>
      <c r="I77" s="120"/>
      <c r="J77" s="1"/>
      <c r="K77" s="59"/>
      <c r="L77" s="1"/>
      <c r="M77" s="1"/>
      <c r="N77" s="1"/>
      <c r="O77" s="1"/>
      <c r="P77" s="1"/>
      <c r="Q77" s="1"/>
      <c r="R77" s="1"/>
      <c r="S77" s="1"/>
      <c r="T77" s="78"/>
      <c r="V77" s="1"/>
      <c r="W77" s="81"/>
      <c r="X77" s="81"/>
      <c r="Y77" s="81"/>
      <c r="Z77" s="81"/>
      <c r="AA77" s="80"/>
      <c r="AB77" s="79" t="s">
        <v>173</v>
      </c>
      <c r="AC77" s="120"/>
      <c r="AD77" s="1"/>
      <c r="AE77" s="59"/>
      <c r="AF77" s="1"/>
      <c r="AG77" s="1"/>
      <c r="AH77" s="1"/>
      <c r="AI77" s="1"/>
      <c r="AJ77" s="1"/>
      <c r="AK77" s="1"/>
      <c r="AL77" s="1"/>
      <c r="AM77" s="1"/>
      <c r="AN77" s="78"/>
    </row>
    <row r="78" spans="2:40" ht="18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59"/>
      <c r="L78" s="1"/>
      <c r="M78" s="1"/>
      <c r="N78" s="1"/>
      <c r="O78" s="1"/>
      <c r="P78" s="1"/>
      <c r="Q78" s="1"/>
      <c r="R78" s="1"/>
      <c r="S78" s="1"/>
      <c r="T78" s="78"/>
      <c r="V78" s="1"/>
      <c r="W78" s="1"/>
      <c r="X78" s="1"/>
      <c r="Y78" s="1"/>
      <c r="Z78" s="1"/>
      <c r="AA78" s="1"/>
      <c r="AB78" s="1"/>
      <c r="AC78" s="1"/>
      <c r="AD78" s="1"/>
      <c r="AE78" s="59"/>
      <c r="AF78" s="1"/>
      <c r="AG78" s="1"/>
      <c r="AH78" s="1"/>
      <c r="AI78" s="1"/>
      <c r="AJ78" s="1"/>
      <c r="AK78" s="1"/>
      <c r="AL78" s="1"/>
      <c r="AM78" s="1"/>
      <c r="AN78" s="78"/>
    </row>
    <row r="79" spans="2:40" ht="18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59"/>
      <c r="L79" s="1"/>
      <c r="M79" s="1"/>
      <c r="N79" s="1"/>
      <c r="O79" s="1"/>
      <c r="P79" s="1"/>
      <c r="Q79" s="1"/>
      <c r="R79" s="1"/>
      <c r="S79" s="1"/>
      <c r="T79" s="78"/>
      <c r="V79" s="1"/>
      <c r="W79" s="1"/>
      <c r="X79" s="1"/>
      <c r="Y79" s="1"/>
      <c r="Z79" s="1"/>
      <c r="AA79" s="1"/>
      <c r="AB79" s="1"/>
      <c r="AC79" s="1"/>
      <c r="AD79" s="1"/>
      <c r="AE79" s="59"/>
      <c r="AF79" s="1"/>
      <c r="AG79" s="1"/>
      <c r="AH79" s="1"/>
      <c r="AI79" s="1"/>
      <c r="AJ79" s="1"/>
      <c r="AK79" s="1"/>
      <c r="AL79" s="1"/>
      <c r="AM79" s="1"/>
      <c r="AN79" s="78"/>
    </row>
    <row r="80" spans="2:40" ht="18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59"/>
      <c r="L80" s="1"/>
      <c r="M80" s="1"/>
      <c r="N80" s="1"/>
      <c r="O80" s="1"/>
      <c r="P80" s="1"/>
      <c r="Q80" s="1"/>
      <c r="R80" s="1"/>
      <c r="S80" s="1"/>
      <c r="T80" s="78"/>
      <c r="V80" s="1"/>
      <c r="W80" s="1"/>
      <c r="X80" s="1"/>
      <c r="Y80" s="1"/>
      <c r="Z80" s="1"/>
      <c r="AA80" s="1"/>
      <c r="AB80" s="1"/>
      <c r="AC80" s="1"/>
      <c r="AD80" s="1"/>
      <c r="AE80" s="59"/>
      <c r="AF80" s="1"/>
      <c r="AG80" s="1"/>
      <c r="AH80" s="1"/>
      <c r="AI80" s="1"/>
      <c r="AJ80" s="1"/>
      <c r="AK80" s="1"/>
      <c r="AL80" s="1"/>
      <c r="AM80" s="1"/>
      <c r="AN80" s="78"/>
    </row>
    <row r="81" spans="2:40" ht="18" customHeight="1" x14ac:dyDescent="0.2">
      <c r="K81" s="59"/>
      <c r="L81" s="1"/>
      <c r="M81" s="1"/>
      <c r="N81" s="1"/>
      <c r="O81" s="1"/>
      <c r="P81" s="1"/>
      <c r="Q81" s="1"/>
      <c r="R81" s="1"/>
      <c r="T81" s="76"/>
      <c r="AE81" s="59"/>
      <c r="AF81" s="1"/>
      <c r="AG81" s="1"/>
      <c r="AH81" s="1"/>
      <c r="AI81" s="1"/>
      <c r="AJ81" s="1"/>
      <c r="AK81" s="1"/>
      <c r="AL81" s="1"/>
      <c r="AN81" s="76"/>
    </row>
    <row r="82" spans="2:40" ht="18" customHeight="1" x14ac:dyDescent="0.2">
      <c r="K82" s="57"/>
      <c r="L82" s="56"/>
      <c r="M82" s="55"/>
      <c r="N82" s="56"/>
      <c r="S82" s="54"/>
      <c r="T82" s="76"/>
      <c r="AE82" s="57"/>
      <c r="AF82" s="56"/>
      <c r="AG82" s="55"/>
      <c r="AH82" s="56"/>
      <c r="AM82" s="54"/>
      <c r="AN82" s="76"/>
    </row>
    <row r="83" spans="2:40" ht="18" customHeight="1" x14ac:dyDescent="0.2">
      <c r="K83" s="77"/>
      <c r="T83" s="76"/>
      <c r="AE83" s="77"/>
      <c r="AN83" s="76"/>
    </row>
    <row r="84" spans="2:40" ht="18" customHeight="1" thickBot="1" x14ac:dyDescent="0.25">
      <c r="K84" s="75"/>
      <c r="L84" s="72"/>
      <c r="M84" s="72"/>
      <c r="N84" s="72"/>
      <c r="O84" s="74" t="s">
        <v>174</v>
      </c>
      <c r="P84" s="73">
        <f>I76</f>
        <v>0</v>
      </c>
      <c r="Q84" s="72"/>
      <c r="R84" s="72"/>
      <c r="S84" s="72"/>
      <c r="T84" s="71"/>
      <c r="AE84" s="75"/>
      <c r="AF84" s="72"/>
      <c r="AG84" s="72"/>
      <c r="AH84" s="72"/>
      <c r="AI84" s="74" t="s">
        <v>174</v>
      </c>
      <c r="AJ84" s="73">
        <f>AC76</f>
        <v>0</v>
      </c>
      <c r="AK84" s="72"/>
      <c r="AL84" s="72"/>
      <c r="AM84" s="72"/>
      <c r="AN84" s="71"/>
    </row>
    <row r="85" spans="2:40" ht="18" customHeight="1" thickBot="1" x14ac:dyDescent="0.25"/>
    <row r="86" spans="2:40" ht="18" customHeight="1" x14ac:dyDescent="0.25">
      <c r="B86" s="268" t="s">
        <v>179</v>
      </c>
      <c r="C86" s="258"/>
      <c r="D86" s="258"/>
      <c r="E86" s="258"/>
      <c r="F86" s="258"/>
      <c r="G86" s="258"/>
      <c r="H86" s="258"/>
      <c r="I86" s="259"/>
      <c r="K86" s="288" t="str">
        <f>B86</f>
        <v>DHA-PIONA Reactor-4 Hydrocarbon TLP</v>
      </c>
      <c r="L86" s="286"/>
      <c r="M86" s="286"/>
      <c r="N86" s="286"/>
      <c r="O86" s="286"/>
      <c r="P86" s="286"/>
      <c r="Q86" s="286"/>
      <c r="R86" s="286"/>
      <c r="S86" s="286"/>
      <c r="T86" s="289"/>
      <c r="V86" s="268" t="s">
        <v>180</v>
      </c>
      <c r="W86" s="258"/>
      <c r="X86" s="258"/>
      <c r="Y86" s="258"/>
      <c r="Z86" s="258"/>
      <c r="AA86" s="258"/>
      <c r="AB86" s="258"/>
      <c r="AC86" s="259"/>
      <c r="AE86" s="288" t="str">
        <f>V86</f>
        <v>DHA-PIONA Reactor-8 Hydrocarbon TLP</v>
      </c>
      <c r="AF86" s="286"/>
      <c r="AG86" s="286"/>
      <c r="AH86" s="286"/>
      <c r="AI86" s="286"/>
      <c r="AJ86" s="286"/>
      <c r="AK86" s="286"/>
      <c r="AL86" s="286"/>
      <c r="AM86" s="286"/>
      <c r="AN86" s="289"/>
    </row>
    <row r="87" spans="2:40" ht="18" customHeight="1" thickBot="1" x14ac:dyDescent="0.25">
      <c r="B87" s="9" t="s">
        <v>165</v>
      </c>
      <c r="C87" s="10" t="s">
        <v>166</v>
      </c>
      <c r="D87" s="10" t="s">
        <v>167</v>
      </c>
      <c r="E87" s="10" t="s">
        <v>168</v>
      </c>
      <c r="F87" s="10" t="s">
        <v>169</v>
      </c>
      <c r="G87" s="10" t="s">
        <v>170</v>
      </c>
      <c r="H87" s="10" t="s">
        <v>171</v>
      </c>
      <c r="I87" s="10" t="s">
        <v>44</v>
      </c>
      <c r="K87" s="290"/>
      <c r="L87" s="291"/>
      <c r="M87" s="291"/>
      <c r="N87" s="291"/>
      <c r="O87" s="291"/>
      <c r="P87" s="291"/>
      <c r="Q87" s="291"/>
      <c r="R87" s="291"/>
      <c r="S87" s="291"/>
      <c r="T87" s="292"/>
      <c r="V87" s="9" t="s">
        <v>165</v>
      </c>
      <c r="W87" s="10" t="s">
        <v>166</v>
      </c>
      <c r="X87" s="10" t="s">
        <v>167</v>
      </c>
      <c r="Y87" s="10" t="s">
        <v>168</v>
      </c>
      <c r="Z87" s="10" t="s">
        <v>169</v>
      </c>
      <c r="AA87" s="10" t="s">
        <v>170</v>
      </c>
      <c r="AB87" s="10" t="s">
        <v>171</v>
      </c>
      <c r="AC87" s="10" t="s">
        <v>44</v>
      </c>
      <c r="AE87" s="290"/>
      <c r="AF87" s="291"/>
      <c r="AG87" s="291"/>
      <c r="AH87" s="291"/>
      <c r="AI87" s="291"/>
      <c r="AJ87" s="291"/>
      <c r="AK87" s="291"/>
      <c r="AL87" s="291"/>
      <c r="AM87" s="291"/>
      <c r="AN87" s="292"/>
    </row>
    <row r="88" spans="2:40" ht="18" customHeight="1" x14ac:dyDescent="0.2">
      <c r="B88" s="9">
        <v>1</v>
      </c>
      <c r="C88" s="120"/>
      <c r="D88" s="120"/>
      <c r="E88" s="120"/>
      <c r="F88" s="120"/>
      <c r="G88" s="120"/>
      <c r="H88" s="120"/>
      <c r="I88" s="120"/>
      <c r="K88" s="67" t="s">
        <v>160</v>
      </c>
      <c r="L88" s="65" t="str">
        <f>Run_Plan!N14</f>
        <v>R4 Catalyst Cu5CBV500</v>
      </c>
      <c r="M88" s="66"/>
      <c r="N88" s="65"/>
      <c r="O88" s="63"/>
      <c r="P88" s="66" t="s">
        <v>161</v>
      </c>
      <c r="Q88" s="85" t="str">
        <f>Liq!$B$4</f>
        <v>C1-S1</v>
      </c>
      <c r="R88" s="64"/>
      <c r="S88" s="63"/>
      <c r="T88" s="84"/>
      <c r="V88" s="9">
        <v>1</v>
      </c>
      <c r="W88" s="120"/>
      <c r="X88" s="120"/>
      <c r="Y88" s="120"/>
      <c r="Z88" s="120"/>
      <c r="AA88" s="120"/>
      <c r="AB88" s="120"/>
      <c r="AC88" s="120"/>
      <c r="AE88" s="67" t="s">
        <v>160</v>
      </c>
      <c r="AF88" s="65" t="str">
        <f>Run_Plan!N21</f>
        <v>R8 Catalyst Ni5CBV500</v>
      </c>
      <c r="AG88" s="66"/>
      <c r="AH88" s="65"/>
      <c r="AI88" s="63"/>
      <c r="AJ88" s="66" t="s">
        <v>161</v>
      </c>
      <c r="AK88" s="85" t="str">
        <f>Liq!$B$4</f>
        <v>C1-S1</v>
      </c>
      <c r="AL88" s="64"/>
      <c r="AM88" s="63"/>
      <c r="AN88" s="84"/>
    </row>
    <row r="89" spans="2:40" ht="18" customHeight="1" x14ac:dyDescent="0.2">
      <c r="B89" s="9">
        <v>2</v>
      </c>
      <c r="C89" s="120"/>
      <c r="D89" s="120"/>
      <c r="E89" s="120"/>
      <c r="F89" s="120"/>
      <c r="G89" s="120"/>
      <c r="H89" s="120"/>
      <c r="I89" s="120"/>
      <c r="J89" s="1"/>
      <c r="K89" s="59"/>
      <c r="L89" s="1"/>
      <c r="M89" s="1"/>
      <c r="N89" s="1"/>
      <c r="O89" s="1"/>
      <c r="P89" s="1"/>
      <c r="Q89" s="1"/>
      <c r="R89" s="1"/>
      <c r="S89" s="1"/>
      <c r="T89" s="78"/>
      <c r="V89" s="9">
        <v>2</v>
      </c>
      <c r="W89" s="120"/>
      <c r="X89" s="120"/>
      <c r="Y89" s="120"/>
      <c r="Z89" s="120"/>
      <c r="AA89" s="120"/>
      <c r="AB89" s="120"/>
      <c r="AC89" s="120"/>
      <c r="AD89" s="1"/>
      <c r="AE89" s="59"/>
      <c r="AF89" s="1"/>
      <c r="AG89" s="1"/>
      <c r="AH89" s="1"/>
      <c r="AI89" s="1"/>
      <c r="AJ89" s="1"/>
      <c r="AK89" s="1"/>
      <c r="AL89" s="1"/>
      <c r="AM89" s="1"/>
      <c r="AN89" s="78"/>
    </row>
    <row r="90" spans="2:40" ht="18" customHeight="1" x14ac:dyDescent="0.2">
      <c r="B90" s="9">
        <v>3</v>
      </c>
      <c r="C90" s="120"/>
      <c r="D90" s="120"/>
      <c r="E90" s="120"/>
      <c r="F90" s="120"/>
      <c r="G90" s="120"/>
      <c r="H90" s="120"/>
      <c r="I90" s="120"/>
      <c r="J90" s="1"/>
      <c r="K90" s="59"/>
      <c r="L90" s="1"/>
      <c r="M90" s="1"/>
      <c r="N90" s="1"/>
      <c r="O90" s="1"/>
      <c r="P90" s="1"/>
      <c r="Q90" s="1"/>
      <c r="R90" s="1"/>
      <c r="S90" s="1"/>
      <c r="T90" s="78"/>
      <c r="V90" s="9">
        <v>3</v>
      </c>
      <c r="W90" s="120"/>
      <c r="X90" s="120"/>
      <c r="Y90" s="120"/>
      <c r="Z90" s="120"/>
      <c r="AA90" s="120"/>
      <c r="AB90" s="120"/>
      <c r="AC90" s="120"/>
      <c r="AD90" s="1"/>
      <c r="AE90" s="59"/>
      <c r="AF90" s="1"/>
      <c r="AG90" s="1"/>
      <c r="AH90" s="1"/>
      <c r="AI90" s="1"/>
      <c r="AJ90" s="1"/>
      <c r="AK90" s="1"/>
      <c r="AL90" s="1"/>
      <c r="AM90" s="1"/>
      <c r="AN90" s="78"/>
    </row>
    <row r="91" spans="2:40" ht="18" customHeight="1" x14ac:dyDescent="0.2">
      <c r="B91" s="9">
        <v>4</v>
      </c>
      <c r="C91" s="120"/>
      <c r="D91" s="120"/>
      <c r="E91" s="120"/>
      <c r="F91" s="120"/>
      <c r="G91" s="120"/>
      <c r="H91" s="120"/>
      <c r="I91" s="120"/>
      <c r="J91" s="1"/>
      <c r="K91" s="59"/>
      <c r="L91" s="1"/>
      <c r="M91" s="1"/>
      <c r="N91" s="1"/>
      <c r="O91" s="1"/>
      <c r="P91" s="1"/>
      <c r="Q91" s="1"/>
      <c r="R91" s="1"/>
      <c r="S91" s="1"/>
      <c r="T91" s="78"/>
      <c r="V91" s="9">
        <v>4</v>
      </c>
      <c r="W91" s="120"/>
      <c r="X91" s="120"/>
      <c r="Y91" s="120"/>
      <c r="Z91" s="120"/>
      <c r="AA91" s="120"/>
      <c r="AB91" s="120"/>
      <c r="AC91" s="120"/>
      <c r="AD91" s="1"/>
      <c r="AE91" s="59"/>
      <c r="AF91" s="1"/>
      <c r="AG91" s="1"/>
      <c r="AH91" s="1"/>
      <c r="AI91" s="1"/>
      <c r="AJ91" s="1"/>
      <c r="AK91" s="1"/>
      <c r="AL91" s="1"/>
      <c r="AM91" s="1"/>
      <c r="AN91" s="78"/>
    </row>
    <row r="92" spans="2:40" ht="18" customHeight="1" x14ac:dyDescent="0.2">
      <c r="B92" s="9">
        <v>5</v>
      </c>
      <c r="C92" s="120"/>
      <c r="D92" s="120"/>
      <c r="E92" s="120"/>
      <c r="F92" s="120"/>
      <c r="G92" s="120"/>
      <c r="H92" s="120"/>
      <c r="I92" s="120"/>
      <c r="J92" s="1"/>
      <c r="K92" s="59"/>
      <c r="L92" s="1"/>
      <c r="M92" s="1"/>
      <c r="N92" s="1"/>
      <c r="O92" s="1"/>
      <c r="P92" s="1"/>
      <c r="Q92" s="1"/>
      <c r="R92" s="1"/>
      <c r="S92" s="1"/>
      <c r="T92" s="78"/>
      <c r="V92" s="9">
        <v>5</v>
      </c>
      <c r="W92" s="120"/>
      <c r="X92" s="120"/>
      <c r="Y92" s="120"/>
      <c r="Z92" s="120"/>
      <c r="AA92" s="120"/>
      <c r="AB92" s="120"/>
      <c r="AC92" s="120"/>
      <c r="AD92" s="1"/>
      <c r="AE92" s="59"/>
      <c r="AF92" s="1"/>
      <c r="AG92" s="1"/>
      <c r="AH92" s="1"/>
      <c r="AI92" s="1"/>
      <c r="AJ92" s="1"/>
      <c r="AK92" s="1"/>
      <c r="AL92" s="1"/>
      <c r="AM92" s="1"/>
      <c r="AN92" s="78"/>
    </row>
    <row r="93" spans="2:40" ht="18" customHeight="1" x14ac:dyDescent="0.2">
      <c r="B93" s="9">
        <v>6</v>
      </c>
      <c r="C93" s="120"/>
      <c r="D93" s="120"/>
      <c r="E93" s="120"/>
      <c r="F93" s="120"/>
      <c r="G93" s="120"/>
      <c r="H93" s="120"/>
      <c r="I93" s="120"/>
      <c r="J93" s="1"/>
      <c r="K93" s="59"/>
      <c r="L93" s="1"/>
      <c r="M93" s="1"/>
      <c r="N93" s="1"/>
      <c r="O93" s="1"/>
      <c r="P93" s="1"/>
      <c r="Q93" s="1"/>
      <c r="R93" s="1"/>
      <c r="S93" s="1"/>
      <c r="T93" s="78"/>
      <c r="V93" s="9">
        <v>6</v>
      </c>
      <c r="W93" s="120"/>
      <c r="X93" s="120"/>
      <c r="Y93" s="120"/>
      <c r="Z93" s="120"/>
      <c r="AA93" s="120"/>
      <c r="AB93" s="120"/>
      <c r="AC93" s="120"/>
      <c r="AD93" s="1"/>
      <c r="AE93" s="59"/>
      <c r="AF93" s="1"/>
      <c r="AG93" s="1"/>
      <c r="AH93" s="1"/>
      <c r="AI93" s="1"/>
      <c r="AJ93" s="1"/>
      <c r="AK93" s="1"/>
      <c r="AL93" s="1"/>
      <c r="AM93" s="1"/>
      <c r="AN93" s="78"/>
    </row>
    <row r="94" spans="2:40" ht="18" customHeight="1" x14ac:dyDescent="0.2">
      <c r="B94" s="9">
        <v>7</v>
      </c>
      <c r="C94" s="120"/>
      <c r="D94" s="120"/>
      <c r="E94" s="120"/>
      <c r="F94" s="120"/>
      <c r="G94" s="120"/>
      <c r="H94" s="120"/>
      <c r="I94" s="120"/>
      <c r="J94" s="1"/>
      <c r="K94" s="59"/>
      <c r="L94" s="1"/>
      <c r="M94" s="1"/>
      <c r="N94" s="1"/>
      <c r="O94" s="1"/>
      <c r="P94" s="1"/>
      <c r="Q94" s="1"/>
      <c r="R94" s="1"/>
      <c r="S94" s="1"/>
      <c r="T94" s="78"/>
      <c r="V94" s="9">
        <v>7</v>
      </c>
      <c r="W94" s="120"/>
      <c r="X94" s="120"/>
      <c r="Y94" s="120"/>
      <c r="Z94" s="120"/>
      <c r="AA94" s="120"/>
      <c r="AB94" s="120"/>
      <c r="AC94" s="120"/>
      <c r="AD94" s="1"/>
      <c r="AE94" s="59"/>
      <c r="AF94" s="1"/>
      <c r="AG94" s="1"/>
      <c r="AH94" s="1"/>
      <c r="AI94" s="1"/>
      <c r="AJ94" s="1"/>
      <c r="AK94" s="1"/>
      <c r="AL94" s="1"/>
      <c r="AM94" s="1"/>
      <c r="AN94" s="78"/>
    </row>
    <row r="95" spans="2:40" ht="18" customHeight="1" x14ac:dyDescent="0.2">
      <c r="B95" s="9">
        <v>8</v>
      </c>
      <c r="C95" s="120"/>
      <c r="D95" s="120"/>
      <c r="E95" s="120"/>
      <c r="F95" s="120"/>
      <c r="G95" s="120"/>
      <c r="H95" s="120"/>
      <c r="I95" s="120"/>
      <c r="J95" s="1"/>
      <c r="K95" s="59"/>
      <c r="L95" s="1"/>
      <c r="M95" s="1"/>
      <c r="N95" s="1"/>
      <c r="O95" s="1"/>
      <c r="P95" s="1"/>
      <c r="Q95" s="1"/>
      <c r="R95" s="1"/>
      <c r="S95" s="1"/>
      <c r="T95" s="78"/>
      <c r="V95" s="9">
        <v>8</v>
      </c>
      <c r="W95" s="120"/>
      <c r="X95" s="120"/>
      <c r="Y95" s="120"/>
      <c r="Z95" s="120"/>
      <c r="AA95" s="120"/>
      <c r="AB95" s="120"/>
      <c r="AC95" s="120"/>
      <c r="AD95" s="1"/>
      <c r="AE95" s="59"/>
      <c r="AF95" s="1"/>
      <c r="AG95" s="1"/>
      <c r="AH95" s="1"/>
      <c r="AI95" s="1"/>
      <c r="AJ95" s="1"/>
      <c r="AK95" s="1"/>
      <c r="AL95" s="1"/>
      <c r="AM95" s="1"/>
      <c r="AN95" s="78"/>
    </row>
    <row r="96" spans="2:40" ht="18" customHeight="1" x14ac:dyDescent="0.2">
      <c r="B96" s="9">
        <v>9</v>
      </c>
      <c r="C96" s="120"/>
      <c r="D96" s="120"/>
      <c r="E96" s="120"/>
      <c r="F96" s="120"/>
      <c r="G96" s="120"/>
      <c r="H96" s="120"/>
      <c r="I96" s="120"/>
      <c r="J96" s="1"/>
      <c r="K96" s="59"/>
      <c r="L96" s="1"/>
      <c r="M96" s="1"/>
      <c r="N96" s="1"/>
      <c r="O96" s="1"/>
      <c r="P96" s="1"/>
      <c r="Q96" s="1"/>
      <c r="R96" s="1"/>
      <c r="S96" s="1"/>
      <c r="T96" s="78"/>
      <c r="V96" s="9">
        <v>9</v>
      </c>
      <c r="W96" s="120"/>
      <c r="X96" s="120"/>
      <c r="Y96" s="120"/>
      <c r="Z96" s="120"/>
      <c r="AA96" s="120"/>
      <c r="AB96" s="120"/>
      <c r="AC96" s="120"/>
      <c r="AD96" s="1"/>
      <c r="AE96" s="59"/>
      <c r="AF96" s="1"/>
      <c r="AG96" s="1"/>
      <c r="AH96" s="1"/>
      <c r="AI96" s="1"/>
      <c r="AJ96" s="1"/>
      <c r="AK96" s="1"/>
      <c r="AL96" s="1"/>
      <c r="AM96" s="1"/>
      <c r="AN96" s="78"/>
    </row>
    <row r="97" spans="2:40" ht="18" customHeight="1" x14ac:dyDescent="0.2">
      <c r="B97" s="9">
        <v>10</v>
      </c>
      <c r="C97" s="120"/>
      <c r="D97" s="120"/>
      <c r="E97" s="120"/>
      <c r="F97" s="120"/>
      <c r="G97" s="120"/>
      <c r="H97" s="120"/>
      <c r="I97" s="120"/>
      <c r="J97" s="1"/>
      <c r="K97" s="59"/>
      <c r="L97" s="1"/>
      <c r="M97" s="1"/>
      <c r="N97" s="1"/>
      <c r="O97" s="1"/>
      <c r="P97" s="1"/>
      <c r="Q97" s="1"/>
      <c r="R97" s="1"/>
      <c r="S97" s="1"/>
      <c r="T97" s="78"/>
      <c r="V97" s="9">
        <v>10</v>
      </c>
      <c r="W97" s="120"/>
      <c r="X97" s="120"/>
      <c r="Y97" s="120"/>
      <c r="Z97" s="120"/>
      <c r="AA97" s="120"/>
      <c r="AB97" s="120"/>
      <c r="AC97" s="120"/>
      <c r="AD97" s="1"/>
      <c r="AE97" s="59"/>
      <c r="AF97" s="1"/>
      <c r="AG97" s="1"/>
      <c r="AH97" s="1"/>
      <c r="AI97" s="1"/>
      <c r="AJ97" s="1"/>
      <c r="AK97" s="1"/>
      <c r="AL97" s="1"/>
      <c r="AM97" s="1"/>
      <c r="AN97" s="78"/>
    </row>
    <row r="98" spans="2:40" ht="18" customHeight="1" x14ac:dyDescent="0.2">
      <c r="B98" s="9">
        <v>11</v>
      </c>
      <c r="C98" s="120"/>
      <c r="D98" s="120"/>
      <c r="E98" s="120"/>
      <c r="F98" s="120"/>
      <c r="G98" s="120"/>
      <c r="H98" s="120"/>
      <c r="I98" s="120"/>
      <c r="J98" s="1"/>
      <c r="K98" s="59"/>
      <c r="L98" s="1"/>
      <c r="M98" s="1"/>
      <c r="N98" s="1"/>
      <c r="O98" s="1"/>
      <c r="P98" s="1"/>
      <c r="Q98" s="1"/>
      <c r="R98" s="1"/>
      <c r="S98" s="1"/>
      <c r="T98" s="78"/>
      <c r="V98" s="9">
        <v>11</v>
      </c>
      <c r="W98" s="120"/>
      <c r="X98" s="120"/>
      <c r="Y98" s="120"/>
      <c r="Z98" s="120"/>
      <c r="AA98" s="120"/>
      <c r="AB98" s="120"/>
      <c r="AC98" s="120"/>
      <c r="AD98" s="1"/>
      <c r="AE98" s="59"/>
      <c r="AF98" s="1"/>
      <c r="AG98" s="1"/>
      <c r="AH98" s="1"/>
      <c r="AI98" s="1"/>
      <c r="AJ98" s="1"/>
      <c r="AK98" s="1"/>
      <c r="AL98" s="1"/>
      <c r="AM98" s="1"/>
      <c r="AN98" s="78"/>
    </row>
    <row r="99" spans="2:40" ht="18" customHeight="1" x14ac:dyDescent="0.2">
      <c r="B99" s="9">
        <v>12</v>
      </c>
      <c r="C99" s="120"/>
      <c r="D99" s="120"/>
      <c r="E99" s="120"/>
      <c r="F99" s="120"/>
      <c r="G99" s="120"/>
      <c r="H99" s="120"/>
      <c r="I99" s="120"/>
      <c r="J99" s="1"/>
      <c r="K99" s="59"/>
      <c r="L99" s="1"/>
      <c r="M99" s="1"/>
      <c r="N99" s="1"/>
      <c r="O99" s="1"/>
      <c r="P99" s="1"/>
      <c r="Q99" s="1"/>
      <c r="R99" s="1"/>
      <c r="S99" s="1"/>
      <c r="T99" s="78"/>
      <c r="V99" s="9">
        <v>12</v>
      </c>
      <c r="W99" s="120"/>
      <c r="X99" s="120"/>
      <c r="Y99" s="120"/>
      <c r="Z99" s="120"/>
      <c r="AA99" s="120"/>
      <c r="AB99" s="120"/>
      <c r="AC99" s="120"/>
      <c r="AD99" s="1"/>
      <c r="AE99" s="59"/>
      <c r="AF99" s="1"/>
      <c r="AG99" s="1"/>
      <c r="AH99" s="1"/>
      <c r="AI99" s="1"/>
      <c r="AJ99" s="1"/>
      <c r="AK99" s="1"/>
      <c r="AL99" s="1"/>
      <c r="AM99" s="1"/>
      <c r="AN99" s="78"/>
    </row>
    <row r="100" spans="2:40" ht="18" customHeight="1" x14ac:dyDescent="0.2">
      <c r="B100" s="9">
        <v>13</v>
      </c>
      <c r="C100" s="120"/>
      <c r="D100" s="120"/>
      <c r="E100" s="120"/>
      <c r="F100" s="120"/>
      <c r="G100" s="120"/>
      <c r="H100" s="120"/>
      <c r="I100" s="120"/>
      <c r="J100" s="1"/>
      <c r="K100" s="59"/>
      <c r="L100" s="1"/>
      <c r="M100" s="1"/>
      <c r="N100" s="1"/>
      <c r="O100" s="1"/>
      <c r="P100" s="1"/>
      <c r="Q100" s="1"/>
      <c r="R100" s="1"/>
      <c r="S100" s="1"/>
      <c r="T100" s="78"/>
      <c r="V100" s="9">
        <v>13</v>
      </c>
      <c r="W100" s="120"/>
      <c r="X100" s="120"/>
      <c r="Y100" s="120"/>
      <c r="Z100" s="120"/>
      <c r="AA100" s="120"/>
      <c r="AB100" s="120"/>
      <c r="AC100" s="120"/>
      <c r="AD100" s="1"/>
      <c r="AE100" s="59"/>
      <c r="AF100" s="1"/>
      <c r="AG100" s="1"/>
      <c r="AH100" s="1"/>
      <c r="AI100" s="1"/>
      <c r="AJ100" s="1"/>
      <c r="AK100" s="1"/>
      <c r="AL100" s="1"/>
      <c r="AM100" s="1"/>
      <c r="AN100" s="78"/>
    </row>
    <row r="101" spans="2:40" ht="18" customHeight="1" x14ac:dyDescent="0.2">
      <c r="B101" s="9">
        <v>14</v>
      </c>
      <c r="C101" s="120"/>
      <c r="D101" s="120"/>
      <c r="E101" s="120"/>
      <c r="F101" s="120"/>
      <c r="G101" s="120"/>
      <c r="H101" s="120"/>
      <c r="I101" s="120"/>
      <c r="J101" s="1"/>
      <c r="K101" s="59"/>
      <c r="L101" s="1"/>
      <c r="M101" s="1"/>
      <c r="N101" s="1"/>
      <c r="O101" s="1"/>
      <c r="P101" s="1"/>
      <c r="Q101" s="1"/>
      <c r="R101" s="1"/>
      <c r="S101" s="1"/>
      <c r="T101" s="78"/>
      <c r="V101" s="9">
        <v>14</v>
      </c>
      <c r="W101" s="120"/>
      <c r="X101" s="120"/>
      <c r="Y101" s="120"/>
      <c r="Z101" s="120"/>
      <c r="AA101" s="120"/>
      <c r="AB101" s="120"/>
      <c r="AC101" s="120"/>
      <c r="AD101" s="1"/>
      <c r="AE101" s="59"/>
      <c r="AF101" s="1"/>
      <c r="AG101" s="1"/>
      <c r="AH101" s="1"/>
      <c r="AI101" s="1"/>
      <c r="AJ101" s="1"/>
      <c r="AK101" s="1"/>
      <c r="AL101" s="1"/>
      <c r="AM101" s="1"/>
      <c r="AN101" s="78"/>
    </row>
    <row r="102" spans="2:40" ht="18" customHeight="1" x14ac:dyDescent="0.2">
      <c r="B102" s="9">
        <v>15</v>
      </c>
      <c r="C102" s="120"/>
      <c r="D102" s="120"/>
      <c r="E102" s="120"/>
      <c r="F102" s="120"/>
      <c r="G102" s="120"/>
      <c r="H102" s="120"/>
      <c r="I102" s="120"/>
      <c r="J102" s="1"/>
      <c r="K102" s="59"/>
      <c r="L102" s="1"/>
      <c r="M102" s="1"/>
      <c r="N102" s="1"/>
      <c r="O102" s="1"/>
      <c r="P102" s="1"/>
      <c r="Q102" s="1"/>
      <c r="R102" s="1"/>
      <c r="S102" s="1"/>
      <c r="T102" s="78"/>
      <c r="V102" s="9">
        <v>15</v>
      </c>
      <c r="W102" s="120"/>
      <c r="X102" s="120"/>
      <c r="Y102" s="120"/>
      <c r="Z102" s="120"/>
      <c r="AA102" s="120"/>
      <c r="AB102" s="120"/>
      <c r="AC102" s="120"/>
      <c r="AD102" s="1"/>
      <c r="AE102" s="59"/>
      <c r="AF102" s="1"/>
      <c r="AG102" s="1"/>
      <c r="AH102" s="1"/>
      <c r="AI102" s="1"/>
      <c r="AJ102" s="1"/>
      <c r="AK102" s="1"/>
      <c r="AL102" s="1"/>
      <c r="AM102" s="1"/>
      <c r="AN102" s="78"/>
    </row>
    <row r="103" spans="2:40" ht="18" customHeight="1" x14ac:dyDescent="0.2">
      <c r="B103" s="9" t="s">
        <v>44</v>
      </c>
      <c r="C103" s="120"/>
      <c r="D103" s="120"/>
      <c r="E103" s="120"/>
      <c r="F103" s="120"/>
      <c r="G103" s="120"/>
      <c r="H103" s="120"/>
      <c r="I103" s="120"/>
      <c r="J103" s="1"/>
      <c r="K103" s="59"/>
      <c r="L103" s="1"/>
      <c r="M103" s="1"/>
      <c r="N103" s="1"/>
      <c r="O103" s="1"/>
      <c r="P103" s="1"/>
      <c r="Q103" s="1"/>
      <c r="R103" s="1"/>
      <c r="S103" s="1"/>
      <c r="T103" s="78"/>
      <c r="V103" s="9" t="s">
        <v>44</v>
      </c>
      <c r="W103" s="120"/>
      <c r="X103" s="120"/>
      <c r="Y103" s="120"/>
      <c r="Z103" s="120"/>
      <c r="AA103" s="120"/>
      <c r="AB103" s="120"/>
      <c r="AC103" s="120"/>
      <c r="AD103" s="1"/>
      <c r="AE103" s="59"/>
      <c r="AF103" s="1"/>
      <c r="AG103" s="1"/>
      <c r="AH103" s="1"/>
      <c r="AI103" s="1"/>
      <c r="AJ103" s="1"/>
      <c r="AK103" s="1"/>
      <c r="AL103" s="1"/>
      <c r="AM103" s="1"/>
      <c r="AN103" s="78"/>
    </row>
    <row r="104" spans="2:40" ht="18" customHeight="1" x14ac:dyDescent="0.2">
      <c r="B104" s="1"/>
      <c r="C104" s="81"/>
      <c r="D104" s="81"/>
      <c r="E104" s="81"/>
      <c r="F104" s="81"/>
      <c r="G104" s="83"/>
      <c r="H104" s="82" t="s">
        <v>172</v>
      </c>
      <c r="I104" s="120"/>
      <c r="J104" s="1"/>
      <c r="K104" s="59"/>
      <c r="L104" s="1"/>
      <c r="M104" s="1"/>
      <c r="N104" s="1"/>
      <c r="O104" s="1"/>
      <c r="P104" s="1"/>
      <c r="Q104" s="1"/>
      <c r="R104" s="1"/>
      <c r="S104" s="1"/>
      <c r="T104" s="78"/>
      <c r="V104" s="1"/>
      <c r="W104" s="81"/>
      <c r="X104" s="81"/>
      <c r="Y104" s="81"/>
      <c r="Z104" s="81"/>
      <c r="AA104" s="83"/>
      <c r="AB104" s="82" t="s">
        <v>172</v>
      </c>
      <c r="AC104" s="120"/>
      <c r="AD104" s="1"/>
      <c r="AE104" s="59"/>
      <c r="AF104" s="1"/>
      <c r="AG104" s="1"/>
      <c r="AH104" s="1"/>
      <c r="AI104" s="1"/>
      <c r="AJ104" s="1"/>
      <c r="AK104" s="1"/>
      <c r="AL104" s="1"/>
      <c r="AM104" s="1"/>
      <c r="AN104" s="78"/>
    </row>
    <row r="105" spans="2:40" ht="18" customHeight="1" x14ac:dyDescent="0.2">
      <c r="B105" s="1"/>
      <c r="C105" s="81"/>
      <c r="D105" s="81"/>
      <c r="E105" s="81"/>
      <c r="F105" s="81"/>
      <c r="G105" s="80"/>
      <c r="H105" s="79" t="s">
        <v>173</v>
      </c>
      <c r="I105" s="120"/>
      <c r="J105" s="1"/>
      <c r="K105" s="59"/>
      <c r="L105" s="1"/>
      <c r="M105" s="1"/>
      <c r="N105" s="1"/>
      <c r="O105" s="1"/>
      <c r="P105" s="1"/>
      <c r="Q105" s="1"/>
      <c r="R105" s="1"/>
      <c r="S105" s="1"/>
      <c r="T105" s="78"/>
      <c r="V105" s="1"/>
      <c r="W105" s="81"/>
      <c r="X105" s="81"/>
      <c r="Y105" s="81"/>
      <c r="Z105" s="81"/>
      <c r="AA105" s="80"/>
      <c r="AB105" s="79" t="s">
        <v>173</v>
      </c>
      <c r="AC105" s="120"/>
      <c r="AD105" s="1"/>
      <c r="AE105" s="59"/>
      <c r="AF105" s="1"/>
      <c r="AG105" s="1"/>
      <c r="AH105" s="1"/>
      <c r="AI105" s="1"/>
      <c r="AJ105" s="1"/>
      <c r="AK105" s="1"/>
      <c r="AL105" s="1"/>
      <c r="AM105" s="1"/>
      <c r="AN105" s="78"/>
    </row>
    <row r="106" spans="2:40" ht="18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59"/>
      <c r="L106" s="1"/>
      <c r="M106" s="1"/>
      <c r="N106" s="1"/>
      <c r="O106" s="1"/>
      <c r="P106" s="1"/>
      <c r="Q106" s="1"/>
      <c r="R106" s="1"/>
      <c r="S106" s="1"/>
      <c r="T106" s="78"/>
      <c r="V106" s="1"/>
      <c r="W106" s="1"/>
      <c r="X106" s="1"/>
      <c r="Y106" s="1"/>
      <c r="Z106" s="1"/>
      <c r="AA106" s="1"/>
      <c r="AB106" s="1"/>
      <c r="AC106" s="1"/>
      <c r="AD106" s="1"/>
      <c r="AE106" s="59"/>
      <c r="AF106" s="1"/>
      <c r="AG106" s="1"/>
      <c r="AH106" s="1"/>
      <c r="AI106" s="1"/>
      <c r="AJ106" s="1"/>
      <c r="AK106" s="1"/>
      <c r="AL106" s="1"/>
      <c r="AM106" s="1"/>
      <c r="AN106" s="78"/>
    </row>
    <row r="107" spans="2:40" ht="18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59"/>
      <c r="L107" s="1"/>
      <c r="M107" s="1"/>
      <c r="N107" s="1"/>
      <c r="O107" s="1"/>
      <c r="P107" s="1"/>
      <c r="Q107" s="1"/>
      <c r="R107" s="1"/>
      <c r="S107" s="1"/>
      <c r="T107" s="78"/>
      <c r="V107" s="1"/>
      <c r="W107" s="1"/>
      <c r="X107" s="1"/>
      <c r="Y107" s="1"/>
      <c r="Z107" s="1"/>
      <c r="AA107" s="1"/>
      <c r="AB107" s="1"/>
      <c r="AC107" s="1"/>
      <c r="AD107" s="1"/>
      <c r="AE107" s="59"/>
      <c r="AF107" s="1"/>
      <c r="AG107" s="1"/>
      <c r="AH107" s="1"/>
      <c r="AI107" s="1"/>
      <c r="AJ107" s="1"/>
      <c r="AK107" s="1"/>
      <c r="AL107" s="1"/>
      <c r="AM107" s="1"/>
      <c r="AN107" s="78"/>
    </row>
    <row r="108" spans="2:40" ht="18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59"/>
      <c r="L108" s="1"/>
      <c r="M108" s="1"/>
      <c r="N108" s="1"/>
      <c r="O108" s="1"/>
      <c r="P108" s="1"/>
      <c r="Q108" s="1"/>
      <c r="R108" s="1"/>
      <c r="S108" s="1"/>
      <c r="T108" s="78"/>
      <c r="V108" s="1"/>
      <c r="W108" s="1"/>
      <c r="X108" s="1"/>
      <c r="Y108" s="1"/>
      <c r="Z108" s="1"/>
      <c r="AA108" s="1"/>
      <c r="AB108" s="1"/>
      <c r="AC108" s="1"/>
      <c r="AD108" s="1"/>
      <c r="AE108" s="59"/>
      <c r="AF108" s="1"/>
      <c r="AG108" s="1"/>
      <c r="AH108" s="1"/>
      <c r="AI108" s="1"/>
      <c r="AJ108" s="1"/>
      <c r="AK108" s="1"/>
      <c r="AL108" s="1"/>
      <c r="AM108" s="1"/>
      <c r="AN108" s="78"/>
    </row>
    <row r="109" spans="2:40" ht="18" customHeight="1" x14ac:dyDescent="0.2">
      <c r="K109" s="59"/>
      <c r="L109" s="1"/>
      <c r="M109" s="1"/>
      <c r="N109" s="1"/>
      <c r="O109" s="1"/>
      <c r="P109" s="1"/>
      <c r="Q109" s="1"/>
      <c r="R109" s="1"/>
      <c r="T109" s="76"/>
      <c r="AE109" s="59"/>
      <c r="AF109" s="1"/>
      <c r="AG109" s="1"/>
      <c r="AH109" s="1"/>
      <c r="AI109" s="1"/>
      <c r="AJ109" s="1"/>
      <c r="AK109" s="1"/>
      <c r="AL109" s="1"/>
      <c r="AN109" s="76"/>
    </row>
    <row r="110" spans="2:40" ht="18" customHeight="1" x14ac:dyDescent="0.2">
      <c r="K110" s="57"/>
      <c r="L110" s="56"/>
      <c r="M110" s="55"/>
      <c r="N110" s="56"/>
      <c r="S110" s="54"/>
      <c r="T110" s="76"/>
      <c r="AE110" s="57"/>
      <c r="AF110" s="56"/>
      <c r="AG110" s="55"/>
      <c r="AH110" s="56"/>
      <c r="AM110" s="54"/>
      <c r="AN110" s="76"/>
    </row>
    <row r="111" spans="2:40" ht="18" customHeight="1" x14ac:dyDescent="0.2">
      <c r="K111" s="77"/>
      <c r="T111" s="76"/>
      <c r="AE111" s="77"/>
      <c r="AN111" s="76"/>
    </row>
    <row r="112" spans="2:40" ht="18" customHeight="1" thickBot="1" x14ac:dyDescent="0.25">
      <c r="K112" s="75"/>
      <c r="L112" s="72"/>
      <c r="M112" s="72"/>
      <c r="N112" s="72"/>
      <c r="O112" s="74" t="s">
        <v>174</v>
      </c>
      <c r="P112" s="73">
        <f>I104</f>
        <v>0</v>
      </c>
      <c r="Q112" s="72"/>
      <c r="R112" s="72"/>
      <c r="S112" s="72"/>
      <c r="T112" s="71"/>
      <c r="AE112" s="75"/>
      <c r="AF112" s="72"/>
      <c r="AG112" s="72"/>
      <c r="AH112" s="72"/>
      <c r="AI112" s="74" t="s">
        <v>174</v>
      </c>
      <c r="AJ112" s="73">
        <f>AC104</f>
        <v>0</v>
      </c>
      <c r="AK112" s="72"/>
      <c r="AL112" s="72"/>
      <c r="AM112" s="72"/>
      <c r="AN112" s="71"/>
    </row>
  </sheetData>
  <sheetProtection sheet="1" objects="1" scenarios="1"/>
  <mergeCells count="19">
    <mergeCell ref="B2:I2"/>
    <mergeCell ref="K2:T3"/>
    <mergeCell ref="B30:I30"/>
    <mergeCell ref="K30:T31"/>
    <mergeCell ref="B58:I58"/>
    <mergeCell ref="V86:AC86"/>
    <mergeCell ref="AE86:AN87"/>
    <mergeCell ref="V2:AC2"/>
    <mergeCell ref="AE2:AN3"/>
    <mergeCell ref="V30:AC30"/>
    <mergeCell ref="AE30:AN31"/>
    <mergeCell ref="V58:AC58"/>
    <mergeCell ref="AE58:AN59"/>
    <mergeCell ref="AK4:AN4"/>
    <mergeCell ref="K58:T59"/>
    <mergeCell ref="Q4:T4"/>
    <mergeCell ref="Q32:T32"/>
    <mergeCell ref="B86:I86"/>
    <mergeCell ref="K86:T87"/>
  </mergeCells>
  <conditionalFormatting sqref="C4:I19 I20:I21">
    <cfRule type="expression" dxfId="151" priority="8">
      <formula>NOT(C4="")</formula>
    </cfRule>
  </conditionalFormatting>
  <conditionalFormatting sqref="C32:I47 I48:I49">
    <cfRule type="expression" dxfId="150" priority="7">
      <formula>NOT(C32="")</formula>
    </cfRule>
  </conditionalFormatting>
  <conditionalFormatting sqref="C60:I75 I76:I77">
    <cfRule type="expression" dxfId="149" priority="6">
      <formula>NOT(C60="")</formula>
    </cfRule>
  </conditionalFormatting>
  <conditionalFormatting sqref="C88:I103 I104:I105">
    <cfRule type="expression" dxfId="148" priority="5">
      <formula>NOT(C88="")</formula>
    </cfRule>
  </conditionalFormatting>
  <conditionalFormatting sqref="W4:AC19 AC20:AC21">
    <cfRule type="expression" dxfId="147" priority="4">
      <formula>NOT(W4="")</formula>
    </cfRule>
  </conditionalFormatting>
  <conditionalFormatting sqref="W32:AC47 AC48:AC49">
    <cfRule type="expression" dxfId="146" priority="3">
      <formula>NOT(W32="")</formula>
    </cfRule>
  </conditionalFormatting>
  <conditionalFormatting sqref="W60:AC75 AC76:AC77">
    <cfRule type="expression" dxfId="145" priority="2">
      <formula>NOT(W60="")</formula>
    </cfRule>
  </conditionalFormatting>
  <conditionalFormatting sqref="W88:AC103 AC104:AC105">
    <cfRule type="expression" dxfId="144" priority="1">
      <formula>NOT(W88="")</formula>
    </cfRule>
  </conditionalFormatting>
  <pageMargins left="0.32" right="0.25" top="0.75" bottom="0.75" header="0.3" footer="0.3"/>
  <pageSetup paperSize="9" scale="77" fitToHeight="2" orientation="portrait"/>
  <colBreaks count="1" manualBreakCount="1">
    <brk id="9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U38"/>
  <sheetViews>
    <sheetView showGridLines="0" topLeftCell="A8" workbookViewId="0">
      <selection activeCell="L24" sqref="L24"/>
    </sheetView>
  </sheetViews>
  <sheetFormatPr defaultColWidth="12.7109375" defaultRowHeight="18" customHeight="1" x14ac:dyDescent="0.25"/>
  <cols>
    <col min="1" max="1" width="49.42578125" style="2" customWidth="1"/>
    <col min="2" max="2" width="17.28515625" style="2" customWidth="1"/>
    <col min="3" max="11" width="15.7109375" style="2" customWidth="1"/>
    <col min="12" max="13" width="12.7109375" style="2" customWidth="1"/>
    <col min="14" max="16384" width="12.7109375" style="2"/>
  </cols>
  <sheetData>
    <row r="1" spans="1:21" ht="18" customHeight="1" x14ac:dyDescent="0.25">
      <c r="A1" s="9" t="s">
        <v>0</v>
      </c>
      <c r="B1" s="34" t="str">
        <f>IF(Run_Plan!$B$1="", "", Run_Plan!$B$1)</f>
        <v>R6-C1-S1</v>
      </c>
    </row>
    <row r="2" spans="1:21" ht="18" customHeight="1" x14ac:dyDescent="0.25">
      <c r="A2" s="9" t="s">
        <v>1</v>
      </c>
      <c r="B2" s="46" t="str">
        <f>IF(Run_Plan!$B$2="","",Run_Plan!$B$2)</f>
        <v/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4"/>
    </row>
    <row r="3" spans="1:21" ht="18" customHeight="1" x14ac:dyDescent="0.25">
      <c r="A3" s="9" t="s">
        <v>3</v>
      </c>
      <c r="B3" s="43">
        <f>IF(Run_Plan!$B$3="", "", Run_Plan!$B$3)</f>
        <v>45425.583333333336</v>
      </c>
      <c r="C3" s="91"/>
      <c r="D3" s="9" t="s">
        <v>126</v>
      </c>
      <c r="E3" s="246">
        <f>IFERROR((B6-B5)*1440,"")</f>
        <v>5.9999999986030161</v>
      </c>
    </row>
    <row r="4" spans="1:21" ht="18" customHeight="1" x14ac:dyDescent="0.25">
      <c r="A4" s="9" t="s">
        <v>123</v>
      </c>
      <c r="B4" s="43" t="str">
        <f>IF(Liq!B4="", "", Liq!B4)</f>
        <v>C1-S1</v>
      </c>
      <c r="C4" s="93"/>
      <c r="D4" s="12" t="s">
        <v>127</v>
      </c>
      <c r="E4" s="247">
        <f>IFERROR(24*((B5+B6)/2-B3),"")</f>
        <v>17.916666666569654</v>
      </c>
    </row>
    <row r="5" spans="1:21" ht="18" customHeight="1" x14ac:dyDescent="0.25">
      <c r="A5" s="9" t="s">
        <v>124</v>
      </c>
      <c r="B5" s="92">
        <f>IF(Liq!B5="","",Liq!B5)</f>
        <v>45426.327777777777</v>
      </c>
      <c r="C5" s="91"/>
      <c r="D5" s="79" t="s">
        <v>181</v>
      </c>
      <c r="E5" s="109">
        <v>19.5</v>
      </c>
    </row>
    <row r="6" spans="1:21" ht="18" customHeight="1" x14ac:dyDescent="0.25">
      <c r="A6" s="9" t="s">
        <v>125</v>
      </c>
      <c r="B6" s="43">
        <f>IF(Liq!B6="", "", Liq!B6)</f>
        <v>45426.331944444442</v>
      </c>
      <c r="C6" s="42"/>
      <c r="D6" s="42"/>
    </row>
    <row r="8" spans="1:21" ht="18" customHeight="1" x14ac:dyDescent="0.25">
      <c r="A8" s="29" t="s">
        <v>182</v>
      </c>
      <c r="B8" s="30"/>
      <c r="C8" s="30"/>
      <c r="D8" s="30"/>
      <c r="E8" s="30"/>
      <c r="F8" s="30"/>
      <c r="G8" s="30"/>
      <c r="H8" s="30"/>
      <c r="I8" s="31"/>
      <c r="J8" s="178"/>
      <c r="K8" s="3"/>
      <c r="L8" s="3"/>
      <c r="M8" s="3"/>
      <c r="N8" s="3"/>
      <c r="O8" s="3"/>
      <c r="P8" s="97"/>
      <c r="Q8" s="98"/>
      <c r="R8" s="98"/>
      <c r="S8" s="98"/>
    </row>
    <row r="9" spans="1:21" ht="18" customHeight="1" x14ac:dyDescent="0.25">
      <c r="A9" s="32"/>
      <c r="B9" s="10" t="s">
        <v>8</v>
      </c>
      <c r="C9" s="10" t="s">
        <v>11</v>
      </c>
      <c r="D9" s="10" t="s">
        <v>12</v>
      </c>
      <c r="E9" s="10" t="s">
        <v>13</v>
      </c>
      <c r="F9" s="10" t="s">
        <v>22</v>
      </c>
      <c r="G9" s="10" t="s">
        <v>23</v>
      </c>
      <c r="H9" s="10" t="s">
        <v>24</v>
      </c>
      <c r="I9" s="10" t="s">
        <v>25</v>
      </c>
      <c r="J9" s="179"/>
      <c r="K9" s="111"/>
      <c r="L9" s="178"/>
      <c r="M9" s="212"/>
      <c r="N9" s="22"/>
      <c r="O9" s="111"/>
      <c r="P9" s="22"/>
      <c r="Q9" s="112"/>
      <c r="R9" s="112"/>
      <c r="S9" s="112"/>
      <c r="T9" s="22"/>
      <c r="U9" s="22"/>
    </row>
    <row r="10" spans="1:21" ht="18" customHeight="1" x14ac:dyDescent="0.25">
      <c r="A10" s="32"/>
      <c r="B10" s="10" t="s">
        <v>129</v>
      </c>
      <c r="C10" s="10" t="s">
        <v>130</v>
      </c>
      <c r="D10" s="10" t="s">
        <v>131</v>
      </c>
      <c r="E10" s="10" t="s">
        <v>132</v>
      </c>
      <c r="F10" s="10" t="s">
        <v>133</v>
      </c>
      <c r="G10" s="10" t="s">
        <v>134</v>
      </c>
      <c r="H10" s="10" t="s">
        <v>135</v>
      </c>
      <c r="I10" s="10" t="s">
        <v>136</v>
      </c>
      <c r="J10" s="179"/>
      <c r="K10" s="22"/>
      <c r="L10" s="70"/>
      <c r="M10" s="106"/>
      <c r="N10" s="70"/>
      <c r="O10" s="113"/>
      <c r="P10" s="22"/>
      <c r="Q10" s="112"/>
      <c r="R10" s="112"/>
      <c r="S10" s="112"/>
      <c r="T10" s="22"/>
      <c r="U10" s="22"/>
    </row>
    <row r="11" spans="1:21" ht="18" customHeight="1" x14ac:dyDescent="0.25">
      <c r="A11" s="9" t="s">
        <v>183</v>
      </c>
      <c r="B11" s="110">
        <v>3000</v>
      </c>
      <c r="C11" s="128">
        <v>3000</v>
      </c>
      <c r="D11" s="128"/>
      <c r="E11" s="128">
        <v>3000</v>
      </c>
      <c r="F11" s="128">
        <v>3000</v>
      </c>
      <c r="G11" s="128">
        <v>3000</v>
      </c>
      <c r="H11" s="128">
        <v>3000</v>
      </c>
      <c r="I11" s="128">
        <v>3000</v>
      </c>
      <c r="J11" s="70" t="s">
        <v>184</v>
      </c>
      <c r="K11" s="70" t="s">
        <v>185</v>
      </c>
      <c r="L11" s="70" t="s">
        <v>186</v>
      </c>
      <c r="M11" s="106" t="s">
        <v>187</v>
      </c>
      <c r="N11" s="70"/>
      <c r="O11" s="182"/>
      <c r="P11" s="22"/>
      <c r="Q11" s="112"/>
      <c r="R11" s="112"/>
      <c r="S11" s="112"/>
      <c r="T11" s="22"/>
      <c r="U11" s="22"/>
    </row>
    <row r="12" spans="1:21" ht="18" customHeight="1" x14ac:dyDescent="0.25">
      <c r="A12" s="9" t="s">
        <v>188</v>
      </c>
      <c r="B12" s="90">
        <f t="shared" ref="B12:I12" si="0">IFERROR($E$5*B11/SUM($B$11:$I$11),"")</f>
        <v>2.7857142857142856</v>
      </c>
      <c r="C12" s="90">
        <f t="shared" si="0"/>
        <v>2.7857142857142856</v>
      </c>
      <c r="D12" s="90">
        <f t="shared" si="0"/>
        <v>0</v>
      </c>
      <c r="E12" s="90">
        <f t="shared" si="0"/>
        <v>2.7857142857142856</v>
      </c>
      <c r="F12" s="90">
        <f t="shared" si="0"/>
        <v>2.7857142857142856</v>
      </c>
      <c r="G12" s="90">
        <f t="shared" si="0"/>
        <v>2.7857142857142856</v>
      </c>
      <c r="H12" s="90">
        <f t="shared" si="0"/>
        <v>2.7857142857142856</v>
      </c>
      <c r="I12" s="90">
        <f t="shared" si="0"/>
        <v>2.7857142857142856</v>
      </c>
      <c r="J12" s="107">
        <v>0</v>
      </c>
      <c r="K12" s="108">
        <v>100</v>
      </c>
      <c r="L12" s="108">
        <v>0</v>
      </c>
      <c r="M12" s="108">
        <v>0</v>
      </c>
      <c r="N12" s="107"/>
      <c r="O12" s="182"/>
      <c r="P12" s="113"/>
      <c r="Q12" s="115"/>
      <c r="R12" s="22"/>
      <c r="S12" s="22"/>
      <c r="T12" s="22"/>
      <c r="U12" s="22"/>
    </row>
    <row r="13" spans="1:21" ht="18" customHeight="1" x14ac:dyDescent="0.25">
      <c r="A13" s="9" t="s">
        <v>189</v>
      </c>
      <c r="B13" s="90">
        <f t="shared" ref="B13:I13" si="1">IFERROR(B12*$B$37/100,"")</f>
        <v>0</v>
      </c>
      <c r="C13" s="90">
        <f t="shared" si="1"/>
        <v>0</v>
      </c>
      <c r="D13" s="90">
        <f t="shared" si="1"/>
        <v>0</v>
      </c>
      <c r="E13" s="90">
        <f t="shared" si="1"/>
        <v>0</v>
      </c>
      <c r="F13" s="90">
        <f t="shared" si="1"/>
        <v>0</v>
      </c>
      <c r="G13" s="90">
        <f t="shared" si="1"/>
        <v>0</v>
      </c>
      <c r="H13" s="90">
        <f t="shared" si="1"/>
        <v>0</v>
      </c>
      <c r="I13" s="90">
        <f t="shared" si="1"/>
        <v>0</v>
      </c>
      <c r="J13" s="107">
        <v>85.627717972481648</v>
      </c>
      <c r="K13" s="107">
        <v>14.37228202751835</v>
      </c>
      <c r="L13" s="107">
        <v>0</v>
      </c>
      <c r="M13" s="107">
        <v>0</v>
      </c>
      <c r="N13" s="107"/>
      <c r="O13" s="182"/>
      <c r="P13" s="113"/>
      <c r="Q13" s="115"/>
      <c r="R13" s="22"/>
      <c r="S13" s="22"/>
      <c r="T13" s="22"/>
      <c r="U13" s="22"/>
    </row>
    <row r="14" spans="1:21" ht="18" customHeight="1" x14ac:dyDescent="0.25">
      <c r="A14" s="9" t="s">
        <v>190</v>
      </c>
      <c r="B14" s="90">
        <f t="shared" ref="B14:I14" si="2">IFERROR(B12*$C$37/100,"")</f>
        <v>0</v>
      </c>
      <c r="C14" s="90">
        <f t="shared" si="2"/>
        <v>0</v>
      </c>
      <c r="D14" s="90">
        <f t="shared" si="2"/>
        <v>0</v>
      </c>
      <c r="E14" s="90">
        <f t="shared" si="2"/>
        <v>0</v>
      </c>
      <c r="F14" s="90">
        <f t="shared" si="2"/>
        <v>0</v>
      </c>
      <c r="G14" s="90">
        <f t="shared" si="2"/>
        <v>0</v>
      </c>
      <c r="H14" s="90">
        <f t="shared" si="2"/>
        <v>0</v>
      </c>
      <c r="I14" s="90">
        <f t="shared" si="2"/>
        <v>0</v>
      </c>
      <c r="J14" s="107">
        <v>74.867543476905809</v>
      </c>
      <c r="K14" s="107">
        <v>25.132456523094191</v>
      </c>
      <c r="L14" s="107">
        <v>0</v>
      </c>
      <c r="M14" s="107">
        <v>0</v>
      </c>
      <c r="N14" s="107"/>
      <c r="O14" s="182"/>
      <c r="P14" s="113"/>
      <c r="Q14" s="115"/>
      <c r="R14" s="22"/>
      <c r="S14" s="22"/>
      <c r="T14" s="22"/>
      <c r="U14" s="22"/>
    </row>
    <row r="15" spans="1:21" ht="18" customHeight="1" x14ac:dyDescent="0.25">
      <c r="A15" s="9" t="s">
        <v>191</v>
      </c>
      <c r="B15" s="90">
        <f t="shared" ref="B15:I15" si="3">IFERROR(B12*$D$37/100,"")</f>
        <v>0</v>
      </c>
      <c r="C15" s="90">
        <f t="shared" si="3"/>
        <v>0</v>
      </c>
      <c r="D15" s="90">
        <f t="shared" si="3"/>
        <v>0</v>
      </c>
      <c r="E15" s="90">
        <f t="shared" si="3"/>
        <v>0</v>
      </c>
      <c r="F15" s="90">
        <f t="shared" si="3"/>
        <v>0</v>
      </c>
      <c r="G15" s="90">
        <f t="shared" si="3"/>
        <v>0</v>
      </c>
      <c r="H15" s="90">
        <f t="shared" si="3"/>
        <v>0</v>
      </c>
      <c r="I15" s="90">
        <f t="shared" si="3"/>
        <v>0</v>
      </c>
      <c r="J15" s="107">
        <v>79.88693049551047</v>
      </c>
      <c r="K15" s="107">
        <v>20.11306950448953</v>
      </c>
      <c r="L15" s="107">
        <v>0</v>
      </c>
      <c r="M15" s="107">
        <v>0</v>
      </c>
      <c r="N15" s="107"/>
      <c r="O15" s="182"/>
      <c r="P15" s="113"/>
      <c r="Q15" s="115"/>
      <c r="R15" s="22"/>
      <c r="S15" s="22"/>
      <c r="T15" s="22"/>
      <c r="U15" s="22"/>
    </row>
    <row r="16" spans="1:21" ht="18" customHeight="1" x14ac:dyDescent="0.25">
      <c r="A16" s="9" t="s">
        <v>192</v>
      </c>
      <c r="B16" s="90">
        <f t="shared" ref="B16:I16" si="4">IFERROR(B12*$E$37/100,"")</f>
        <v>0</v>
      </c>
      <c r="C16" s="90">
        <f t="shared" si="4"/>
        <v>0</v>
      </c>
      <c r="D16" s="90">
        <f t="shared" si="4"/>
        <v>0</v>
      </c>
      <c r="E16" s="90">
        <f t="shared" si="4"/>
        <v>0</v>
      </c>
      <c r="F16" s="90">
        <f t="shared" si="4"/>
        <v>0</v>
      </c>
      <c r="G16" s="90">
        <f t="shared" si="4"/>
        <v>0</v>
      </c>
      <c r="H16" s="90">
        <f t="shared" si="4"/>
        <v>0</v>
      </c>
      <c r="I16" s="90">
        <f t="shared" si="4"/>
        <v>0</v>
      </c>
      <c r="J16" s="107">
        <v>0</v>
      </c>
      <c r="K16" s="107">
        <v>0</v>
      </c>
      <c r="L16" s="107">
        <v>0</v>
      </c>
      <c r="M16" s="107">
        <v>100</v>
      </c>
      <c r="N16" s="107"/>
      <c r="O16" s="182"/>
      <c r="P16" s="113"/>
      <c r="Q16" s="115"/>
      <c r="R16" s="22"/>
      <c r="S16" s="22"/>
      <c r="T16" s="22"/>
      <c r="U16" s="22"/>
    </row>
    <row r="17" spans="1:21" ht="18" customHeight="1" x14ac:dyDescent="0.25">
      <c r="A17" s="9" t="s">
        <v>193</v>
      </c>
      <c r="B17" s="90">
        <f t="shared" ref="B17:I17" si="5">IFERROR(B12*$F$37/100,"")</f>
        <v>0</v>
      </c>
      <c r="C17" s="90">
        <f t="shared" si="5"/>
        <v>0</v>
      </c>
      <c r="D17" s="90">
        <f t="shared" si="5"/>
        <v>0</v>
      </c>
      <c r="E17" s="90">
        <f t="shared" si="5"/>
        <v>0</v>
      </c>
      <c r="F17" s="90">
        <f t="shared" si="5"/>
        <v>0</v>
      </c>
      <c r="G17" s="90">
        <f t="shared" si="5"/>
        <v>0</v>
      </c>
      <c r="H17" s="90">
        <f t="shared" si="5"/>
        <v>0</v>
      </c>
      <c r="I17" s="90">
        <f t="shared" si="5"/>
        <v>0</v>
      </c>
      <c r="J17" s="107">
        <v>27.29214478856597</v>
      </c>
      <c r="K17" s="107">
        <v>0</v>
      </c>
      <c r="L17" s="107">
        <v>72.707855211434023</v>
      </c>
      <c r="M17" s="107">
        <v>0</v>
      </c>
      <c r="N17" s="107"/>
      <c r="O17" s="182"/>
      <c r="P17" s="113"/>
      <c r="Q17" s="115"/>
      <c r="R17" s="22"/>
      <c r="S17" s="22"/>
      <c r="T17" s="22"/>
      <c r="U17" s="22"/>
    </row>
    <row r="18" spans="1:21" ht="18" customHeight="1" x14ac:dyDescent="0.25">
      <c r="A18" s="9" t="s">
        <v>194</v>
      </c>
      <c r="B18" s="90">
        <f t="shared" ref="B18:I18" si="6">IFERROR(B12*$G$37/100,"")</f>
        <v>0</v>
      </c>
      <c r="C18" s="90">
        <f t="shared" si="6"/>
        <v>0</v>
      </c>
      <c r="D18" s="90">
        <f t="shared" si="6"/>
        <v>0</v>
      </c>
      <c r="E18" s="90">
        <f t="shared" si="6"/>
        <v>0</v>
      </c>
      <c r="F18" s="90">
        <f t="shared" si="6"/>
        <v>0</v>
      </c>
      <c r="G18" s="90">
        <f t="shared" si="6"/>
        <v>0</v>
      </c>
      <c r="H18" s="90">
        <f t="shared" si="6"/>
        <v>0</v>
      </c>
      <c r="I18" s="90">
        <f t="shared" si="6"/>
        <v>0</v>
      </c>
      <c r="J18" s="107">
        <v>42.881113887897179</v>
      </c>
      <c r="K18" s="107">
        <v>0</v>
      </c>
      <c r="L18" s="107">
        <v>57.118886112102821</v>
      </c>
      <c r="M18" s="107">
        <v>0</v>
      </c>
      <c r="N18" s="107"/>
      <c r="O18" s="182"/>
      <c r="P18" s="113"/>
      <c r="Q18" s="115"/>
      <c r="R18" s="22"/>
      <c r="S18" s="22"/>
      <c r="T18" s="22"/>
      <c r="U18" s="22"/>
    </row>
    <row r="19" spans="1:21" ht="18" customHeight="1" x14ac:dyDescent="0.25">
      <c r="A19" s="9" t="s">
        <v>195</v>
      </c>
      <c r="B19" s="90">
        <f t="shared" ref="B19:I19" si="7">IFERROR(B12*$H$37/100,"")</f>
        <v>0</v>
      </c>
      <c r="C19" s="90">
        <f t="shared" si="7"/>
        <v>0</v>
      </c>
      <c r="D19" s="90">
        <f t="shared" si="7"/>
        <v>0</v>
      </c>
      <c r="E19" s="90">
        <f t="shared" si="7"/>
        <v>0</v>
      </c>
      <c r="F19" s="90">
        <f t="shared" si="7"/>
        <v>0</v>
      </c>
      <c r="G19" s="90">
        <f t="shared" si="7"/>
        <v>0</v>
      </c>
      <c r="H19" s="90">
        <f t="shared" si="7"/>
        <v>0</v>
      </c>
      <c r="I19" s="90">
        <f t="shared" si="7"/>
        <v>0</v>
      </c>
      <c r="J19" s="70"/>
      <c r="K19" s="70"/>
      <c r="L19" s="179"/>
      <c r="M19" s="180"/>
      <c r="N19" s="180"/>
      <c r="O19" s="182"/>
      <c r="P19" s="113"/>
      <c r="Q19" s="115"/>
      <c r="R19" s="22"/>
      <c r="S19" s="22"/>
      <c r="T19" s="22"/>
      <c r="U19" s="22"/>
    </row>
    <row r="20" spans="1:21" ht="18" customHeight="1" x14ac:dyDescent="0.25">
      <c r="A20" s="9" t="s">
        <v>196</v>
      </c>
      <c r="B20" s="90">
        <f t="shared" ref="B20:I20" si="8">IFERROR(B12*$I$37/100,"")</f>
        <v>0.22890922011282697</v>
      </c>
      <c r="C20" s="90">
        <f t="shared" si="8"/>
        <v>0.22890922011282697</v>
      </c>
      <c r="D20" s="90">
        <f t="shared" si="8"/>
        <v>0</v>
      </c>
      <c r="E20" s="90">
        <f t="shared" si="8"/>
        <v>0.22890922011282697</v>
      </c>
      <c r="F20" s="90">
        <f t="shared" si="8"/>
        <v>0.22890922011282697</v>
      </c>
      <c r="G20" s="90">
        <f t="shared" si="8"/>
        <v>0.22890922011282697</v>
      </c>
      <c r="H20" s="90">
        <f t="shared" si="8"/>
        <v>0.22890922011282697</v>
      </c>
      <c r="I20" s="90">
        <f t="shared" si="8"/>
        <v>0.22890922011282697</v>
      </c>
      <c r="J20" s="180"/>
      <c r="K20" s="180"/>
      <c r="L20" s="180"/>
      <c r="M20" s="180"/>
      <c r="N20" s="180"/>
      <c r="O20" s="182"/>
      <c r="P20" s="113"/>
      <c r="Q20" s="115"/>
      <c r="R20" s="22"/>
      <c r="S20" s="22"/>
      <c r="T20" s="22"/>
      <c r="U20" s="22"/>
    </row>
    <row r="21" spans="1:21" ht="18" customHeight="1" x14ac:dyDescent="0.25">
      <c r="A21" s="9" t="s">
        <v>197</v>
      </c>
      <c r="B21" s="90">
        <f t="shared" ref="B21:I21" si="9">IFERROR(B12*$J$37/100,"")</f>
        <v>2.5568050656014587</v>
      </c>
      <c r="C21" s="90">
        <f t="shared" si="9"/>
        <v>2.5568050656014587</v>
      </c>
      <c r="D21" s="90">
        <f t="shared" si="9"/>
        <v>0</v>
      </c>
      <c r="E21" s="90">
        <f t="shared" si="9"/>
        <v>2.5568050656014587</v>
      </c>
      <c r="F21" s="90">
        <f t="shared" si="9"/>
        <v>2.5568050656014587</v>
      </c>
      <c r="G21" s="90">
        <f t="shared" si="9"/>
        <v>2.5568050656014587</v>
      </c>
      <c r="H21" s="90">
        <f t="shared" si="9"/>
        <v>2.5568050656014587</v>
      </c>
      <c r="I21" s="90">
        <f t="shared" si="9"/>
        <v>2.5568050656014587</v>
      </c>
      <c r="J21" s="181"/>
      <c r="K21" s="179"/>
      <c r="L21" s="179"/>
      <c r="M21" s="179"/>
      <c r="N21" s="179"/>
      <c r="O21" s="179"/>
      <c r="P21" s="113"/>
      <c r="Q21" s="115"/>
      <c r="R21" s="22"/>
      <c r="S21" s="22"/>
      <c r="T21" s="22"/>
      <c r="U21" s="22"/>
    </row>
    <row r="22" spans="1:21" ht="18" customHeight="1" x14ac:dyDescent="0.25">
      <c r="A22" s="9" t="s">
        <v>198</v>
      </c>
      <c r="B22" s="90">
        <f t="shared" ref="B22:I22" si="10">IFERROR(B14*$J13*0.01+B15*$J14*0.01+B16*$J15*0.01+B18*$J17*0.01+B19*$J18*0.01+B21*$J20*0.01,"")</f>
        <v>0</v>
      </c>
      <c r="C22" s="90">
        <f t="shared" si="10"/>
        <v>0</v>
      </c>
      <c r="D22" s="90">
        <f t="shared" si="10"/>
        <v>0</v>
      </c>
      <c r="E22" s="90">
        <f t="shared" si="10"/>
        <v>0</v>
      </c>
      <c r="F22" s="90">
        <f t="shared" si="10"/>
        <v>0</v>
      </c>
      <c r="G22" s="90">
        <f t="shared" si="10"/>
        <v>0</v>
      </c>
      <c r="H22" s="90">
        <f t="shared" si="10"/>
        <v>0</v>
      </c>
      <c r="I22" s="90">
        <f t="shared" si="10"/>
        <v>0</v>
      </c>
      <c r="J22" s="179"/>
      <c r="K22" s="180"/>
      <c r="L22" s="180"/>
      <c r="M22" s="180"/>
      <c r="N22" s="179"/>
      <c r="O22" s="182"/>
      <c r="P22" s="113"/>
      <c r="Q22" s="115"/>
      <c r="R22" s="22"/>
      <c r="S22" s="22"/>
      <c r="T22" s="22"/>
      <c r="U22" s="22"/>
    </row>
    <row r="23" spans="1:21" ht="18" customHeight="1" x14ac:dyDescent="0.25">
      <c r="A23" s="9" t="s">
        <v>199</v>
      </c>
      <c r="B23" s="90">
        <f t="shared" ref="B23:I23" si="11">IFERROR(B13*$K12*0.01+B14*$K13*0.01+B15*$K14*0.01+B16*$K15*0.01+B21*$K20*0.01,"")</f>
        <v>0</v>
      </c>
      <c r="C23" s="90">
        <f t="shared" si="11"/>
        <v>0</v>
      </c>
      <c r="D23" s="90">
        <f t="shared" si="11"/>
        <v>0</v>
      </c>
      <c r="E23" s="90">
        <f t="shared" si="11"/>
        <v>0</v>
      </c>
      <c r="F23" s="90">
        <f t="shared" si="11"/>
        <v>0</v>
      </c>
      <c r="G23" s="90">
        <f t="shared" si="11"/>
        <v>0</v>
      </c>
      <c r="H23" s="90">
        <f t="shared" si="11"/>
        <v>0</v>
      </c>
      <c r="I23" s="90">
        <f t="shared" si="11"/>
        <v>0</v>
      </c>
      <c r="J23" s="179"/>
      <c r="K23" s="180"/>
      <c r="L23" s="180"/>
      <c r="M23" s="180"/>
      <c r="N23" s="179"/>
      <c r="O23" s="182"/>
      <c r="P23" s="113"/>
      <c r="Q23" s="115"/>
      <c r="R23" s="22"/>
      <c r="S23" s="22"/>
      <c r="T23" s="22"/>
      <c r="U23" s="22"/>
    </row>
    <row r="24" spans="1:21" ht="18" customHeight="1" x14ac:dyDescent="0.25">
      <c r="A24" s="9" t="s">
        <v>200</v>
      </c>
      <c r="B24" s="90">
        <f t="shared" ref="B24:I24" si="12">IFERROR(B18*$L17*0.01+B19*$L18*0.01+B21*$L20*0.01,"")</f>
        <v>0</v>
      </c>
      <c r="C24" s="90">
        <f t="shared" si="12"/>
        <v>0</v>
      </c>
      <c r="D24" s="90">
        <f t="shared" si="12"/>
        <v>0</v>
      </c>
      <c r="E24" s="90">
        <f t="shared" si="12"/>
        <v>0</v>
      </c>
      <c r="F24" s="90">
        <f t="shared" si="12"/>
        <v>0</v>
      </c>
      <c r="G24" s="90">
        <f t="shared" si="12"/>
        <v>0</v>
      </c>
      <c r="H24" s="90">
        <f t="shared" si="12"/>
        <v>0</v>
      </c>
      <c r="I24" s="90">
        <f t="shared" si="12"/>
        <v>0</v>
      </c>
      <c r="J24" s="179"/>
      <c r="K24" s="180"/>
      <c r="L24" s="180"/>
      <c r="M24" s="180"/>
      <c r="N24" s="179"/>
      <c r="O24" s="182"/>
      <c r="P24" s="113"/>
      <c r="Q24" s="115"/>
      <c r="R24" s="22"/>
      <c r="S24" s="22"/>
      <c r="T24" s="22"/>
      <c r="U24" s="22"/>
    </row>
    <row r="25" spans="1:21" ht="18" customHeight="1" x14ac:dyDescent="0.25">
      <c r="A25" s="9" t="s">
        <v>201</v>
      </c>
      <c r="B25" s="90">
        <f t="shared" ref="B25:I25" si="13">IFERROR(B17+B21*$M20*0.01,"")</f>
        <v>0</v>
      </c>
      <c r="C25" s="90">
        <f t="shared" si="13"/>
        <v>0</v>
      </c>
      <c r="D25" s="90">
        <f t="shared" si="13"/>
        <v>0</v>
      </c>
      <c r="E25" s="90">
        <f t="shared" si="13"/>
        <v>0</v>
      </c>
      <c r="F25" s="90">
        <f t="shared" si="13"/>
        <v>0</v>
      </c>
      <c r="G25" s="90">
        <f t="shared" si="13"/>
        <v>0</v>
      </c>
      <c r="H25" s="90">
        <f t="shared" si="13"/>
        <v>0</v>
      </c>
      <c r="I25" s="90">
        <f t="shared" si="13"/>
        <v>0</v>
      </c>
      <c r="J25" s="179"/>
      <c r="K25" s="114"/>
      <c r="L25" s="180"/>
      <c r="M25" s="180"/>
      <c r="N25" s="22"/>
      <c r="O25" s="113"/>
      <c r="P25" s="113"/>
      <c r="Q25" s="115"/>
      <c r="R25" s="22"/>
      <c r="S25" s="22"/>
      <c r="T25" s="22"/>
      <c r="U25" s="22"/>
    </row>
    <row r="26" spans="1:21" ht="18" customHeight="1" x14ac:dyDescent="0.25">
      <c r="A26" s="9" t="s">
        <v>202</v>
      </c>
      <c r="B26" s="90">
        <f t="shared" ref="B26:I26" si="14">B20</f>
        <v>0.22890922011282697</v>
      </c>
      <c r="C26" s="90">
        <f t="shared" si="14"/>
        <v>0.22890922011282697</v>
      </c>
      <c r="D26" s="90">
        <f t="shared" si="14"/>
        <v>0</v>
      </c>
      <c r="E26" s="90">
        <f t="shared" si="14"/>
        <v>0.22890922011282697</v>
      </c>
      <c r="F26" s="90">
        <f t="shared" si="14"/>
        <v>0.22890922011282697</v>
      </c>
      <c r="G26" s="90">
        <f t="shared" si="14"/>
        <v>0.22890922011282697</v>
      </c>
      <c r="H26" s="90">
        <f t="shared" si="14"/>
        <v>0.22890922011282697</v>
      </c>
      <c r="I26" s="90">
        <f t="shared" si="14"/>
        <v>0.22890922011282697</v>
      </c>
      <c r="J26" s="179"/>
      <c r="K26" s="114"/>
      <c r="L26" s="180"/>
      <c r="M26" s="180"/>
      <c r="N26" s="22"/>
      <c r="O26" s="113"/>
      <c r="P26" s="113"/>
      <c r="Q26" s="115"/>
      <c r="R26" s="22"/>
      <c r="S26" s="22"/>
      <c r="T26" s="22"/>
      <c r="U26" s="22"/>
    </row>
    <row r="27" spans="1:21" ht="18" customHeight="1" x14ac:dyDescent="0.25">
      <c r="A27" s="9" t="s">
        <v>203</v>
      </c>
      <c r="B27" s="116">
        <f>SUM(B22:I22)</f>
        <v>0</v>
      </c>
      <c r="C27" s="105"/>
      <c r="D27" s="105"/>
      <c r="E27" s="105"/>
      <c r="F27" s="105"/>
      <c r="G27" s="105"/>
      <c r="H27" s="105"/>
      <c r="I27" s="105"/>
      <c r="J27" s="114"/>
      <c r="K27" s="114"/>
      <c r="L27" s="180"/>
      <c r="M27" s="180"/>
      <c r="N27" s="22"/>
      <c r="O27" s="113"/>
      <c r="P27" s="113"/>
      <c r="Q27" s="115"/>
      <c r="R27" s="22"/>
      <c r="S27" s="22"/>
      <c r="T27" s="22"/>
      <c r="U27" s="22"/>
    </row>
    <row r="28" spans="1:21" ht="18" customHeight="1" x14ac:dyDescent="0.25">
      <c r="A28" s="9" t="s">
        <v>204</v>
      </c>
      <c r="B28" s="116">
        <f>SUM(B23:I23)</f>
        <v>0</v>
      </c>
      <c r="C28" s="105"/>
      <c r="D28" s="105"/>
      <c r="E28" s="105"/>
      <c r="F28" s="105"/>
      <c r="G28" s="105"/>
      <c r="H28" s="105"/>
      <c r="I28" s="105"/>
      <c r="J28" s="114"/>
      <c r="K28" s="114"/>
      <c r="L28" s="180"/>
      <c r="M28" s="180"/>
      <c r="N28" s="22"/>
      <c r="O28" s="113"/>
      <c r="P28" s="113"/>
      <c r="Q28" s="115"/>
      <c r="R28" s="22"/>
      <c r="S28" s="22"/>
      <c r="T28" s="22"/>
      <c r="U28" s="22"/>
    </row>
    <row r="29" spans="1:21" ht="18" customHeight="1" x14ac:dyDescent="0.25">
      <c r="A29" s="9" t="s">
        <v>205</v>
      </c>
      <c r="B29" s="116">
        <f>SUM(B24:I24)</f>
        <v>0</v>
      </c>
      <c r="C29" s="105"/>
      <c r="D29" s="105"/>
      <c r="E29" s="105"/>
      <c r="F29" s="105"/>
      <c r="G29" s="105"/>
      <c r="H29" s="105"/>
      <c r="I29" s="105"/>
      <c r="J29" s="114"/>
      <c r="K29" s="114"/>
      <c r="L29" s="114"/>
      <c r="M29" s="114"/>
      <c r="N29" s="22"/>
      <c r="O29" s="113"/>
      <c r="P29" s="113"/>
      <c r="Q29" s="115"/>
      <c r="R29" s="22"/>
      <c r="S29" s="22"/>
      <c r="T29" s="22"/>
      <c r="U29" s="22"/>
    </row>
    <row r="30" spans="1:21" ht="18" customHeight="1" x14ac:dyDescent="0.25">
      <c r="A30" s="9" t="s">
        <v>206</v>
      </c>
      <c r="B30" s="116">
        <f>SUM(B25:I25)</f>
        <v>0</v>
      </c>
      <c r="C30" s="105"/>
      <c r="D30" s="105"/>
      <c r="E30" s="105"/>
      <c r="F30" s="105"/>
      <c r="G30" s="105"/>
      <c r="H30" s="105"/>
      <c r="I30" s="105"/>
      <c r="J30" s="114"/>
      <c r="K30" s="114"/>
      <c r="L30" s="114"/>
      <c r="M30" s="114"/>
      <c r="N30" s="22"/>
      <c r="O30" s="113"/>
      <c r="P30" s="113"/>
      <c r="Q30" s="115"/>
      <c r="R30" s="22"/>
      <c r="S30" s="22"/>
      <c r="T30" s="22"/>
      <c r="U30" s="22"/>
    </row>
    <row r="31" spans="1:21" ht="18" customHeight="1" x14ac:dyDescent="0.25">
      <c r="A31" s="9" t="s">
        <v>207</v>
      </c>
      <c r="B31" s="116">
        <f>SUM(B26:I26)</f>
        <v>1.6023645407897886</v>
      </c>
      <c r="C31" s="105"/>
      <c r="D31" s="105"/>
      <c r="E31" s="105"/>
      <c r="F31" s="105"/>
      <c r="G31" s="105"/>
      <c r="H31" s="105"/>
      <c r="I31" s="105"/>
      <c r="J31" s="114"/>
      <c r="K31" s="114"/>
      <c r="L31" s="114"/>
      <c r="M31" s="114"/>
      <c r="N31" s="22"/>
      <c r="O31" s="113"/>
      <c r="P31" s="113"/>
      <c r="Q31" s="115"/>
      <c r="R31" s="22"/>
      <c r="S31" s="22"/>
      <c r="T31" s="22"/>
      <c r="U31" s="22"/>
    </row>
    <row r="33" spans="1:21" ht="18" customHeight="1" x14ac:dyDescent="0.25">
      <c r="A33" s="29" t="s">
        <v>208</v>
      </c>
      <c r="B33" s="30"/>
      <c r="C33" s="30"/>
      <c r="D33" s="30"/>
      <c r="E33" s="30"/>
      <c r="F33" s="30"/>
      <c r="G33" s="30"/>
      <c r="H33" s="30"/>
      <c r="I33" s="31"/>
      <c r="J33" s="3"/>
      <c r="K33" s="3"/>
      <c r="L33" s="3"/>
      <c r="M33" s="3"/>
      <c r="N33" s="3"/>
      <c r="O33" s="3"/>
      <c r="P33" s="3"/>
      <c r="Q33" s="3"/>
    </row>
    <row r="34" spans="1:21" ht="18" customHeight="1" x14ac:dyDescent="0.25">
      <c r="A34" s="10" t="s">
        <v>31</v>
      </c>
      <c r="B34" s="10" t="s">
        <v>32</v>
      </c>
      <c r="C34" s="10" t="s">
        <v>33</v>
      </c>
      <c r="D34" s="10" t="s">
        <v>34</v>
      </c>
      <c r="E34" s="10" t="s">
        <v>35</v>
      </c>
      <c r="F34" s="10" t="s">
        <v>36</v>
      </c>
      <c r="G34" s="10" t="s">
        <v>37</v>
      </c>
      <c r="H34" s="10" t="s">
        <v>38</v>
      </c>
      <c r="I34" s="10" t="s">
        <v>39</v>
      </c>
      <c r="J34" s="10" t="s">
        <v>40</v>
      </c>
      <c r="K34" s="10" t="s">
        <v>44</v>
      </c>
      <c r="L34" s="3"/>
      <c r="M34" s="39"/>
      <c r="O34" s="3"/>
      <c r="P34" s="3"/>
      <c r="Q34" s="39"/>
    </row>
    <row r="35" spans="1:21" ht="18" customHeight="1" x14ac:dyDescent="0.25">
      <c r="A35" s="9" t="s">
        <v>209</v>
      </c>
      <c r="B35" s="110"/>
      <c r="C35" s="110"/>
      <c r="D35" s="110"/>
      <c r="E35" s="110"/>
      <c r="F35" s="110"/>
      <c r="G35" s="110"/>
      <c r="H35" s="110"/>
      <c r="I35" s="110">
        <v>4.3</v>
      </c>
      <c r="J35" s="110">
        <v>95.6</v>
      </c>
      <c r="K35" s="88">
        <f>SUM(B35:J35)</f>
        <v>99.899999999999991</v>
      </c>
      <c r="L35" s="38"/>
      <c r="M35" s="37"/>
      <c r="O35" s="38"/>
      <c r="P35" s="38"/>
      <c r="Q35" s="37"/>
    </row>
    <row r="36" spans="1:21" ht="18" hidden="1" customHeight="1" x14ac:dyDescent="0.25">
      <c r="A36" s="9" t="s">
        <v>60</v>
      </c>
      <c r="B36" s="88">
        <v>2.016</v>
      </c>
      <c r="C36" s="88">
        <v>28.053999999999998</v>
      </c>
      <c r="D36" s="88">
        <v>16.042999999999999</v>
      </c>
      <c r="E36" s="88">
        <v>30.07</v>
      </c>
      <c r="F36" s="88">
        <v>28.013999999999999</v>
      </c>
      <c r="G36" s="88">
        <v>44.009</v>
      </c>
      <c r="H36" s="88">
        <v>28.01</v>
      </c>
      <c r="I36" s="88">
        <v>39.948</v>
      </c>
      <c r="J36" s="88">
        <f>SUM(Run_Plan!B38:K38)/100</f>
        <v>20.069656379927999</v>
      </c>
      <c r="K36" s="89"/>
      <c r="L36" s="38"/>
      <c r="M36" s="37"/>
      <c r="O36" s="38"/>
      <c r="P36" s="38"/>
      <c r="Q36" s="37"/>
    </row>
    <row r="37" spans="1:21" ht="18" customHeight="1" x14ac:dyDescent="0.25">
      <c r="A37" s="9" t="s">
        <v>210</v>
      </c>
      <c r="B37" s="88">
        <f t="shared" ref="B37:J37" si="15">IFERROR(100*B38/SUM($B$38:$J$38),"")</f>
        <v>0</v>
      </c>
      <c r="C37" s="88">
        <f t="shared" si="15"/>
        <v>0</v>
      </c>
      <c r="D37" s="88">
        <f t="shared" si="15"/>
        <v>0</v>
      </c>
      <c r="E37" s="88">
        <f t="shared" si="15"/>
        <v>0</v>
      </c>
      <c r="F37" s="88">
        <f t="shared" si="15"/>
        <v>0</v>
      </c>
      <c r="G37" s="88">
        <f t="shared" si="15"/>
        <v>0</v>
      </c>
      <c r="H37" s="88">
        <f t="shared" si="15"/>
        <v>0</v>
      </c>
      <c r="I37" s="88">
        <f t="shared" si="15"/>
        <v>8.2172540553322513</v>
      </c>
      <c r="J37" s="88">
        <f t="shared" si="15"/>
        <v>91.782745944667752</v>
      </c>
      <c r="K37" s="88">
        <f>SUM(B37:J37)</f>
        <v>100</v>
      </c>
      <c r="L37" s="38"/>
      <c r="M37" s="37"/>
      <c r="O37" s="38"/>
      <c r="P37" s="38"/>
      <c r="Q37" s="37"/>
    </row>
    <row r="38" spans="1:21" ht="18" hidden="1" customHeight="1" x14ac:dyDescent="0.25">
      <c r="A38" s="95" t="s">
        <v>211</v>
      </c>
      <c r="B38" s="96">
        <f t="shared" ref="B38:J38" si="16">B35*B36</f>
        <v>0</v>
      </c>
      <c r="C38" s="96">
        <f t="shared" si="16"/>
        <v>0</v>
      </c>
      <c r="D38" s="96">
        <f t="shared" si="16"/>
        <v>0</v>
      </c>
      <c r="E38" s="96">
        <f t="shared" si="16"/>
        <v>0</v>
      </c>
      <c r="F38" s="96">
        <f t="shared" si="16"/>
        <v>0</v>
      </c>
      <c r="G38" s="96">
        <f t="shared" si="16"/>
        <v>0</v>
      </c>
      <c r="H38" s="96">
        <f t="shared" si="16"/>
        <v>0</v>
      </c>
      <c r="I38" s="96">
        <f t="shared" si="16"/>
        <v>171.7764</v>
      </c>
      <c r="J38" s="96">
        <f t="shared" si="16"/>
        <v>1918.6591499211165</v>
      </c>
      <c r="K38" s="96"/>
      <c r="U38" s="2">
        <f>SUM(S8:S11)</f>
        <v>0</v>
      </c>
    </row>
  </sheetData>
  <sheetProtection sheet="1" objects="1" scenarios="1"/>
  <conditionalFormatting sqref="B5:B6">
    <cfRule type="expression" priority="1">
      <formula>NOT(B5="")</formula>
    </cfRule>
  </conditionalFormatting>
  <conditionalFormatting sqref="B11:I11">
    <cfRule type="expression" dxfId="143" priority="4">
      <formula>NOT(B11="")</formula>
    </cfRule>
  </conditionalFormatting>
  <conditionalFormatting sqref="B35:J35">
    <cfRule type="expression" dxfId="142" priority="3">
      <formula>NOT(B35="")</formula>
    </cfRule>
  </conditionalFormatting>
  <conditionalFormatting sqref="E5">
    <cfRule type="expression" dxfId="141" priority="5">
      <formula>NOT($E$5="")</formula>
    </cfRule>
  </conditionalFormatting>
  <conditionalFormatting sqref="J36">
    <cfRule type="expression" dxfId="140" priority="10">
      <formula>AND(NOT($J$35=""),$J$36="")</formula>
    </cfRule>
  </conditionalFormatting>
  <conditionalFormatting sqref="K35">
    <cfRule type="expression" dxfId="139" priority="13">
      <formula>$K$35&gt;100.2</formula>
    </cfRule>
    <cfRule type="expression" dxfId="138" priority="14">
      <formula>$K$35&lt;99.8</formula>
    </cfRule>
  </conditionalFormatting>
  <conditionalFormatting sqref="K37">
    <cfRule type="expression" dxfId="137" priority="11">
      <formula>$K$35&gt;100.2</formula>
    </cfRule>
    <cfRule type="expression" dxfId="136" priority="12">
      <formula>$K$35&lt;99.8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/>
  <dimension ref="A1:AE150"/>
  <sheetViews>
    <sheetView showGridLines="0" zoomScaleNormal="100" workbookViewId="0">
      <selection activeCell="C9" sqref="C9"/>
    </sheetView>
  </sheetViews>
  <sheetFormatPr defaultColWidth="9.140625" defaultRowHeight="18" customHeight="1" outlineLevelRow="2" x14ac:dyDescent="0.25"/>
  <cols>
    <col min="1" max="1" width="38.42578125" style="1" customWidth="1"/>
    <col min="2" max="2" width="0.28515625" style="244" customWidth="1"/>
    <col min="3" max="3" width="17.85546875" style="1" customWidth="1"/>
    <col min="4" max="28" width="18.7109375" style="1" customWidth="1"/>
    <col min="29" max="30" width="12.85546875" style="1" customWidth="1"/>
    <col min="31" max="32" width="9.140625" style="1" customWidth="1"/>
    <col min="33" max="16384" width="9.140625" style="1"/>
  </cols>
  <sheetData>
    <row r="1" spans="1:29" s="2" customFormat="1" ht="18" customHeight="1" x14ac:dyDescent="0.25">
      <c r="A1" s="11" t="s">
        <v>0</v>
      </c>
      <c r="B1" s="234"/>
      <c r="C1" s="221" t="str">
        <f>IF(Run_Plan!$B$1="","",Run_Plan!$B$1)</f>
        <v>R6-C1-S1</v>
      </c>
    </row>
    <row r="2" spans="1:29" s="2" customFormat="1" ht="18" customHeight="1" x14ac:dyDescent="0.25">
      <c r="A2" s="11" t="s">
        <v>1</v>
      </c>
      <c r="B2" s="235"/>
      <c r="C2" s="222" t="str">
        <f>IF(Run_Plan!$B$2="","",Run_Plan!$B$2)</f>
        <v/>
      </c>
      <c r="D2" s="45"/>
      <c r="E2" s="45"/>
      <c r="F2" s="45"/>
      <c r="G2" s="45"/>
      <c r="H2" s="45"/>
      <c r="I2" s="45"/>
      <c r="J2" s="44"/>
      <c r="K2" s="141"/>
      <c r="L2" s="141"/>
      <c r="M2" s="141"/>
      <c r="N2" s="141"/>
    </row>
    <row r="3" spans="1:29" s="2" customFormat="1" ht="18" customHeight="1" x14ac:dyDescent="0.25">
      <c r="A3" s="11" t="s">
        <v>3</v>
      </c>
      <c r="B3" s="236"/>
      <c r="C3" s="223">
        <f>IF(Run_Plan!$B$3="","",Run_Plan!$B$3)</f>
        <v>45425.583333333336</v>
      </c>
      <c r="D3" s="91"/>
      <c r="E3" s="9" t="s">
        <v>126</v>
      </c>
      <c r="F3" s="41">
        <f>IFERROR((C6-C5)*1440,"")</f>
        <v>5.9999999986030161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</row>
    <row r="4" spans="1:29" s="2" customFormat="1" ht="18" customHeight="1" x14ac:dyDescent="0.25">
      <c r="A4" s="11" t="s">
        <v>123</v>
      </c>
      <c r="B4" s="236"/>
      <c r="C4" s="223" t="str">
        <f>IF(Liq!B4="", "", Liq!B4)</f>
        <v>C1-S1</v>
      </c>
      <c r="D4" s="93"/>
      <c r="E4" s="12" t="s">
        <v>127</v>
      </c>
      <c r="F4" s="40">
        <f>IFERROR(24*((C5+C6)/2-C3),"")</f>
        <v>17.916666666569654</v>
      </c>
    </row>
    <row r="5" spans="1:29" s="2" customFormat="1" ht="18" customHeight="1" x14ac:dyDescent="0.25">
      <c r="A5" s="11" t="s">
        <v>124</v>
      </c>
      <c r="B5" s="236"/>
      <c r="C5" s="224">
        <f>IF(Liq!B5="","",Liq!B5)</f>
        <v>45426.327777777777</v>
      </c>
      <c r="D5" s="91"/>
      <c r="E5" s="79" t="s">
        <v>212</v>
      </c>
      <c r="F5" s="158">
        <f>Gas!B20</f>
        <v>0.22890922011282697</v>
      </c>
      <c r="H5" s="257" t="s">
        <v>213</v>
      </c>
      <c r="I5" s="258"/>
      <c r="J5" s="258"/>
      <c r="K5" s="259"/>
    </row>
    <row r="6" spans="1:29" s="2" customFormat="1" ht="18" customHeight="1" x14ac:dyDescent="0.25">
      <c r="A6" s="11" t="s">
        <v>125</v>
      </c>
      <c r="B6" s="236"/>
      <c r="C6" s="223">
        <f>IF(Liq!B6="","",Liq!B6)</f>
        <v>45426.331944444442</v>
      </c>
      <c r="D6" s="42"/>
      <c r="E6" s="42"/>
      <c r="H6" s="185">
        <f t="array" ref="H6">MIN(IF(D16:XFD16&lt;&gt;0,D16:XFD16))</f>
        <v>0</v>
      </c>
      <c r="I6" s="185">
        <f t="array" ref="I6">MAX(IF(D16:XFD16&lt;&gt;0,D16:XFD16))</f>
        <v>0</v>
      </c>
      <c r="J6" s="70"/>
      <c r="K6" s="186" t="str">
        <f>IF(AND(H7=TRUE,I7=TRUE),"Pass","Fail")</f>
        <v>Fail</v>
      </c>
    </row>
    <row r="7" spans="1:29" s="2" customFormat="1" ht="18" customHeight="1" x14ac:dyDescent="0.25">
      <c r="B7" s="234"/>
      <c r="H7" s="70" t="b">
        <f>IF(Liq!B3&gt;='R1_MB'!H6,FALSE,TRUE)</f>
        <v>0</v>
      </c>
      <c r="I7" s="70" t="b">
        <f>IF(Liq!B6&lt;='R1_MB'!I6,FALSE,TRUE)</f>
        <v>1</v>
      </c>
    </row>
    <row r="8" spans="1:29" s="2" customFormat="1" ht="18" customHeight="1" x14ac:dyDescent="0.25">
      <c r="A8" s="11" t="s">
        <v>214</v>
      </c>
      <c r="B8" s="236"/>
      <c r="C8" s="225">
        <f>Liq!B13</f>
        <v>0.50000000002910383</v>
      </c>
      <c r="D8" s="42"/>
      <c r="E8" s="42"/>
    </row>
    <row r="9" spans="1:29" s="2" customFormat="1" ht="18" customHeight="1" x14ac:dyDescent="0.25">
      <c r="A9" s="11" t="s">
        <v>215</v>
      </c>
      <c r="B9" s="236"/>
      <c r="C9" s="225">
        <f>IFERROR(Gas!B12-Gas!B20,"")</f>
        <v>2.5568050656014587</v>
      </c>
      <c r="D9" s="142" t="s">
        <v>216</v>
      </c>
      <c r="E9" s="42"/>
    </row>
    <row r="10" spans="1:29" s="2" customFormat="1" ht="18" customHeight="1" x14ac:dyDescent="0.25">
      <c r="A10" s="11" t="s">
        <v>217</v>
      </c>
      <c r="B10" s="236"/>
      <c r="C10" s="225">
        <f>Liq!B40</f>
        <v>0</v>
      </c>
      <c r="D10" s="42"/>
      <c r="E10" s="42"/>
    </row>
    <row r="11" spans="1:29" s="2" customFormat="1" ht="18" customHeight="1" x14ac:dyDescent="0.25">
      <c r="A11" s="11" t="s">
        <v>218</v>
      </c>
      <c r="B11" s="236"/>
      <c r="C11" s="225">
        <f>Liq!B41</f>
        <v>0</v>
      </c>
      <c r="D11" s="42"/>
      <c r="E11" s="42"/>
    </row>
    <row r="12" spans="1:29" s="2" customFormat="1" ht="18" customHeight="1" x14ac:dyDescent="0.25">
      <c r="A12" s="11" t="s">
        <v>219</v>
      </c>
      <c r="B12" s="236"/>
      <c r="C12" s="225">
        <f>SUM(C52:C74,C76:C80)</f>
        <v>2.590232544135799</v>
      </c>
      <c r="D12" s="142" t="s">
        <v>216</v>
      </c>
      <c r="E12" s="42"/>
    </row>
    <row r="13" spans="1:29" s="2" customFormat="1" ht="18" customHeight="1" x14ac:dyDescent="0.25">
      <c r="A13" s="11" t="s">
        <v>220</v>
      </c>
      <c r="B13" s="236"/>
      <c r="C13" s="226">
        <f>IFERROR(100*(C12+C11+C10)/(C9+C8),"")</f>
        <v>84.736595514685902</v>
      </c>
      <c r="D13" s="142"/>
      <c r="E13" s="42"/>
      <c r="H13" s="165"/>
    </row>
    <row r="14" spans="1:29" s="2" customFormat="1" ht="18" customHeight="1" x14ac:dyDescent="0.25">
      <c r="B14" s="234"/>
    </row>
    <row r="15" spans="1:29" ht="18" customHeight="1" outlineLevel="1" x14ac:dyDescent="0.25">
      <c r="A15" s="11" t="s">
        <v>221</v>
      </c>
      <c r="B15" s="237"/>
      <c r="C15" s="227"/>
      <c r="D15" s="130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</row>
    <row r="16" spans="1:29" s="134" customFormat="1" ht="18" customHeight="1" outlineLevel="1" x14ac:dyDescent="0.25">
      <c r="A16" s="220" t="s">
        <v>222</v>
      </c>
      <c r="B16" s="238"/>
      <c r="C16" s="228"/>
      <c r="D16" s="163"/>
      <c r="E16" s="163"/>
      <c r="F16" s="164"/>
      <c r="G16" s="164"/>
      <c r="H16" s="164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31" ht="18" customHeight="1" outlineLevel="1" x14ac:dyDescent="0.25">
      <c r="A17" s="11" t="s">
        <v>223</v>
      </c>
      <c r="B17" s="239"/>
      <c r="C17" s="229"/>
      <c r="D17" s="148"/>
      <c r="E17" s="140" t="str">
        <f t="shared" ref="E17:AB17" si="0">IF(E15="", "", (E16-$D$16)*1440)</f>
        <v/>
      </c>
      <c r="F17" s="140" t="str">
        <f t="shared" si="0"/>
        <v/>
      </c>
      <c r="G17" s="140" t="str">
        <f t="shared" si="0"/>
        <v/>
      </c>
      <c r="H17" s="140" t="str">
        <f t="shared" si="0"/>
        <v/>
      </c>
      <c r="I17" s="140" t="str">
        <f t="shared" si="0"/>
        <v/>
      </c>
      <c r="J17" s="140" t="str">
        <f t="shared" si="0"/>
        <v/>
      </c>
      <c r="K17" s="140" t="str">
        <f t="shared" si="0"/>
        <v/>
      </c>
      <c r="L17" s="140" t="str">
        <f t="shared" si="0"/>
        <v/>
      </c>
      <c r="M17" s="140" t="str">
        <f t="shared" si="0"/>
        <v/>
      </c>
      <c r="N17" s="140" t="str">
        <f t="shared" si="0"/>
        <v/>
      </c>
      <c r="O17" s="140" t="str">
        <f t="shared" si="0"/>
        <v/>
      </c>
      <c r="P17" s="140" t="str">
        <f t="shared" si="0"/>
        <v/>
      </c>
      <c r="Q17" s="140" t="str">
        <f t="shared" si="0"/>
        <v/>
      </c>
      <c r="R17" s="140" t="str">
        <f t="shared" si="0"/>
        <v/>
      </c>
      <c r="S17" s="140" t="str">
        <f t="shared" si="0"/>
        <v/>
      </c>
      <c r="T17" s="140" t="str">
        <f t="shared" si="0"/>
        <v/>
      </c>
      <c r="U17" s="140" t="str">
        <f t="shared" si="0"/>
        <v/>
      </c>
      <c r="V17" s="140" t="str">
        <f t="shared" si="0"/>
        <v/>
      </c>
      <c r="W17" s="140" t="str">
        <f t="shared" si="0"/>
        <v/>
      </c>
      <c r="X17" s="140" t="str">
        <f t="shared" si="0"/>
        <v/>
      </c>
      <c r="Y17" s="140" t="str">
        <f t="shared" si="0"/>
        <v/>
      </c>
      <c r="Z17" s="140" t="str">
        <f t="shared" si="0"/>
        <v/>
      </c>
      <c r="AA17" s="140" t="str">
        <f t="shared" si="0"/>
        <v/>
      </c>
      <c r="AB17" s="140" t="str">
        <f t="shared" si="0"/>
        <v/>
      </c>
    </row>
    <row r="18" spans="1:31" ht="18" customHeight="1" outlineLevel="1" x14ac:dyDescent="0.25">
      <c r="A18" s="11" t="s">
        <v>224</v>
      </c>
      <c r="B18" s="240"/>
      <c r="C18" s="230"/>
      <c r="D18" s="149"/>
      <c r="E18" s="140" t="str">
        <f t="shared" ref="E18:AB18" si="1">IF(E17="", "", E17-D17)</f>
        <v/>
      </c>
      <c r="F18" s="140" t="str">
        <f t="shared" si="1"/>
        <v/>
      </c>
      <c r="G18" s="140" t="str">
        <f t="shared" si="1"/>
        <v/>
      </c>
      <c r="H18" s="140" t="str">
        <f t="shared" si="1"/>
        <v/>
      </c>
      <c r="I18" s="140" t="str">
        <f t="shared" si="1"/>
        <v/>
      </c>
      <c r="J18" s="140" t="str">
        <f t="shared" si="1"/>
        <v/>
      </c>
      <c r="K18" s="140" t="str">
        <f t="shared" si="1"/>
        <v/>
      </c>
      <c r="L18" s="140" t="str">
        <f t="shared" si="1"/>
        <v/>
      </c>
      <c r="M18" s="140" t="str">
        <f t="shared" si="1"/>
        <v/>
      </c>
      <c r="N18" s="140" t="str">
        <f t="shared" si="1"/>
        <v/>
      </c>
      <c r="O18" s="140" t="str">
        <f t="shared" si="1"/>
        <v/>
      </c>
      <c r="P18" s="140" t="str">
        <f t="shared" si="1"/>
        <v/>
      </c>
      <c r="Q18" s="140" t="str">
        <f t="shared" si="1"/>
        <v/>
      </c>
      <c r="R18" s="140" t="str">
        <f t="shared" si="1"/>
        <v/>
      </c>
      <c r="S18" s="140" t="str">
        <f t="shared" si="1"/>
        <v/>
      </c>
      <c r="T18" s="140" t="str">
        <f t="shared" si="1"/>
        <v/>
      </c>
      <c r="U18" s="140" t="str">
        <f t="shared" si="1"/>
        <v/>
      </c>
      <c r="V18" s="140" t="str">
        <f t="shared" si="1"/>
        <v/>
      </c>
      <c r="W18" s="140" t="str">
        <f t="shared" si="1"/>
        <v/>
      </c>
      <c r="X18" s="140" t="str">
        <f t="shared" si="1"/>
        <v/>
      </c>
      <c r="Y18" s="140" t="str">
        <f t="shared" si="1"/>
        <v/>
      </c>
      <c r="Z18" s="140" t="str">
        <f t="shared" si="1"/>
        <v/>
      </c>
      <c r="AA18" s="140" t="str">
        <f t="shared" si="1"/>
        <v/>
      </c>
      <c r="AB18" s="140" t="str">
        <f t="shared" si="1"/>
        <v/>
      </c>
      <c r="AC18" s="2"/>
      <c r="AD18" s="135"/>
    </row>
    <row r="19" spans="1:31" ht="18" customHeight="1" outlineLevel="1" x14ac:dyDescent="0.25">
      <c r="A19" s="11" t="s">
        <v>225</v>
      </c>
      <c r="B19" s="241" t="s">
        <v>60</v>
      </c>
      <c r="C19" s="231"/>
      <c r="D19" s="16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</row>
    <row r="20" spans="1:31" ht="18" customHeight="1" outlineLevel="1" x14ac:dyDescent="0.25">
      <c r="A20" s="11" t="s">
        <v>34</v>
      </c>
      <c r="B20" s="242">
        <v>16.04</v>
      </c>
      <c r="C20" s="216"/>
      <c r="D20" s="166">
        <v>2.5629620000000002</v>
      </c>
      <c r="E20" s="167">
        <v>2.589108</v>
      </c>
      <c r="F20" s="167">
        <v>2.590509</v>
      </c>
      <c r="G20" s="167">
        <v>2.592991</v>
      </c>
      <c r="H20" s="110">
        <v>2.6486589999999999</v>
      </c>
      <c r="I20" s="110">
        <v>2.6544620000000001</v>
      </c>
      <c r="J20" s="110">
        <v>2.6395870000000001</v>
      </c>
      <c r="K20" s="110">
        <v>2.6471930000000001</v>
      </c>
      <c r="L20" s="119">
        <v>2.6106919999999998</v>
      </c>
      <c r="M20" s="119">
        <v>2.6166049999999998</v>
      </c>
      <c r="N20" s="119">
        <v>2.6078070000000002</v>
      </c>
      <c r="O20" s="119">
        <v>2.616981</v>
      </c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87">
        <f t="shared" ref="AC20:AC49" si="2">IFERROR(_xlfn.STDEV.S(E20:AB20),"")</f>
        <v>2.4369838047732871E-2</v>
      </c>
      <c r="AD20" s="187">
        <f t="shared" ref="AD20:AD49" si="3">IFERROR(AVERAGE(E20:AB20),"")</f>
        <v>2.6195085454545457</v>
      </c>
      <c r="AE20" s="187">
        <f t="shared" ref="AE20:AE49" si="4">IFERROR(AD20+(2*AC20),"")</f>
        <v>2.6682482215500114</v>
      </c>
    </row>
    <row r="21" spans="1:31" ht="18" customHeight="1" outlineLevel="1" x14ac:dyDescent="0.25">
      <c r="A21" s="11" t="s">
        <v>35</v>
      </c>
      <c r="B21" s="242">
        <v>30.07</v>
      </c>
      <c r="C21" s="216"/>
      <c r="D21" s="166">
        <v>2.8149999999999998E-3</v>
      </c>
      <c r="E21" s="167">
        <v>6.5750000000000001E-3</v>
      </c>
      <c r="F21" s="167">
        <v>6.0720000000000001E-3</v>
      </c>
      <c r="G21" s="167">
        <v>5.4609999999999997E-3</v>
      </c>
      <c r="H21" s="110">
        <v>1.359E-3</v>
      </c>
      <c r="I21" s="110">
        <v>1.2819999999999999E-3</v>
      </c>
      <c r="J21" s="110">
        <v>1.245E-3</v>
      </c>
      <c r="K21" s="110">
        <v>1.2260000000000001E-3</v>
      </c>
      <c r="L21" s="119">
        <v>1.42E-3</v>
      </c>
      <c r="M21" s="119">
        <v>1.3079999999999999E-3</v>
      </c>
      <c r="N21" s="119">
        <v>1.3270000000000001E-3</v>
      </c>
      <c r="O21" s="119">
        <v>1.2960000000000001E-3</v>
      </c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87">
        <f t="shared" si="2"/>
        <v>2.2231592058477175E-3</v>
      </c>
      <c r="AD21" s="187">
        <f t="shared" si="3"/>
        <v>2.5973636363636364E-3</v>
      </c>
      <c r="AE21" s="187">
        <f t="shared" si="4"/>
        <v>7.0436820480590714E-3</v>
      </c>
    </row>
    <row r="22" spans="1:31" ht="18" customHeight="1" outlineLevel="1" x14ac:dyDescent="0.25">
      <c r="A22" s="11" t="s">
        <v>33</v>
      </c>
      <c r="B22" s="242">
        <v>28.05</v>
      </c>
      <c r="C22" s="216"/>
      <c r="D22" s="166">
        <v>1.574832</v>
      </c>
      <c r="E22" s="167">
        <v>1.625097</v>
      </c>
      <c r="F22" s="167">
        <v>1.6291880000000001</v>
      </c>
      <c r="G22" s="167">
        <v>1.6295919999999999</v>
      </c>
      <c r="H22" s="110">
        <v>1.6649529999999999</v>
      </c>
      <c r="I22" s="110">
        <v>1.668622</v>
      </c>
      <c r="J22" s="110">
        <v>1.662825</v>
      </c>
      <c r="K22" s="110">
        <v>1.6634450000000001</v>
      </c>
      <c r="L22" s="119">
        <v>1.648668</v>
      </c>
      <c r="M22" s="119">
        <v>1.651386</v>
      </c>
      <c r="N22" s="119">
        <v>1.6452739999999999</v>
      </c>
      <c r="O22" s="119">
        <v>1.652523</v>
      </c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87">
        <f t="shared" si="2"/>
        <v>1.5528505842189363E-2</v>
      </c>
      <c r="AD22" s="187">
        <f t="shared" si="3"/>
        <v>1.6492339090909089</v>
      </c>
      <c r="AE22" s="187">
        <f t="shared" si="4"/>
        <v>1.6802909207752876</v>
      </c>
    </row>
    <row r="23" spans="1:31" ht="18" customHeight="1" outlineLevel="1" x14ac:dyDescent="0.25">
      <c r="A23" s="11" t="s">
        <v>57</v>
      </c>
      <c r="B23" s="242">
        <v>44.1</v>
      </c>
      <c r="C23" s="216"/>
      <c r="D23" s="166">
        <v>0</v>
      </c>
      <c r="E23" s="167">
        <v>0</v>
      </c>
      <c r="F23" s="167">
        <v>0</v>
      </c>
      <c r="G23" s="167">
        <v>0</v>
      </c>
      <c r="H23" s="110">
        <v>0</v>
      </c>
      <c r="I23" s="110">
        <v>0</v>
      </c>
      <c r="J23" s="110">
        <v>0</v>
      </c>
      <c r="K23" s="110">
        <v>0</v>
      </c>
      <c r="L23" s="119">
        <v>0</v>
      </c>
      <c r="M23" s="119">
        <v>0</v>
      </c>
      <c r="N23" s="119">
        <v>0</v>
      </c>
      <c r="O23" s="119">
        <v>0</v>
      </c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87">
        <f t="shared" si="2"/>
        <v>0</v>
      </c>
      <c r="AD23" s="187">
        <f t="shared" si="3"/>
        <v>0</v>
      </c>
      <c r="AE23" s="187">
        <f t="shared" si="4"/>
        <v>0</v>
      </c>
    </row>
    <row r="24" spans="1:31" ht="18" customHeight="1" outlineLevel="1" x14ac:dyDescent="0.25">
      <c r="A24" s="11" t="s">
        <v>56</v>
      </c>
      <c r="B24" s="242">
        <v>42.08</v>
      </c>
      <c r="C24" s="216"/>
      <c r="D24" s="166">
        <v>1.619E-3</v>
      </c>
      <c r="E24" s="167">
        <v>2.6090000000000002E-3</v>
      </c>
      <c r="F24" s="167">
        <v>1.866E-3</v>
      </c>
      <c r="G24" s="167">
        <v>1.5150000000000001E-3</v>
      </c>
      <c r="H24" s="110">
        <v>0</v>
      </c>
      <c r="I24" s="110">
        <v>0</v>
      </c>
      <c r="J24" s="110">
        <v>0</v>
      </c>
      <c r="K24" s="110">
        <v>0</v>
      </c>
      <c r="L24" s="119">
        <v>0</v>
      </c>
      <c r="M24" s="119">
        <v>0</v>
      </c>
      <c r="N24" s="119">
        <v>0</v>
      </c>
      <c r="O24" s="119">
        <v>0</v>
      </c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87">
        <f t="shared" si="2"/>
        <v>9.6551720478056365E-4</v>
      </c>
      <c r="AD24" s="187">
        <f t="shared" si="3"/>
        <v>5.4454545454545456E-4</v>
      </c>
      <c r="AE24" s="187">
        <f t="shared" si="4"/>
        <v>2.4755798641065817E-3</v>
      </c>
    </row>
    <row r="25" spans="1:31" ht="18" customHeight="1" outlineLevel="1" x14ac:dyDescent="0.25">
      <c r="A25" s="11" t="s">
        <v>226</v>
      </c>
      <c r="B25" s="242">
        <v>58.12</v>
      </c>
      <c r="C25" s="216"/>
      <c r="D25" s="166">
        <v>6.0999999999999997E-4</v>
      </c>
      <c r="E25" s="167">
        <v>5.3200000000000003E-4</v>
      </c>
      <c r="F25" s="167">
        <v>4.0700000000000003E-4</v>
      </c>
      <c r="G25" s="167">
        <v>3.57E-4</v>
      </c>
      <c r="H25" s="110">
        <v>0</v>
      </c>
      <c r="I25" s="110">
        <v>0</v>
      </c>
      <c r="J25" s="110">
        <v>0</v>
      </c>
      <c r="K25" s="110">
        <v>0</v>
      </c>
      <c r="L25" s="119">
        <v>0</v>
      </c>
      <c r="M25" s="119">
        <v>0</v>
      </c>
      <c r="N25" s="119">
        <v>0</v>
      </c>
      <c r="O25" s="119">
        <v>0</v>
      </c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87">
        <f t="shared" si="2"/>
        <v>2.057740596779965E-4</v>
      </c>
      <c r="AD25" s="187">
        <f t="shared" si="3"/>
        <v>1.1781818181818182E-4</v>
      </c>
      <c r="AE25" s="187">
        <f t="shared" si="4"/>
        <v>5.2936630117417487E-4</v>
      </c>
    </row>
    <row r="26" spans="1:31" ht="18" customHeight="1" outlineLevel="1" x14ac:dyDescent="0.25">
      <c r="A26" s="11" t="s">
        <v>227</v>
      </c>
      <c r="B26" s="242">
        <v>72.150000000000006</v>
      </c>
      <c r="C26" s="216"/>
      <c r="D26" s="166">
        <v>0</v>
      </c>
      <c r="E26" s="167">
        <v>0</v>
      </c>
      <c r="F26" s="167">
        <v>0</v>
      </c>
      <c r="G26" s="167">
        <v>0</v>
      </c>
      <c r="H26" s="110">
        <v>0</v>
      </c>
      <c r="I26" s="110">
        <v>0</v>
      </c>
      <c r="J26" s="110">
        <v>0</v>
      </c>
      <c r="K26" s="110">
        <v>0</v>
      </c>
      <c r="L26" s="119">
        <v>0</v>
      </c>
      <c r="M26" s="119">
        <v>0</v>
      </c>
      <c r="N26" s="119">
        <v>0</v>
      </c>
      <c r="O26" s="119">
        <v>0</v>
      </c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87">
        <f t="shared" si="2"/>
        <v>0</v>
      </c>
      <c r="AD26" s="187">
        <f t="shared" si="3"/>
        <v>0</v>
      </c>
      <c r="AE26" s="187">
        <f t="shared" si="4"/>
        <v>0</v>
      </c>
    </row>
    <row r="27" spans="1:31" ht="18" customHeight="1" outlineLevel="1" x14ac:dyDescent="0.25">
      <c r="A27" s="11" t="s">
        <v>228</v>
      </c>
      <c r="B27" s="242">
        <v>86.18</v>
      </c>
      <c r="C27" s="216"/>
      <c r="D27" s="166">
        <v>7.5699999999999997E-4</v>
      </c>
      <c r="E27" s="167">
        <v>1.431E-3</v>
      </c>
      <c r="F27" s="167">
        <v>3.7199999999999999E-4</v>
      </c>
      <c r="G27" s="167">
        <v>2.4800000000000001E-4</v>
      </c>
      <c r="H27" s="110">
        <v>0</v>
      </c>
      <c r="I27" s="110">
        <v>0</v>
      </c>
      <c r="J27" s="110">
        <v>0</v>
      </c>
      <c r="K27" s="110">
        <v>0</v>
      </c>
      <c r="L27" s="119">
        <v>0</v>
      </c>
      <c r="M27" s="119">
        <v>0</v>
      </c>
      <c r="N27" s="119">
        <v>0</v>
      </c>
      <c r="O27" s="119">
        <v>0</v>
      </c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87">
        <f t="shared" si="2"/>
        <v>4.3188317022925624E-4</v>
      </c>
      <c r="AD27" s="187">
        <f t="shared" si="3"/>
        <v>1.8645454545454545E-4</v>
      </c>
      <c r="AE27" s="187">
        <f t="shared" si="4"/>
        <v>1.0502208859130579E-3</v>
      </c>
    </row>
    <row r="28" spans="1:31" ht="18" customHeight="1" outlineLevel="1" x14ac:dyDescent="0.25">
      <c r="A28" s="11" t="s">
        <v>229</v>
      </c>
      <c r="B28" s="242">
        <v>86.18</v>
      </c>
      <c r="C28" s="216"/>
      <c r="D28" s="166">
        <v>0</v>
      </c>
      <c r="E28" s="167">
        <v>0</v>
      </c>
      <c r="F28" s="167">
        <v>0</v>
      </c>
      <c r="G28" s="167">
        <v>0</v>
      </c>
      <c r="H28" s="110">
        <v>0</v>
      </c>
      <c r="I28" s="110">
        <v>0</v>
      </c>
      <c r="J28" s="110">
        <v>0</v>
      </c>
      <c r="K28" s="110">
        <v>0</v>
      </c>
      <c r="L28" s="119">
        <v>0</v>
      </c>
      <c r="M28" s="119">
        <v>0</v>
      </c>
      <c r="N28" s="119">
        <v>0</v>
      </c>
      <c r="O28" s="119">
        <v>0</v>
      </c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87">
        <f t="shared" si="2"/>
        <v>0</v>
      </c>
      <c r="AD28" s="187">
        <f t="shared" si="3"/>
        <v>0</v>
      </c>
      <c r="AE28" s="187">
        <f t="shared" si="4"/>
        <v>0</v>
      </c>
    </row>
    <row r="29" spans="1:31" ht="18" customHeight="1" outlineLevel="1" x14ac:dyDescent="0.25">
      <c r="A29" s="11" t="s">
        <v>230</v>
      </c>
      <c r="B29" s="242">
        <v>58.12</v>
      </c>
      <c r="C29" s="216"/>
      <c r="D29" s="166">
        <v>0</v>
      </c>
      <c r="E29" s="167">
        <v>1.3741E-2</v>
      </c>
      <c r="F29" s="166">
        <v>1.1877E-2</v>
      </c>
      <c r="G29" s="167">
        <v>1.2342000000000001E-2</v>
      </c>
      <c r="H29" s="110">
        <v>0</v>
      </c>
      <c r="I29" s="110">
        <v>0</v>
      </c>
      <c r="J29" s="110">
        <v>0</v>
      </c>
      <c r="K29" s="110">
        <v>0</v>
      </c>
      <c r="L29" s="119">
        <v>0</v>
      </c>
      <c r="M29" s="119">
        <v>0</v>
      </c>
      <c r="N29" s="119">
        <v>0</v>
      </c>
      <c r="O29" s="119">
        <v>0</v>
      </c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87">
        <f t="shared" si="2"/>
        <v>5.9262691881915965E-3</v>
      </c>
      <c r="AD29" s="187">
        <f t="shared" si="3"/>
        <v>3.4509090909090909E-3</v>
      </c>
      <c r="AE29" s="187">
        <f t="shared" si="4"/>
        <v>1.5303447467292284E-2</v>
      </c>
    </row>
    <row r="30" spans="1:31" ht="18" customHeight="1" outlineLevel="1" x14ac:dyDescent="0.25">
      <c r="A30" s="11" t="s">
        <v>231</v>
      </c>
      <c r="B30" s="242">
        <v>72.150000000000006</v>
      </c>
      <c r="C30" s="216"/>
      <c r="D30" s="166">
        <v>0</v>
      </c>
      <c r="E30" s="167">
        <v>0</v>
      </c>
      <c r="F30" s="166">
        <v>0</v>
      </c>
      <c r="G30" s="167">
        <v>0</v>
      </c>
      <c r="H30" s="110">
        <v>0</v>
      </c>
      <c r="I30" s="110">
        <v>0</v>
      </c>
      <c r="J30" s="110">
        <v>0</v>
      </c>
      <c r="K30" s="110">
        <v>0</v>
      </c>
      <c r="L30" s="119">
        <v>0</v>
      </c>
      <c r="M30" s="119">
        <v>0</v>
      </c>
      <c r="N30" s="119">
        <v>0</v>
      </c>
      <c r="O30" s="119">
        <v>0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87">
        <f t="shared" si="2"/>
        <v>0</v>
      </c>
      <c r="AD30" s="187">
        <f t="shared" si="3"/>
        <v>0</v>
      </c>
      <c r="AE30" s="187">
        <f t="shared" si="4"/>
        <v>0</v>
      </c>
    </row>
    <row r="31" spans="1:31" ht="18" customHeight="1" outlineLevel="1" x14ac:dyDescent="0.25">
      <c r="A31" s="11" t="s">
        <v>232</v>
      </c>
      <c r="B31" s="242">
        <v>86.18</v>
      </c>
      <c r="C31" s="216"/>
      <c r="D31" s="166">
        <v>7.5699999999999997E-4</v>
      </c>
      <c r="E31" s="167">
        <v>1.431E-3</v>
      </c>
      <c r="F31" s="166">
        <v>3.7199999999999999E-4</v>
      </c>
      <c r="G31" s="167">
        <v>2.4800000000000001E-4</v>
      </c>
      <c r="H31" s="110">
        <v>0</v>
      </c>
      <c r="I31" s="110">
        <v>0</v>
      </c>
      <c r="J31" s="110">
        <v>0</v>
      </c>
      <c r="K31" s="110">
        <v>0</v>
      </c>
      <c r="L31" s="119">
        <v>0</v>
      </c>
      <c r="M31" s="119">
        <v>0</v>
      </c>
      <c r="N31" s="119">
        <v>0</v>
      </c>
      <c r="O31" s="119">
        <v>0</v>
      </c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87">
        <f t="shared" si="2"/>
        <v>4.3188317022925624E-4</v>
      </c>
      <c r="AD31" s="187">
        <f t="shared" si="3"/>
        <v>1.8645454545454545E-4</v>
      </c>
      <c r="AE31" s="187">
        <f t="shared" si="4"/>
        <v>1.0502208859130579E-3</v>
      </c>
    </row>
    <row r="32" spans="1:31" ht="18" customHeight="1" outlineLevel="1" x14ac:dyDescent="0.25">
      <c r="A32" s="11" t="s">
        <v>233</v>
      </c>
      <c r="B32" s="242">
        <v>100.21</v>
      </c>
      <c r="C32" s="216"/>
      <c r="D32" s="166">
        <v>6.3379999999999999E-3</v>
      </c>
      <c r="E32" s="167">
        <v>4.8233999999999999E-2</v>
      </c>
      <c r="F32" s="166">
        <v>4.2344E-2</v>
      </c>
      <c r="G32" s="167">
        <v>4.3678000000000002E-2</v>
      </c>
      <c r="H32" s="110">
        <v>0</v>
      </c>
      <c r="I32" s="110">
        <v>3.5811000000000003E-2</v>
      </c>
      <c r="J32" s="110">
        <v>4.3600000000000002E-3</v>
      </c>
      <c r="K32" s="110">
        <v>0</v>
      </c>
      <c r="L32" s="119">
        <v>0</v>
      </c>
      <c r="M32" s="119">
        <v>0</v>
      </c>
      <c r="N32" s="119">
        <v>0</v>
      </c>
      <c r="O32" s="119">
        <v>0</v>
      </c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87">
        <f t="shared" si="2"/>
        <v>2.1360826664715019E-2</v>
      </c>
      <c r="AD32" s="187">
        <f t="shared" si="3"/>
        <v>1.5857E-2</v>
      </c>
      <c r="AE32" s="187">
        <f t="shared" si="4"/>
        <v>5.8578653329430033E-2</v>
      </c>
    </row>
    <row r="33" spans="1:31" ht="18" customHeight="1" outlineLevel="1" x14ac:dyDescent="0.25">
      <c r="A33" s="11" t="s">
        <v>234</v>
      </c>
      <c r="B33" s="242">
        <v>78.11</v>
      </c>
      <c r="C33" s="216"/>
      <c r="D33" s="166">
        <v>0</v>
      </c>
      <c r="E33" s="167">
        <v>0</v>
      </c>
      <c r="F33" s="166">
        <v>0</v>
      </c>
      <c r="G33" s="167">
        <v>0</v>
      </c>
      <c r="H33" s="110">
        <v>0</v>
      </c>
      <c r="I33" s="110">
        <v>0</v>
      </c>
      <c r="J33" s="110">
        <v>0</v>
      </c>
      <c r="K33" s="110">
        <v>0</v>
      </c>
      <c r="L33" s="119">
        <v>0</v>
      </c>
      <c r="M33" s="119">
        <v>0</v>
      </c>
      <c r="N33" s="119">
        <v>0</v>
      </c>
      <c r="O33" s="119">
        <v>0</v>
      </c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87">
        <f t="shared" si="2"/>
        <v>0</v>
      </c>
      <c r="AD33" s="187">
        <f t="shared" si="3"/>
        <v>0</v>
      </c>
      <c r="AE33" s="187">
        <f t="shared" si="4"/>
        <v>0</v>
      </c>
    </row>
    <row r="34" spans="1:31" ht="18" customHeight="1" outlineLevel="1" x14ac:dyDescent="0.25">
      <c r="A34" s="11" t="s">
        <v>235</v>
      </c>
      <c r="B34" s="242">
        <v>92.14</v>
      </c>
      <c r="C34" s="216"/>
      <c r="D34" s="166">
        <v>0</v>
      </c>
      <c r="E34" s="167">
        <v>0</v>
      </c>
      <c r="F34" s="166">
        <v>0</v>
      </c>
      <c r="G34" s="167">
        <v>0</v>
      </c>
      <c r="H34" s="110">
        <v>0</v>
      </c>
      <c r="I34" s="110">
        <v>0</v>
      </c>
      <c r="J34" s="110">
        <v>0</v>
      </c>
      <c r="K34" s="110">
        <v>0</v>
      </c>
      <c r="L34" s="119">
        <v>0</v>
      </c>
      <c r="M34" s="119">
        <v>0</v>
      </c>
      <c r="N34" s="119">
        <v>0</v>
      </c>
      <c r="O34" s="119">
        <v>0</v>
      </c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87">
        <f t="shared" si="2"/>
        <v>0</v>
      </c>
      <c r="AD34" s="187">
        <f t="shared" si="3"/>
        <v>0</v>
      </c>
      <c r="AE34" s="187">
        <f t="shared" si="4"/>
        <v>0</v>
      </c>
    </row>
    <row r="35" spans="1:31" ht="18" customHeight="1" outlineLevel="1" x14ac:dyDescent="0.25">
      <c r="A35" s="11" t="s">
        <v>236</v>
      </c>
      <c r="B35" s="242">
        <v>106.167</v>
      </c>
      <c r="C35" s="216"/>
      <c r="D35" s="166">
        <v>0</v>
      </c>
      <c r="E35" s="167">
        <v>0</v>
      </c>
      <c r="F35" s="166">
        <v>0</v>
      </c>
      <c r="G35" s="167">
        <v>0</v>
      </c>
      <c r="H35" s="110">
        <v>0</v>
      </c>
      <c r="I35" s="110">
        <v>0</v>
      </c>
      <c r="J35" s="110">
        <v>0</v>
      </c>
      <c r="K35" s="110">
        <v>0</v>
      </c>
      <c r="L35" s="119">
        <v>0</v>
      </c>
      <c r="M35" s="119">
        <v>0</v>
      </c>
      <c r="N35" s="119">
        <v>0</v>
      </c>
      <c r="O35" s="119">
        <v>0</v>
      </c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87">
        <f t="shared" si="2"/>
        <v>0</v>
      </c>
      <c r="AD35" s="187">
        <f t="shared" si="3"/>
        <v>0</v>
      </c>
      <c r="AE35" s="187">
        <f t="shared" si="4"/>
        <v>0</v>
      </c>
    </row>
    <row r="36" spans="1:31" ht="18" customHeight="1" outlineLevel="1" x14ac:dyDescent="0.25">
      <c r="A36" s="11" t="s">
        <v>237</v>
      </c>
      <c r="B36" s="242">
        <v>106.167</v>
      </c>
      <c r="C36" s="216"/>
      <c r="D36" s="166">
        <v>0</v>
      </c>
      <c r="E36" s="167">
        <v>0</v>
      </c>
      <c r="F36" s="166">
        <v>0</v>
      </c>
      <c r="G36" s="167">
        <v>0</v>
      </c>
      <c r="H36" s="110">
        <v>0</v>
      </c>
      <c r="I36" s="110">
        <v>0</v>
      </c>
      <c r="J36" s="110">
        <v>0</v>
      </c>
      <c r="K36" s="110">
        <v>0</v>
      </c>
      <c r="L36" s="119">
        <v>0</v>
      </c>
      <c r="M36" s="119">
        <v>0</v>
      </c>
      <c r="N36" s="119">
        <v>0</v>
      </c>
      <c r="O36" s="119">
        <v>0</v>
      </c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87">
        <f t="shared" si="2"/>
        <v>0</v>
      </c>
      <c r="AD36" s="187">
        <f t="shared" si="3"/>
        <v>0</v>
      </c>
      <c r="AE36" s="187">
        <f t="shared" si="4"/>
        <v>0</v>
      </c>
    </row>
    <row r="37" spans="1:31" ht="18" customHeight="1" outlineLevel="1" x14ac:dyDescent="0.25">
      <c r="A37" s="11" t="s">
        <v>238</v>
      </c>
      <c r="B37" s="242">
        <v>106.167</v>
      </c>
      <c r="C37" s="216"/>
      <c r="D37" s="166">
        <v>2.0699999999999998E-3</v>
      </c>
      <c r="E37" s="167">
        <v>5.058E-3</v>
      </c>
      <c r="F37" s="166">
        <v>3.241E-3</v>
      </c>
      <c r="G37" s="167">
        <v>2.1870000000000001E-3</v>
      </c>
      <c r="H37" s="110">
        <v>0</v>
      </c>
      <c r="I37" s="110">
        <v>0</v>
      </c>
      <c r="J37" s="110">
        <v>0</v>
      </c>
      <c r="K37" s="110">
        <v>0</v>
      </c>
      <c r="L37" s="119">
        <v>0</v>
      </c>
      <c r="M37" s="119">
        <v>0</v>
      </c>
      <c r="N37" s="119">
        <v>0</v>
      </c>
      <c r="O37" s="119">
        <v>0</v>
      </c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87">
        <f t="shared" si="2"/>
        <v>1.7571111570364062E-3</v>
      </c>
      <c r="AD37" s="187">
        <f t="shared" si="3"/>
        <v>9.532727272727273E-4</v>
      </c>
      <c r="AE37" s="187">
        <f t="shared" si="4"/>
        <v>4.46749504134554E-3</v>
      </c>
    </row>
    <row r="38" spans="1:31" ht="18" customHeight="1" outlineLevel="1" x14ac:dyDescent="0.25">
      <c r="A38" s="11" t="s">
        <v>239</v>
      </c>
      <c r="B38" s="242">
        <v>106.167</v>
      </c>
      <c r="C38" s="216"/>
      <c r="D38" s="166">
        <v>0</v>
      </c>
      <c r="E38" s="167">
        <v>0</v>
      </c>
      <c r="F38" s="166">
        <v>0</v>
      </c>
      <c r="G38" s="167">
        <v>0</v>
      </c>
      <c r="H38" s="110">
        <v>0</v>
      </c>
      <c r="I38" s="110">
        <v>0</v>
      </c>
      <c r="J38" s="110">
        <v>0</v>
      </c>
      <c r="K38" s="110">
        <v>0</v>
      </c>
      <c r="L38" s="119">
        <v>0</v>
      </c>
      <c r="M38" s="119">
        <v>0</v>
      </c>
      <c r="N38" s="119">
        <v>0</v>
      </c>
      <c r="O38" s="119">
        <v>0</v>
      </c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87">
        <f t="shared" si="2"/>
        <v>0</v>
      </c>
      <c r="AD38" s="187">
        <f t="shared" si="3"/>
        <v>0</v>
      </c>
      <c r="AE38" s="187">
        <f t="shared" si="4"/>
        <v>0</v>
      </c>
    </row>
    <row r="39" spans="1:31" ht="18" customHeight="1" outlineLevel="1" x14ac:dyDescent="0.25">
      <c r="A39" s="11" t="s">
        <v>240</v>
      </c>
      <c r="B39" s="242">
        <v>86.18</v>
      </c>
      <c r="C39" s="216"/>
      <c r="D39" s="166">
        <v>0</v>
      </c>
      <c r="E39" s="167">
        <v>1.3741E-2</v>
      </c>
      <c r="F39" s="166">
        <v>1.1877E-2</v>
      </c>
      <c r="G39" s="167">
        <v>1.2342000000000001E-2</v>
      </c>
      <c r="H39" s="110">
        <v>0</v>
      </c>
      <c r="I39" s="110">
        <v>0</v>
      </c>
      <c r="J39" s="110">
        <v>0</v>
      </c>
      <c r="K39" s="110">
        <v>0</v>
      </c>
      <c r="L39" s="119">
        <v>0</v>
      </c>
      <c r="M39" s="119">
        <v>0</v>
      </c>
      <c r="N39" s="119">
        <v>0</v>
      </c>
      <c r="O39" s="119">
        <v>0</v>
      </c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87">
        <f t="shared" si="2"/>
        <v>5.9262691881915965E-3</v>
      </c>
      <c r="AD39" s="187">
        <f t="shared" si="3"/>
        <v>3.4509090909090909E-3</v>
      </c>
      <c r="AE39" s="187">
        <f t="shared" si="4"/>
        <v>1.5303447467292284E-2</v>
      </c>
    </row>
    <row r="40" spans="1:31" ht="18" customHeight="1" outlineLevel="1" x14ac:dyDescent="0.25">
      <c r="A40" s="11" t="s">
        <v>241</v>
      </c>
      <c r="B40" s="242">
        <v>114.23</v>
      </c>
      <c r="C40" s="216"/>
      <c r="D40" s="166">
        <v>0</v>
      </c>
      <c r="E40" s="167">
        <v>0</v>
      </c>
      <c r="F40" s="166">
        <v>0</v>
      </c>
      <c r="G40" s="167">
        <v>0</v>
      </c>
      <c r="H40" s="110">
        <v>0</v>
      </c>
      <c r="I40" s="110">
        <v>0</v>
      </c>
      <c r="J40" s="110">
        <v>0</v>
      </c>
      <c r="K40" s="110">
        <v>0</v>
      </c>
      <c r="L40" s="119">
        <v>0</v>
      </c>
      <c r="M40" s="119">
        <v>0</v>
      </c>
      <c r="N40" s="119">
        <v>0</v>
      </c>
      <c r="O40" s="119">
        <v>0</v>
      </c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87">
        <f t="shared" si="2"/>
        <v>0</v>
      </c>
      <c r="AD40" s="187">
        <f t="shared" si="3"/>
        <v>0</v>
      </c>
      <c r="AE40" s="187">
        <f t="shared" si="4"/>
        <v>0</v>
      </c>
    </row>
    <row r="41" spans="1:31" ht="18" customHeight="1" outlineLevel="1" x14ac:dyDescent="0.25">
      <c r="A41" s="11" t="s">
        <v>242</v>
      </c>
      <c r="B41" s="242">
        <v>100.21</v>
      </c>
      <c r="C41" s="216"/>
      <c r="D41" s="166">
        <v>0</v>
      </c>
      <c r="E41" s="167">
        <v>0</v>
      </c>
      <c r="F41" s="166">
        <v>0</v>
      </c>
      <c r="G41" s="167">
        <v>0</v>
      </c>
      <c r="H41" s="110">
        <v>0</v>
      </c>
      <c r="I41" s="110">
        <v>0</v>
      </c>
      <c r="J41" s="110">
        <v>0</v>
      </c>
      <c r="K41" s="110">
        <v>0</v>
      </c>
      <c r="L41" s="119">
        <v>0</v>
      </c>
      <c r="M41" s="119">
        <v>0</v>
      </c>
      <c r="N41" s="119">
        <v>0</v>
      </c>
      <c r="O41" s="119">
        <v>0</v>
      </c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87">
        <f t="shared" si="2"/>
        <v>0</v>
      </c>
      <c r="AD41" s="187">
        <f t="shared" si="3"/>
        <v>0</v>
      </c>
      <c r="AE41" s="187">
        <f t="shared" si="4"/>
        <v>0</v>
      </c>
    </row>
    <row r="42" spans="1:31" ht="18" customHeight="1" outlineLevel="1" x14ac:dyDescent="0.25">
      <c r="A42" s="11" t="s">
        <v>37</v>
      </c>
      <c r="B42" s="242">
        <v>44.01</v>
      </c>
      <c r="C42" s="216"/>
      <c r="D42" s="166">
        <v>0</v>
      </c>
      <c r="E42" s="167">
        <v>0</v>
      </c>
      <c r="F42" s="166">
        <v>0</v>
      </c>
      <c r="G42" s="167">
        <v>0</v>
      </c>
      <c r="H42" s="110">
        <v>0</v>
      </c>
      <c r="I42" s="110">
        <v>0</v>
      </c>
      <c r="J42" s="110">
        <v>0</v>
      </c>
      <c r="K42" s="110">
        <v>0</v>
      </c>
      <c r="L42" s="119">
        <v>0</v>
      </c>
      <c r="M42" s="119">
        <v>0</v>
      </c>
      <c r="N42" s="119">
        <v>0</v>
      </c>
      <c r="O42" s="119">
        <v>0</v>
      </c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87">
        <f t="shared" si="2"/>
        <v>0</v>
      </c>
      <c r="AD42" s="187">
        <f t="shared" si="3"/>
        <v>0</v>
      </c>
      <c r="AE42" s="187">
        <f t="shared" si="4"/>
        <v>0</v>
      </c>
    </row>
    <row r="43" spans="1:31" ht="18" customHeight="1" outlineLevel="1" x14ac:dyDescent="0.25">
      <c r="A43" s="11" t="s">
        <v>39</v>
      </c>
      <c r="B43" s="242">
        <v>39.948</v>
      </c>
      <c r="C43" s="216"/>
      <c r="D43" s="166">
        <v>5.533582</v>
      </c>
      <c r="E43" s="167">
        <v>4.3123279999999999</v>
      </c>
      <c r="F43" s="166">
        <v>4.3020139999999998</v>
      </c>
      <c r="G43" s="167">
        <v>4.3239049999999999</v>
      </c>
      <c r="H43" s="110">
        <v>4.3304229999999997</v>
      </c>
      <c r="I43" s="110">
        <v>4.3676880000000002</v>
      </c>
      <c r="J43" s="110">
        <v>4.2716649999999996</v>
      </c>
      <c r="K43" s="110">
        <v>4.310873</v>
      </c>
      <c r="L43" s="119">
        <v>4.3856270000000004</v>
      </c>
      <c r="M43" s="119">
        <v>4.3658260000000002</v>
      </c>
      <c r="N43" s="119">
        <v>4.3877119999999996</v>
      </c>
      <c r="O43" s="119">
        <v>4.371982</v>
      </c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87">
        <f t="shared" si="2"/>
        <v>3.857874960342348E-2</v>
      </c>
      <c r="AD43" s="187">
        <f t="shared" si="3"/>
        <v>4.3390948181818185</v>
      </c>
      <c r="AE43" s="187">
        <f t="shared" si="4"/>
        <v>4.4162523173886656</v>
      </c>
    </row>
    <row r="44" spans="1:31" ht="18" customHeight="1" outlineLevel="1" x14ac:dyDescent="0.25">
      <c r="A44" s="11" t="s">
        <v>38</v>
      </c>
      <c r="B44" s="242">
        <v>28.01</v>
      </c>
      <c r="C44" s="216"/>
      <c r="D44" s="166">
        <v>0</v>
      </c>
      <c r="E44" s="167">
        <v>0</v>
      </c>
      <c r="F44" s="166">
        <v>0</v>
      </c>
      <c r="G44" s="167">
        <v>0</v>
      </c>
      <c r="H44" s="110">
        <v>0</v>
      </c>
      <c r="I44" s="110">
        <v>0</v>
      </c>
      <c r="J44" s="110">
        <v>0</v>
      </c>
      <c r="K44" s="110">
        <v>0</v>
      </c>
      <c r="L44" s="119">
        <v>0</v>
      </c>
      <c r="M44" s="119">
        <v>0</v>
      </c>
      <c r="N44" s="119">
        <v>0</v>
      </c>
      <c r="O44" s="119">
        <v>0</v>
      </c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87">
        <f t="shared" si="2"/>
        <v>0</v>
      </c>
      <c r="AD44" s="187">
        <f t="shared" si="3"/>
        <v>0</v>
      </c>
      <c r="AE44" s="187">
        <f t="shared" si="4"/>
        <v>0</v>
      </c>
    </row>
    <row r="45" spans="1:31" ht="18" customHeight="1" outlineLevel="1" x14ac:dyDescent="0.25">
      <c r="A45" s="11" t="s">
        <v>243</v>
      </c>
      <c r="B45" s="242">
        <v>2.016</v>
      </c>
      <c r="C45" s="216"/>
      <c r="D45" s="166">
        <v>21.136716</v>
      </c>
      <c r="E45" s="167">
        <v>21.447251999999999</v>
      </c>
      <c r="F45" s="166">
        <v>21.774398000000001</v>
      </c>
      <c r="G45" s="167">
        <v>21.793742999999999</v>
      </c>
      <c r="H45" s="110">
        <v>21.808474</v>
      </c>
      <c r="I45" s="110">
        <v>21.946247</v>
      </c>
      <c r="J45" s="110">
        <v>21.647113000000001</v>
      </c>
      <c r="K45" s="110">
        <v>21.678871999999998</v>
      </c>
      <c r="L45" s="119">
        <v>21.857489999999999</v>
      </c>
      <c r="M45" s="119">
        <v>21.765523000000002</v>
      </c>
      <c r="N45" s="119">
        <v>21.613441999999999</v>
      </c>
      <c r="O45" s="119">
        <v>21.624661</v>
      </c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87">
        <f t="shared" si="2"/>
        <v>0.13787751651289523</v>
      </c>
      <c r="AD45" s="187">
        <f t="shared" si="3"/>
        <v>21.723383181818178</v>
      </c>
      <c r="AE45" s="187">
        <f t="shared" si="4"/>
        <v>21.99913821484397</v>
      </c>
    </row>
    <row r="46" spans="1:31" ht="18" customHeight="1" outlineLevel="1" x14ac:dyDescent="0.25">
      <c r="A46" s="11" t="s">
        <v>55</v>
      </c>
      <c r="B46" s="242">
        <v>26.04</v>
      </c>
      <c r="C46" s="216"/>
      <c r="D46" s="166">
        <v>7.951803</v>
      </c>
      <c r="E46" s="167">
        <v>8.2759499999999999</v>
      </c>
      <c r="F46" s="166">
        <v>8.2987690000000001</v>
      </c>
      <c r="G46" s="167">
        <v>8.3140090000000004</v>
      </c>
      <c r="H46" s="110">
        <v>8.591348</v>
      </c>
      <c r="I46" s="110">
        <v>8.6056729999999995</v>
      </c>
      <c r="J46" s="110">
        <v>8.5833449999999996</v>
      </c>
      <c r="K46" s="110">
        <v>8.5997660000000007</v>
      </c>
      <c r="L46" s="119">
        <v>7.9524949999999999</v>
      </c>
      <c r="M46" s="119">
        <v>7.9587380000000003</v>
      </c>
      <c r="N46" s="119">
        <v>7.936515</v>
      </c>
      <c r="O46" s="119">
        <v>7.9576029999999998</v>
      </c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87">
        <f t="shared" si="2"/>
        <v>0.28830223302398855</v>
      </c>
      <c r="AD46" s="187">
        <f t="shared" si="3"/>
        <v>8.2794737272727286</v>
      </c>
      <c r="AE46" s="187">
        <f t="shared" si="4"/>
        <v>8.8560781933207053</v>
      </c>
    </row>
    <row r="47" spans="1:31" ht="18" customHeight="1" outlineLevel="1" x14ac:dyDescent="0.25">
      <c r="A47" s="11" t="s">
        <v>244</v>
      </c>
      <c r="B47" s="242">
        <v>58.12</v>
      </c>
      <c r="C47" s="216"/>
      <c r="D47" s="166">
        <v>0</v>
      </c>
      <c r="E47" s="167">
        <v>0</v>
      </c>
      <c r="F47" s="166">
        <v>0</v>
      </c>
      <c r="G47" s="167">
        <v>0</v>
      </c>
      <c r="H47" s="110">
        <v>0</v>
      </c>
      <c r="I47" s="110">
        <v>0</v>
      </c>
      <c r="J47" s="110">
        <v>0</v>
      </c>
      <c r="K47" s="110">
        <v>0</v>
      </c>
      <c r="L47" s="119">
        <v>0</v>
      </c>
      <c r="M47" s="119">
        <v>0</v>
      </c>
      <c r="N47" s="119">
        <v>0</v>
      </c>
      <c r="O47" s="119">
        <v>0</v>
      </c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87">
        <f t="shared" si="2"/>
        <v>0</v>
      </c>
      <c r="AD47" s="187">
        <f t="shared" si="3"/>
        <v>0</v>
      </c>
      <c r="AE47" s="187">
        <f t="shared" si="4"/>
        <v>0</v>
      </c>
    </row>
    <row r="48" spans="1:31" ht="18" customHeight="1" outlineLevel="1" x14ac:dyDescent="0.25">
      <c r="A48" s="11" t="s">
        <v>245</v>
      </c>
      <c r="B48" s="242">
        <v>28.013400000000001</v>
      </c>
      <c r="C48" s="216"/>
      <c r="D48" s="166">
        <v>58.127076000000002</v>
      </c>
      <c r="E48" s="167">
        <v>58.736901000000003</v>
      </c>
      <c r="F48" s="166">
        <v>58.835982999999999</v>
      </c>
      <c r="G48" s="167">
        <v>58.879727000000003</v>
      </c>
      <c r="H48" s="110">
        <v>58.714565</v>
      </c>
      <c r="I48" s="110">
        <v>58.8611</v>
      </c>
      <c r="J48" s="110">
        <v>57.869145000000003</v>
      </c>
      <c r="K48" s="110">
        <v>58.498389000000003</v>
      </c>
      <c r="L48" s="119">
        <v>59.328628000000002</v>
      </c>
      <c r="M48" s="119">
        <v>59.297252</v>
      </c>
      <c r="N48" s="119">
        <v>59.315772000000003</v>
      </c>
      <c r="O48" s="119">
        <v>59.405000000000001</v>
      </c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87">
        <f t="shared" si="2"/>
        <v>0.45366612151587221</v>
      </c>
      <c r="AD48" s="187">
        <f t="shared" si="3"/>
        <v>58.885678363636359</v>
      </c>
      <c r="AE48" s="187">
        <f t="shared" si="4"/>
        <v>59.793010606668105</v>
      </c>
    </row>
    <row r="49" spans="1:31" ht="18" customHeight="1" outlineLevel="1" x14ac:dyDescent="0.25">
      <c r="A49" s="11"/>
      <c r="B49" s="242"/>
      <c r="C49" s="232"/>
      <c r="D49" s="150"/>
      <c r="E49" s="167"/>
      <c r="F49" s="167"/>
      <c r="G49" s="167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87" t="str">
        <f t="shared" si="2"/>
        <v/>
      </c>
      <c r="AD49" s="187" t="str">
        <f t="shared" si="3"/>
        <v/>
      </c>
      <c r="AE49" s="187" t="str">
        <f t="shared" si="4"/>
        <v/>
      </c>
    </row>
    <row r="51" spans="1:31" ht="18" customHeight="1" outlineLevel="1" x14ac:dyDescent="0.25">
      <c r="A51" s="11" t="s">
        <v>246</v>
      </c>
      <c r="B51" s="241"/>
      <c r="C51" s="217" t="s">
        <v>247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208" t="s">
        <v>248</v>
      </c>
      <c r="AD51" s="189" t="s">
        <v>249</v>
      </c>
    </row>
    <row r="52" spans="1:31" ht="18" customHeight="1" outlineLevel="1" x14ac:dyDescent="0.25">
      <c r="A52" s="11" t="str">
        <f t="shared" ref="A52:A81" si="5">IF(A20="", "", CONCATENATE(A20, " [g/h]"))</f>
        <v>Methane [g/h]</v>
      </c>
      <c r="B52" s="243"/>
      <c r="C52" s="233">
        <f t="shared" ref="C52:C84" si="6">IFERROR(AVERAGE(D52:AB52), "")</f>
        <v>5.4414622193713728E-2</v>
      </c>
      <c r="D52" s="103">
        <f t="shared" ref="D52:AB52" si="7">IF(SUM(D20:D48)=0, "", (D20*$B20/(D$43*$B$43))*$F$5)</f>
        <v>4.2570468098407963E-2</v>
      </c>
      <c r="E52" s="103">
        <f t="shared" si="7"/>
        <v>5.5183721953047028E-2</v>
      </c>
      <c r="F52" s="103">
        <f t="shared" si="7"/>
        <v>5.5345956138353976E-2</v>
      </c>
      <c r="G52" s="103">
        <f t="shared" si="7"/>
        <v>5.5118510684329096E-2</v>
      </c>
      <c r="H52" s="103">
        <f t="shared" si="7"/>
        <v>5.6217086823959463E-2</v>
      </c>
      <c r="I52" s="103">
        <f t="shared" si="7"/>
        <v>5.5859560388233753E-2</v>
      </c>
      <c r="J52" s="103">
        <f t="shared" si="7"/>
        <v>5.679516988311091E-2</v>
      </c>
      <c r="K52" s="103">
        <f t="shared" si="7"/>
        <v>5.6440777230466414E-2</v>
      </c>
      <c r="L52" s="103">
        <f t="shared" si="7"/>
        <v>5.4713759223306256E-2</v>
      </c>
      <c r="M52" s="103">
        <f t="shared" si="7"/>
        <v>5.5086395075720128E-2</v>
      </c>
      <c r="N52" s="103">
        <f t="shared" si="7"/>
        <v>5.4627325896014503E-2</v>
      </c>
      <c r="O52" s="103">
        <f t="shared" si="7"/>
        <v>5.5016734929615181E-2</v>
      </c>
      <c r="P52" s="103" t="str">
        <f t="shared" si="7"/>
        <v/>
      </c>
      <c r="Q52" s="103" t="str">
        <f t="shared" si="7"/>
        <v/>
      </c>
      <c r="R52" s="103" t="str">
        <f t="shared" si="7"/>
        <v/>
      </c>
      <c r="S52" s="103" t="str">
        <f t="shared" si="7"/>
        <v/>
      </c>
      <c r="T52" s="103" t="str">
        <f t="shared" si="7"/>
        <v/>
      </c>
      <c r="U52" s="103" t="str">
        <f t="shared" si="7"/>
        <v/>
      </c>
      <c r="V52" s="103" t="str">
        <f t="shared" si="7"/>
        <v/>
      </c>
      <c r="W52" s="103" t="str">
        <f t="shared" si="7"/>
        <v/>
      </c>
      <c r="X52" s="103" t="str">
        <f t="shared" si="7"/>
        <v/>
      </c>
      <c r="Y52" s="103" t="str">
        <f t="shared" si="7"/>
        <v/>
      </c>
      <c r="Z52" s="103" t="str">
        <f t="shared" si="7"/>
        <v/>
      </c>
      <c r="AA52" s="103" t="str">
        <f t="shared" si="7"/>
        <v/>
      </c>
      <c r="AB52" s="103" t="str">
        <f t="shared" si="7"/>
        <v/>
      </c>
      <c r="AC52" s="192">
        <f t="shared" ref="AC52:AC80" si="8">(12.011*$AD52/$B20)*$C52</f>
        <v>4.0746510421988506E-2</v>
      </c>
      <c r="AD52" s="191">
        <v>1</v>
      </c>
    </row>
    <row r="53" spans="1:31" ht="18" customHeight="1" outlineLevel="1" x14ac:dyDescent="0.25">
      <c r="A53" s="11" t="str">
        <f t="shared" si="5"/>
        <v>Ethane [g/h]</v>
      </c>
      <c r="B53" s="243"/>
      <c r="C53" s="233">
        <f t="shared" si="6"/>
        <v>1.0213859079046419E-4</v>
      </c>
      <c r="D53" s="103">
        <f t="shared" ref="D53:AB53" si="9">IF(SUM(D21:D49)=0, "", (D21*$B21/(D$43*$B$43))*$F$5)</f>
        <v>8.7654400108762865E-5</v>
      </c>
      <c r="E53" s="103">
        <f t="shared" si="9"/>
        <v>2.6271546789669487E-4</v>
      </c>
      <c r="F53" s="103">
        <f t="shared" si="9"/>
        <v>2.4319890553402257E-4</v>
      </c>
      <c r="G53" s="103">
        <f t="shared" si="9"/>
        <v>2.1761944863151942E-4</v>
      </c>
      <c r="H53" s="103">
        <f t="shared" si="9"/>
        <v>5.4074287859302229E-5</v>
      </c>
      <c r="I53" s="103">
        <f t="shared" si="9"/>
        <v>5.0575256060986741E-5</v>
      </c>
      <c r="J53" s="103">
        <f t="shared" si="9"/>
        <v>5.0219668050160995E-5</v>
      </c>
      <c r="K53" s="103">
        <f t="shared" si="9"/>
        <v>4.9003479047665968E-5</v>
      </c>
      <c r="L53" s="103">
        <f t="shared" si="9"/>
        <v>5.5790252258063159E-5</v>
      </c>
      <c r="M53" s="103">
        <f t="shared" si="9"/>
        <v>5.1622970800043877E-5</v>
      </c>
      <c r="N53" s="103">
        <f t="shared" si="9"/>
        <v>5.211160889887816E-5</v>
      </c>
      <c r="O53" s="103">
        <f t="shared" si="9"/>
        <v>5.1077344339469297E-5</v>
      </c>
      <c r="P53" s="103" t="str">
        <f t="shared" si="9"/>
        <v/>
      </c>
      <c r="Q53" s="103" t="str">
        <f t="shared" si="9"/>
        <v/>
      </c>
      <c r="R53" s="103" t="str">
        <f t="shared" si="9"/>
        <v/>
      </c>
      <c r="S53" s="103" t="str">
        <f t="shared" si="9"/>
        <v/>
      </c>
      <c r="T53" s="103" t="str">
        <f t="shared" si="9"/>
        <v/>
      </c>
      <c r="U53" s="103" t="str">
        <f t="shared" si="9"/>
        <v/>
      </c>
      <c r="V53" s="103" t="str">
        <f t="shared" si="9"/>
        <v/>
      </c>
      <c r="W53" s="103" t="str">
        <f t="shared" si="9"/>
        <v/>
      </c>
      <c r="X53" s="103" t="str">
        <f t="shared" si="9"/>
        <v/>
      </c>
      <c r="Y53" s="103" t="str">
        <f t="shared" si="9"/>
        <v/>
      </c>
      <c r="Z53" s="103" t="str">
        <f t="shared" si="9"/>
        <v/>
      </c>
      <c r="AA53" s="103" t="str">
        <f t="shared" si="9"/>
        <v/>
      </c>
      <c r="AB53" s="103" t="str">
        <f t="shared" si="9"/>
        <v/>
      </c>
      <c r="AC53" s="192">
        <f t="shared" si="8"/>
        <v>8.1595385033871981E-5</v>
      </c>
      <c r="AD53" s="189">
        <v>2</v>
      </c>
    </row>
    <row r="54" spans="1:31" ht="18" customHeight="1" outlineLevel="1" x14ac:dyDescent="0.25">
      <c r="A54" s="11" t="str">
        <f t="shared" si="5"/>
        <v>Ethylene [g/h]</v>
      </c>
      <c r="B54" s="243"/>
      <c r="C54" s="233">
        <f t="shared" si="6"/>
        <v>5.9816454289758514E-2</v>
      </c>
      <c r="D54" s="103">
        <f t="shared" ref="D54:AB54" si="10">IF(SUM(D22:D50)=0, "", (D22*$B22/(D$43*$B$43))*$F$5)</f>
        <v>4.5743457878448621E-2</v>
      </c>
      <c r="E54" s="103">
        <f t="shared" si="10"/>
        <v>6.057153956583966E-2</v>
      </c>
      <c r="F54" s="103">
        <f t="shared" si="10"/>
        <v>6.0869606377291531E-2</v>
      </c>
      <c r="G54" s="103">
        <f t="shared" si="10"/>
        <v>6.0576454467063244E-2</v>
      </c>
      <c r="H54" s="103">
        <f t="shared" si="10"/>
        <v>6.1797764882371785E-2</v>
      </c>
      <c r="I54" s="103">
        <f t="shared" si="10"/>
        <v>6.1405527689105892E-2</v>
      </c>
      <c r="J54" s="103">
        <f t="shared" si="10"/>
        <v>6.2567740137551231E-2</v>
      </c>
      <c r="K54" s="103">
        <f t="shared" si="10"/>
        <v>6.2021794478860748E-2</v>
      </c>
      <c r="L54" s="103">
        <f t="shared" si="10"/>
        <v>6.0423047660032494E-2</v>
      </c>
      <c r="M54" s="103">
        <f t="shared" si="10"/>
        <v>6.0797159018755313E-2</v>
      </c>
      <c r="N54" s="103">
        <f t="shared" si="10"/>
        <v>6.0270005503530559E-2</v>
      </c>
      <c r="O54" s="103">
        <f t="shared" si="10"/>
        <v>6.0753353818251081E-2</v>
      </c>
      <c r="P54" s="103" t="str">
        <f t="shared" si="10"/>
        <v/>
      </c>
      <c r="Q54" s="103" t="str">
        <f t="shared" si="10"/>
        <v/>
      </c>
      <c r="R54" s="103" t="str">
        <f t="shared" si="10"/>
        <v/>
      </c>
      <c r="S54" s="103" t="str">
        <f t="shared" si="10"/>
        <v/>
      </c>
      <c r="T54" s="103" t="str">
        <f t="shared" si="10"/>
        <v/>
      </c>
      <c r="U54" s="103" t="str">
        <f t="shared" si="10"/>
        <v/>
      </c>
      <c r="V54" s="103" t="str">
        <f t="shared" si="10"/>
        <v/>
      </c>
      <c r="W54" s="103" t="str">
        <f t="shared" si="10"/>
        <v/>
      </c>
      <c r="X54" s="103" t="str">
        <f t="shared" si="10"/>
        <v/>
      </c>
      <c r="Y54" s="103" t="str">
        <f t="shared" si="10"/>
        <v/>
      </c>
      <c r="Z54" s="103" t="str">
        <f t="shared" si="10"/>
        <v/>
      </c>
      <c r="AA54" s="103" t="str">
        <f t="shared" si="10"/>
        <v/>
      </c>
      <c r="AB54" s="103" t="str">
        <f t="shared" si="10"/>
        <v/>
      </c>
      <c r="AC54" s="192">
        <f t="shared" si="8"/>
        <v>5.1226768803870906E-2</v>
      </c>
      <c r="AD54" s="189">
        <v>2</v>
      </c>
    </row>
    <row r="55" spans="1:31" ht="18" customHeight="1" outlineLevel="1" x14ac:dyDescent="0.25">
      <c r="A55" s="11" t="str">
        <f t="shared" si="5"/>
        <v>Propane [g/h]</v>
      </c>
      <c r="B55" s="243"/>
      <c r="C55" s="233">
        <f t="shared" si="6"/>
        <v>0</v>
      </c>
      <c r="D55" s="103">
        <f t="shared" ref="D55:AB55" si="11">IF(SUM(D23:D51)=0, "", (D23*$B23/(D$43*$B$43))*$F$5)</f>
        <v>0</v>
      </c>
      <c r="E55" s="103">
        <f t="shared" si="11"/>
        <v>0</v>
      </c>
      <c r="F55" s="103">
        <f t="shared" si="11"/>
        <v>0</v>
      </c>
      <c r="G55" s="103">
        <f t="shared" si="11"/>
        <v>0</v>
      </c>
      <c r="H55" s="103">
        <f t="shared" si="11"/>
        <v>0</v>
      </c>
      <c r="I55" s="103">
        <f t="shared" si="11"/>
        <v>0</v>
      </c>
      <c r="J55" s="103">
        <f t="shared" si="11"/>
        <v>0</v>
      </c>
      <c r="K55" s="103">
        <f t="shared" si="11"/>
        <v>0</v>
      </c>
      <c r="L55" s="103">
        <f t="shared" si="11"/>
        <v>0</v>
      </c>
      <c r="M55" s="103">
        <f t="shared" si="11"/>
        <v>0</v>
      </c>
      <c r="N55" s="103">
        <f t="shared" si="11"/>
        <v>0</v>
      </c>
      <c r="O55" s="103">
        <f t="shared" si="11"/>
        <v>0</v>
      </c>
      <c r="P55" s="103" t="str">
        <f t="shared" si="11"/>
        <v/>
      </c>
      <c r="Q55" s="103" t="str">
        <f t="shared" si="11"/>
        <v/>
      </c>
      <c r="R55" s="103" t="str">
        <f t="shared" si="11"/>
        <v/>
      </c>
      <c r="S55" s="103" t="str">
        <f t="shared" si="11"/>
        <v/>
      </c>
      <c r="T55" s="103" t="str">
        <f t="shared" si="11"/>
        <v/>
      </c>
      <c r="U55" s="103" t="str">
        <f t="shared" si="11"/>
        <v/>
      </c>
      <c r="V55" s="103" t="str">
        <f t="shared" si="11"/>
        <v/>
      </c>
      <c r="W55" s="103" t="str">
        <f t="shared" si="11"/>
        <v/>
      </c>
      <c r="X55" s="103" t="str">
        <f t="shared" si="11"/>
        <v/>
      </c>
      <c r="Y55" s="103" t="str">
        <f t="shared" si="11"/>
        <v/>
      </c>
      <c r="Z55" s="103" t="str">
        <f t="shared" si="11"/>
        <v/>
      </c>
      <c r="AA55" s="103" t="str">
        <f t="shared" si="11"/>
        <v/>
      </c>
      <c r="AB55" s="103" t="str">
        <f t="shared" si="11"/>
        <v/>
      </c>
      <c r="AC55" s="192">
        <f t="shared" si="8"/>
        <v>0</v>
      </c>
      <c r="AD55" s="189">
        <v>3</v>
      </c>
    </row>
    <row r="56" spans="1:31" ht="18" customHeight="1" outlineLevel="1" x14ac:dyDescent="0.25">
      <c r="A56" s="11" t="str">
        <f t="shared" si="5"/>
        <v>Propylene [g/h]</v>
      </c>
      <c r="B56" s="243"/>
      <c r="C56" s="233">
        <f t="shared" si="6"/>
        <v>3.3792093935710845E-5</v>
      </c>
      <c r="D56" s="103">
        <f t="shared" ref="D56:AB56" si="12">IF(SUM(D24:D52)=0, "", (D24*$B24/(D$43*$B$43))*$F$5)</f>
        <v>7.054796235069909E-5</v>
      </c>
      <c r="E56" s="103">
        <f t="shared" si="12"/>
        <v>1.4588353165120892E-4</v>
      </c>
      <c r="F56" s="103">
        <f t="shared" si="12"/>
        <v>1.0458846659688294E-4</v>
      </c>
      <c r="G56" s="103">
        <f t="shared" si="12"/>
        <v>8.4485166629739183E-5</v>
      </c>
      <c r="H56" s="103">
        <f t="shared" si="12"/>
        <v>0</v>
      </c>
      <c r="I56" s="103">
        <f t="shared" si="12"/>
        <v>0</v>
      </c>
      <c r="J56" s="103">
        <f t="shared" si="12"/>
        <v>0</v>
      </c>
      <c r="K56" s="103">
        <f t="shared" si="12"/>
        <v>0</v>
      </c>
      <c r="L56" s="103">
        <f t="shared" si="12"/>
        <v>0</v>
      </c>
      <c r="M56" s="103">
        <f t="shared" si="12"/>
        <v>0</v>
      </c>
      <c r="N56" s="103">
        <f t="shared" si="12"/>
        <v>0</v>
      </c>
      <c r="O56" s="103">
        <f t="shared" si="12"/>
        <v>0</v>
      </c>
      <c r="P56" s="103" t="str">
        <f t="shared" si="12"/>
        <v/>
      </c>
      <c r="Q56" s="103" t="str">
        <f t="shared" si="12"/>
        <v/>
      </c>
      <c r="R56" s="103" t="str">
        <f t="shared" si="12"/>
        <v/>
      </c>
      <c r="S56" s="103" t="str">
        <f t="shared" si="12"/>
        <v/>
      </c>
      <c r="T56" s="103" t="str">
        <f t="shared" si="12"/>
        <v/>
      </c>
      <c r="U56" s="103" t="str">
        <f t="shared" si="12"/>
        <v/>
      </c>
      <c r="V56" s="103" t="str">
        <f t="shared" si="12"/>
        <v/>
      </c>
      <c r="W56" s="103" t="str">
        <f t="shared" si="12"/>
        <v/>
      </c>
      <c r="X56" s="103" t="str">
        <f t="shared" si="12"/>
        <v/>
      </c>
      <c r="Y56" s="103" t="str">
        <f t="shared" si="12"/>
        <v/>
      </c>
      <c r="Z56" s="103" t="str">
        <f t="shared" si="12"/>
        <v/>
      </c>
      <c r="AA56" s="103" t="str">
        <f t="shared" si="12"/>
        <v/>
      </c>
      <c r="AB56" s="103" t="str">
        <f t="shared" si="12"/>
        <v/>
      </c>
      <c r="AC56" s="192">
        <f t="shared" si="8"/>
        <v>2.8936086520567229E-5</v>
      </c>
      <c r="AD56" s="189">
        <v>3</v>
      </c>
    </row>
    <row r="57" spans="1:31" ht="18" customHeight="1" outlineLevel="1" x14ac:dyDescent="0.25">
      <c r="A57" s="11" t="str">
        <f t="shared" si="5"/>
        <v>Butane [g/h]</v>
      </c>
      <c r="B57" s="243"/>
      <c r="C57" s="233">
        <f t="shared" si="6"/>
        <v>1.1400290772042743E-5</v>
      </c>
      <c r="D57" s="103">
        <f t="shared" ref="D57:AB57" si="13">IF(SUM(D25:D53)=0, "", (D25*$B25/(D$43*$B$43))*$F$5)</f>
        <v>3.6712785359158894E-5</v>
      </c>
      <c r="E57" s="103">
        <f t="shared" si="13"/>
        <v>4.1085984327524455E-5</v>
      </c>
      <c r="F57" s="103">
        <f t="shared" si="13"/>
        <v>3.1507681015829221E-5</v>
      </c>
      <c r="G57" s="103">
        <f t="shared" si="13"/>
        <v>2.7497038562000365E-5</v>
      </c>
      <c r="H57" s="103">
        <f t="shared" si="13"/>
        <v>0</v>
      </c>
      <c r="I57" s="103">
        <f t="shared" si="13"/>
        <v>0</v>
      </c>
      <c r="J57" s="103">
        <f t="shared" si="13"/>
        <v>0</v>
      </c>
      <c r="K57" s="103">
        <f t="shared" si="13"/>
        <v>0</v>
      </c>
      <c r="L57" s="103">
        <f t="shared" si="13"/>
        <v>0</v>
      </c>
      <c r="M57" s="103">
        <f t="shared" si="13"/>
        <v>0</v>
      </c>
      <c r="N57" s="103">
        <f t="shared" si="13"/>
        <v>0</v>
      </c>
      <c r="O57" s="103">
        <f t="shared" si="13"/>
        <v>0</v>
      </c>
      <c r="P57" s="103" t="str">
        <f t="shared" si="13"/>
        <v/>
      </c>
      <c r="Q57" s="103" t="str">
        <f t="shared" si="13"/>
        <v/>
      </c>
      <c r="R57" s="103" t="str">
        <f t="shared" si="13"/>
        <v/>
      </c>
      <c r="S57" s="103" t="str">
        <f t="shared" si="13"/>
        <v/>
      </c>
      <c r="T57" s="103" t="str">
        <f t="shared" si="13"/>
        <v/>
      </c>
      <c r="U57" s="103" t="str">
        <f t="shared" si="13"/>
        <v/>
      </c>
      <c r="V57" s="103" t="str">
        <f t="shared" si="13"/>
        <v/>
      </c>
      <c r="W57" s="103" t="str">
        <f t="shared" si="13"/>
        <v/>
      </c>
      <c r="X57" s="103" t="str">
        <f t="shared" si="13"/>
        <v/>
      </c>
      <c r="Y57" s="103" t="str">
        <f t="shared" si="13"/>
        <v/>
      </c>
      <c r="Z57" s="103" t="str">
        <f t="shared" si="13"/>
        <v/>
      </c>
      <c r="AA57" s="103" t="str">
        <f t="shared" si="13"/>
        <v/>
      </c>
      <c r="AB57" s="103" t="str">
        <f t="shared" si="13"/>
        <v/>
      </c>
      <c r="AC57" s="192">
        <f t="shared" si="8"/>
        <v>9.4238742231937629E-6</v>
      </c>
      <c r="AD57" s="189">
        <v>4</v>
      </c>
    </row>
    <row r="58" spans="1:31" ht="18" customHeight="1" outlineLevel="1" x14ac:dyDescent="0.25">
      <c r="A58" s="11" t="str">
        <f t="shared" si="5"/>
        <v>Pentane [g/h]</v>
      </c>
      <c r="B58" s="243"/>
      <c r="C58" s="233">
        <f t="shared" si="6"/>
        <v>0</v>
      </c>
      <c r="D58" s="103">
        <f t="shared" ref="D58:AB58" si="14">IF(SUM(D26:D54)=0, "", (D26*$B26/(D$43*$B$43))*$F$5)</f>
        <v>0</v>
      </c>
      <c r="E58" s="103">
        <f t="shared" si="14"/>
        <v>0</v>
      </c>
      <c r="F58" s="103">
        <f t="shared" si="14"/>
        <v>0</v>
      </c>
      <c r="G58" s="103">
        <f t="shared" si="14"/>
        <v>0</v>
      </c>
      <c r="H58" s="103">
        <f t="shared" si="14"/>
        <v>0</v>
      </c>
      <c r="I58" s="103">
        <f t="shared" si="14"/>
        <v>0</v>
      </c>
      <c r="J58" s="103">
        <f t="shared" si="14"/>
        <v>0</v>
      </c>
      <c r="K58" s="103">
        <f t="shared" si="14"/>
        <v>0</v>
      </c>
      <c r="L58" s="103">
        <f t="shared" si="14"/>
        <v>0</v>
      </c>
      <c r="M58" s="103">
        <f t="shared" si="14"/>
        <v>0</v>
      </c>
      <c r="N58" s="103">
        <f t="shared" si="14"/>
        <v>0</v>
      </c>
      <c r="O58" s="103">
        <f t="shared" si="14"/>
        <v>0</v>
      </c>
      <c r="P58" s="103" t="str">
        <f t="shared" si="14"/>
        <v/>
      </c>
      <c r="Q58" s="103" t="str">
        <f t="shared" si="14"/>
        <v/>
      </c>
      <c r="R58" s="103" t="str">
        <f t="shared" si="14"/>
        <v/>
      </c>
      <c r="S58" s="103" t="str">
        <f t="shared" si="14"/>
        <v/>
      </c>
      <c r="T58" s="103" t="str">
        <f t="shared" si="14"/>
        <v/>
      </c>
      <c r="U58" s="103" t="str">
        <f t="shared" si="14"/>
        <v/>
      </c>
      <c r="V58" s="103" t="str">
        <f t="shared" si="14"/>
        <v/>
      </c>
      <c r="W58" s="103" t="str">
        <f t="shared" si="14"/>
        <v/>
      </c>
      <c r="X58" s="103" t="str">
        <f t="shared" si="14"/>
        <v/>
      </c>
      <c r="Y58" s="103" t="str">
        <f t="shared" si="14"/>
        <v/>
      </c>
      <c r="Z58" s="103" t="str">
        <f t="shared" si="14"/>
        <v/>
      </c>
      <c r="AA58" s="103" t="str">
        <f t="shared" si="14"/>
        <v/>
      </c>
      <c r="AB58" s="103" t="str">
        <f t="shared" si="14"/>
        <v/>
      </c>
      <c r="AC58" s="192">
        <f t="shared" si="8"/>
        <v>0</v>
      </c>
      <c r="AD58" s="189">
        <v>5</v>
      </c>
    </row>
    <row r="59" spans="1:31" ht="18" customHeight="1" outlineLevel="1" x14ac:dyDescent="0.25">
      <c r="A59" s="11" t="str">
        <f t="shared" si="5"/>
        <v>C6s (Isomers of hexane?) [g/h]</v>
      </c>
      <c r="B59" s="243"/>
      <c r="C59" s="233">
        <f t="shared" si="6"/>
        <v>2.5204393260940259E-5</v>
      </c>
      <c r="D59" s="103">
        <f t="shared" ref="D59:AB59" si="15">IF(SUM(D27:D55)=0, "", (D27*$B27/(D$43*$B$43))*$F$5)</f>
        <v>6.7556052389770231E-5</v>
      </c>
      <c r="E59" s="103">
        <f t="shared" si="15"/>
        <v>1.6387118028729156E-4</v>
      </c>
      <c r="F59" s="103">
        <f t="shared" si="15"/>
        <v>4.2701767814926178E-5</v>
      </c>
      <c r="G59" s="103">
        <f t="shared" si="15"/>
        <v>2.8323718639295092E-5</v>
      </c>
      <c r="H59" s="103">
        <f t="shared" si="15"/>
        <v>0</v>
      </c>
      <c r="I59" s="103">
        <f t="shared" si="15"/>
        <v>0</v>
      </c>
      <c r="J59" s="103">
        <f t="shared" si="15"/>
        <v>0</v>
      </c>
      <c r="K59" s="103">
        <f t="shared" si="15"/>
        <v>0</v>
      </c>
      <c r="L59" s="103">
        <f t="shared" si="15"/>
        <v>0</v>
      </c>
      <c r="M59" s="103">
        <f t="shared" si="15"/>
        <v>0</v>
      </c>
      <c r="N59" s="103">
        <f t="shared" si="15"/>
        <v>0</v>
      </c>
      <c r="O59" s="103">
        <f t="shared" si="15"/>
        <v>0</v>
      </c>
      <c r="P59" s="103" t="str">
        <f t="shared" si="15"/>
        <v/>
      </c>
      <c r="Q59" s="103" t="str">
        <f t="shared" si="15"/>
        <v/>
      </c>
      <c r="R59" s="103" t="str">
        <f t="shared" si="15"/>
        <v/>
      </c>
      <c r="S59" s="103" t="str">
        <f t="shared" si="15"/>
        <v/>
      </c>
      <c r="T59" s="103" t="str">
        <f t="shared" si="15"/>
        <v/>
      </c>
      <c r="U59" s="103" t="str">
        <f t="shared" si="15"/>
        <v/>
      </c>
      <c r="V59" s="103" t="str">
        <f t="shared" si="15"/>
        <v/>
      </c>
      <c r="W59" s="103" t="str">
        <f t="shared" si="15"/>
        <v/>
      </c>
      <c r="X59" s="103" t="str">
        <f t="shared" si="15"/>
        <v/>
      </c>
      <c r="Y59" s="103" t="str">
        <f t="shared" si="15"/>
        <v/>
      </c>
      <c r="Z59" s="103" t="str">
        <f t="shared" si="15"/>
        <v/>
      </c>
      <c r="AA59" s="103" t="str">
        <f t="shared" si="15"/>
        <v/>
      </c>
      <c r="AB59" s="103" t="str">
        <f t="shared" si="15"/>
        <v/>
      </c>
      <c r="AC59" s="192">
        <f t="shared" si="8"/>
        <v>2.1076581628485967E-5</v>
      </c>
      <c r="AD59" s="189">
        <v>6</v>
      </c>
    </row>
    <row r="60" spans="1:31" ht="18" customHeight="1" outlineLevel="1" x14ac:dyDescent="0.25">
      <c r="A60" s="11" t="str">
        <f t="shared" si="5"/>
        <v>Hexane [g/h]</v>
      </c>
      <c r="B60" s="243"/>
      <c r="C60" s="233">
        <f t="shared" si="6"/>
        <v>0</v>
      </c>
      <c r="D60" s="103">
        <f t="shared" ref="D60:AB60" si="16">IF(SUM(D28:D56)=0, "", (D28*$B28/(D$43*$B$43))*$F$5)</f>
        <v>0</v>
      </c>
      <c r="E60" s="103">
        <f t="shared" si="16"/>
        <v>0</v>
      </c>
      <c r="F60" s="103">
        <f t="shared" si="16"/>
        <v>0</v>
      </c>
      <c r="G60" s="103">
        <f t="shared" si="16"/>
        <v>0</v>
      </c>
      <c r="H60" s="103">
        <f t="shared" si="16"/>
        <v>0</v>
      </c>
      <c r="I60" s="103">
        <f t="shared" si="16"/>
        <v>0</v>
      </c>
      <c r="J60" s="103">
        <f t="shared" si="16"/>
        <v>0</v>
      </c>
      <c r="K60" s="103">
        <f t="shared" si="16"/>
        <v>0</v>
      </c>
      <c r="L60" s="103">
        <f t="shared" si="16"/>
        <v>0</v>
      </c>
      <c r="M60" s="103">
        <f t="shared" si="16"/>
        <v>0</v>
      </c>
      <c r="N60" s="103">
        <f t="shared" si="16"/>
        <v>0</v>
      </c>
      <c r="O60" s="103">
        <f t="shared" si="16"/>
        <v>0</v>
      </c>
      <c r="P60" s="103" t="str">
        <f t="shared" si="16"/>
        <v/>
      </c>
      <c r="Q60" s="103" t="str">
        <f t="shared" si="16"/>
        <v/>
      </c>
      <c r="R60" s="103" t="str">
        <f t="shared" si="16"/>
        <v/>
      </c>
      <c r="S60" s="103" t="str">
        <f t="shared" si="16"/>
        <v/>
      </c>
      <c r="T60" s="103" t="str">
        <f t="shared" si="16"/>
        <v/>
      </c>
      <c r="U60" s="103" t="str">
        <f t="shared" si="16"/>
        <v/>
      </c>
      <c r="V60" s="103" t="str">
        <f t="shared" si="16"/>
        <v/>
      </c>
      <c r="W60" s="103" t="str">
        <f t="shared" si="16"/>
        <v/>
      </c>
      <c r="X60" s="103" t="str">
        <f t="shared" si="16"/>
        <v/>
      </c>
      <c r="Y60" s="103" t="str">
        <f t="shared" si="16"/>
        <v/>
      </c>
      <c r="Z60" s="103" t="str">
        <f t="shared" si="16"/>
        <v/>
      </c>
      <c r="AA60" s="103" t="str">
        <f t="shared" si="16"/>
        <v/>
      </c>
      <c r="AB60" s="103" t="str">
        <f t="shared" si="16"/>
        <v/>
      </c>
      <c r="AC60" s="192">
        <f t="shared" si="8"/>
        <v>0</v>
      </c>
      <c r="AD60" s="189">
        <v>6</v>
      </c>
    </row>
    <row r="61" spans="1:31" ht="18" customHeight="1" outlineLevel="1" x14ac:dyDescent="0.25">
      <c r="A61" s="11" t="str">
        <f t="shared" si="5"/>
        <v>C4 [g/h]</v>
      </c>
      <c r="B61" s="243"/>
      <c r="C61" s="233">
        <f t="shared" si="6"/>
        <v>2.4427258750683888E-4</v>
      </c>
      <c r="D61" s="103">
        <f t="shared" ref="D61:AB61" si="17">IF(SUM(D29:D57)=0, "", (D29*$B29/(D$43*$B$43))*$F$5)</f>
        <v>0</v>
      </c>
      <c r="E61" s="103">
        <f t="shared" si="17"/>
        <v>1.0612077267754014E-3</v>
      </c>
      <c r="F61" s="103">
        <f t="shared" si="17"/>
        <v>9.1945141873465269E-4</v>
      </c>
      <c r="G61" s="103">
        <f t="shared" si="17"/>
        <v>9.5061190457201242E-4</v>
      </c>
      <c r="H61" s="103">
        <f t="shared" si="17"/>
        <v>0</v>
      </c>
      <c r="I61" s="103">
        <f t="shared" si="17"/>
        <v>0</v>
      </c>
      <c r="J61" s="103">
        <f t="shared" si="17"/>
        <v>0</v>
      </c>
      <c r="K61" s="103">
        <f t="shared" si="17"/>
        <v>0</v>
      </c>
      <c r="L61" s="103">
        <f t="shared" si="17"/>
        <v>0</v>
      </c>
      <c r="M61" s="103">
        <f t="shared" si="17"/>
        <v>0</v>
      </c>
      <c r="N61" s="103">
        <f t="shared" si="17"/>
        <v>0</v>
      </c>
      <c r="O61" s="103">
        <f t="shared" si="17"/>
        <v>0</v>
      </c>
      <c r="P61" s="103" t="str">
        <f t="shared" si="17"/>
        <v/>
      </c>
      <c r="Q61" s="103" t="str">
        <f t="shared" si="17"/>
        <v/>
      </c>
      <c r="R61" s="103" t="str">
        <f t="shared" si="17"/>
        <v/>
      </c>
      <c r="S61" s="103" t="str">
        <f t="shared" si="17"/>
        <v/>
      </c>
      <c r="T61" s="103" t="str">
        <f t="shared" si="17"/>
        <v/>
      </c>
      <c r="U61" s="103" t="str">
        <f t="shared" si="17"/>
        <v/>
      </c>
      <c r="V61" s="103" t="str">
        <f t="shared" si="17"/>
        <v/>
      </c>
      <c r="W61" s="103" t="str">
        <f t="shared" si="17"/>
        <v/>
      </c>
      <c r="X61" s="103" t="str">
        <f t="shared" si="17"/>
        <v/>
      </c>
      <c r="Y61" s="103" t="str">
        <f t="shared" si="17"/>
        <v/>
      </c>
      <c r="Z61" s="103" t="str">
        <f t="shared" si="17"/>
        <v/>
      </c>
      <c r="AA61" s="103" t="str">
        <f t="shared" si="17"/>
        <v/>
      </c>
      <c r="AB61" s="103" t="str">
        <f t="shared" si="17"/>
        <v/>
      </c>
      <c r="AC61" s="192">
        <f t="shared" si="8"/>
        <v>2.0192416025771796E-4</v>
      </c>
      <c r="AD61" s="189">
        <v>4</v>
      </c>
    </row>
    <row r="62" spans="1:31" ht="18" customHeight="1" outlineLevel="1" x14ac:dyDescent="0.25">
      <c r="A62" s="11" t="str">
        <f t="shared" si="5"/>
        <v>C5 [g/h]</v>
      </c>
      <c r="B62" s="243"/>
      <c r="C62" s="233">
        <f t="shared" si="6"/>
        <v>0</v>
      </c>
      <c r="D62" s="103">
        <f t="shared" ref="D62:AB62" si="18">IF(SUM(D30:D58)=0, "", (D30*$B30/(D$43*$B$43))*$F$5)</f>
        <v>0</v>
      </c>
      <c r="E62" s="103">
        <f t="shared" si="18"/>
        <v>0</v>
      </c>
      <c r="F62" s="103">
        <f t="shared" si="18"/>
        <v>0</v>
      </c>
      <c r="G62" s="103">
        <f t="shared" si="18"/>
        <v>0</v>
      </c>
      <c r="H62" s="103">
        <f t="shared" si="18"/>
        <v>0</v>
      </c>
      <c r="I62" s="103">
        <f t="shared" si="18"/>
        <v>0</v>
      </c>
      <c r="J62" s="103">
        <f t="shared" si="18"/>
        <v>0</v>
      </c>
      <c r="K62" s="103">
        <f t="shared" si="18"/>
        <v>0</v>
      </c>
      <c r="L62" s="103">
        <f t="shared" si="18"/>
        <v>0</v>
      </c>
      <c r="M62" s="103">
        <f t="shared" si="18"/>
        <v>0</v>
      </c>
      <c r="N62" s="103">
        <f t="shared" si="18"/>
        <v>0</v>
      </c>
      <c r="O62" s="103">
        <f t="shared" si="18"/>
        <v>0</v>
      </c>
      <c r="P62" s="103" t="str">
        <f t="shared" si="18"/>
        <v/>
      </c>
      <c r="Q62" s="103" t="str">
        <f t="shared" si="18"/>
        <v/>
      </c>
      <c r="R62" s="103" t="str">
        <f t="shared" si="18"/>
        <v/>
      </c>
      <c r="S62" s="103" t="str">
        <f t="shared" si="18"/>
        <v/>
      </c>
      <c r="T62" s="103" t="str">
        <f t="shared" si="18"/>
        <v/>
      </c>
      <c r="U62" s="103" t="str">
        <f t="shared" si="18"/>
        <v/>
      </c>
      <c r="V62" s="103" t="str">
        <f t="shared" si="18"/>
        <v/>
      </c>
      <c r="W62" s="103" t="str">
        <f t="shared" si="18"/>
        <v/>
      </c>
      <c r="X62" s="103" t="str">
        <f t="shared" si="18"/>
        <v/>
      </c>
      <c r="Y62" s="103" t="str">
        <f t="shared" si="18"/>
        <v/>
      </c>
      <c r="Z62" s="103" t="str">
        <f t="shared" si="18"/>
        <v/>
      </c>
      <c r="AA62" s="103" t="str">
        <f t="shared" si="18"/>
        <v/>
      </c>
      <c r="AB62" s="103" t="str">
        <f t="shared" si="18"/>
        <v/>
      </c>
      <c r="AC62" s="192">
        <f t="shared" si="8"/>
        <v>0</v>
      </c>
      <c r="AD62" s="189">
        <v>5</v>
      </c>
    </row>
    <row r="63" spans="1:31" ht="18" customHeight="1" outlineLevel="1" x14ac:dyDescent="0.25">
      <c r="A63" s="11" t="str">
        <f t="shared" si="5"/>
        <v>C6 [g/h]</v>
      </c>
      <c r="B63" s="243"/>
      <c r="C63" s="233">
        <f t="shared" si="6"/>
        <v>2.5204393260940259E-5</v>
      </c>
      <c r="D63" s="103">
        <f t="shared" ref="D63:AB63" si="19">IF(SUM(D31:D59)=0, "", (D31*$B31/(D$43*$B$43))*$F$5)</f>
        <v>6.7556052389770231E-5</v>
      </c>
      <c r="E63" s="103">
        <f t="shared" si="19"/>
        <v>1.6387118028729156E-4</v>
      </c>
      <c r="F63" s="103">
        <f t="shared" si="19"/>
        <v>4.2701767814926178E-5</v>
      </c>
      <c r="G63" s="103">
        <f t="shared" si="19"/>
        <v>2.8323718639295092E-5</v>
      </c>
      <c r="H63" s="103">
        <f t="shared" si="19"/>
        <v>0</v>
      </c>
      <c r="I63" s="103">
        <f t="shared" si="19"/>
        <v>0</v>
      </c>
      <c r="J63" s="103">
        <f t="shared" si="19"/>
        <v>0</v>
      </c>
      <c r="K63" s="103">
        <f t="shared" si="19"/>
        <v>0</v>
      </c>
      <c r="L63" s="103">
        <f t="shared" si="19"/>
        <v>0</v>
      </c>
      <c r="M63" s="103">
        <f t="shared" si="19"/>
        <v>0</v>
      </c>
      <c r="N63" s="103">
        <f t="shared" si="19"/>
        <v>0</v>
      </c>
      <c r="O63" s="103">
        <f t="shared" si="19"/>
        <v>0</v>
      </c>
      <c r="P63" s="103" t="str">
        <f t="shared" si="19"/>
        <v/>
      </c>
      <c r="Q63" s="103" t="str">
        <f t="shared" si="19"/>
        <v/>
      </c>
      <c r="R63" s="103" t="str">
        <f t="shared" si="19"/>
        <v/>
      </c>
      <c r="S63" s="103" t="str">
        <f t="shared" si="19"/>
        <v/>
      </c>
      <c r="T63" s="103" t="str">
        <f t="shared" si="19"/>
        <v/>
      </c>
      <c r="U63" s="103" t="str">
        <f t="shared" si="19"/>
        <v/>
      </c>
      <c r="V63" s="103" t="str">
        <f t="shared" si="19"/>
        <v/>
      </c>
      <c r="W63" s="103" t="str">
        <f t="shared" si="19"/>
        <v/>
      </c>
      <c r="X63" s="103" t="str">
        <f t="shared" si="19"/>
        <v/>
      </c>
      <c r="Y63" s="103" t="str">
        <f t="shared" si="19"/>
        <v/>
      </c>
      <c r="Z63" s="103" t="str">
        <f t="shared" si="19"/>
        <v/>
      </c>
      <c r="AA63" s="103" t="str">
        <f t="shared" si="19"/>
        <v/>
      </c>
      <c r="AB63" s="103" t="str">
        <f t="shared" si="19"/>
        <v/>
      </c>
      <c r="AC63" s="192">
        <f t="shared" si="8"/>
        <v>2.1076581628485967E-5</v>
      </c>
      <c r="AD63" s="189">
        <v>6</v>
      </c>
    </row>
    <row r="64" spans="1:31" ht="18" customHeight="1" outlineLevel="1" x14ac:dyDescent="0.25">
      <c r="A64" s="11" t="str">
        <f t="shared" si="5"/>
        <v>C6 Above [g/h]</v>
      </c>
      <c r="B64" s="243"/>
      <c r="C64" s="233">
        <f t="shared" si="6"/>
        <v>1.9855910061450997E-3</v>
      </c>
      <c r="D64" s="103">
        <f t="shared" ref="D64:AB64" si="20">IF(SUM(D32:D60)=0, "", (D32*$B32/(D$43*$B$43))*$F$5)</f>
        <v>6.5769598636208416E-4</v>
      </c>
      <c r="E64" s="103">
        <f t="shared" si="20"/>
        <v>6.4227467701214735E-3</v>
      </c>
      <c r="F64" s="103">
        <f t="shared" si="20"/>
        <v>5.6519637568828805E-3</v>
      </c>
      <c r="G64" s="103">
        <f t="shared" si="20"/>
        <v>5.8005063568696133E-3</v>
      </c>
      <c r="H64" s="103">
        <f t="shared" si="20"/>
        <v>0</v>
      </c>
      <c r="I64" s="103">
        <f t="shared" si="20"/>
        <v>4.708083402998507E-3</v>
      </c>
      <c r="J64" s="103">
        <f t="shared" si="20"/>
        <v>5.8609580050663366E-4</v>
      </c>
      <c r="K64" s="103">
        <f t="shared" si="20"/>
        <v>0</v>
      </c>
      <c r="L64" s="103">
        <f t="shared" si="20"/>
        <v>0</v>
      </c>
      <c r="M64" s="103">
        <f t="shared" si="20"/>
        <v>0</v>
      </c>
      <c r="N64" s="103">
        <f t="shared" si="20"/>
        <v>0</v>
      </c>
      <c r="O64" s="103">
        <f t="shared" si="20"/>
        <v>0</v>
      </c>
      <c r="P64" s="103" t="str">
        <f t="shared" si="20"/>
        <v/>
      </c>
      <c r="Q64" s="103" t="str">
        <f t="shared" si="20"/>
        <v/>
      </c>
      <c r="R64" s="103" t="str">
        <f t="shared" si="20"/>
        <v/>
      </c>
      <c r="S64" s="103" t="str">
        <f t="shared" si="20"/>
        <v/>
      </c>
      <c r="T64" s="103" t="str">
        <f t="shared" si="20"/>
        <v/>
      </c>
      <c r="U64" s="103" t="str">
        <f t="shared" si="20"/>
        <v/>
      </c>
      <c r="V64" s="103" t="str">
        <f t="shared" si="20"/>
        <v/>
      </c>
      <c r="W64" s="103" t="str">
        <f t="shared" si="20"/>
        <v/>
      </c>
      <c r="X64" s="103" t="str">
        <f t="shared" si="20"/>
        <v/>
      </c>
      <c r="Y64" s="103" t="str">
        <f t="shared" si="20"/>
        <v/>
      </c>
      <c r="Z64" s="103" t="str">
        <f t="shared" si="20"/>
        <v/>
      </c>
      <c r="AA64" s="103" t="str">
        <f t="shared" si="20"/>
        <v/>
      </c>
      <c r="AB64" s="103" t="str">
        <f t="shared" si="20"/>
        <v/>
      </c>
      <c r="AC64" s="192">
        <f t="shared" si="8"/>
        <v>1.4279373460617979E-3</v>
      </c>
      <c r="AD64" s="189">
        <v>6</v>
      </c>
    </row>
    <row r="65" spans="1:30" ht="18" customHeight="1" outlineLevel="1" x14ac:dyDescent="0.25">
      <c r="A65" s="11" t="str">
        <f t="shared" si="5"/>
        <v>Benzene [g/h]</v>
      </c>
      <c r="B65" s="243"/>
      <c r="C65" s="233">
        <f t="shared" si="6"/>
        <v>0</v>
      </c>
      <c r="D65" s="103">
        <f t="shared" ref="D65:AB65" si="21">IF(SUM(D33:D61)=0, "", (D33*$B33/(D$43*$B$43))*$F$5)</f>
        <v>0</v>
      </c>
      <c r="E65" s="103">
        <f t="shared" si="21"/>
        <v>0</v>
      </c>
      <c r="F65" s="103">
        <f t="shared" si="21"/>
        <v>0</v>
      </c>
      <c r="G65" s="103">
        <f t="shared" si="21"/>
        <v>0</v>
      </c>
      <c r="H65" s="103">
        <f t="shared" si="21"/>
        <v>0</v>
      </c>
      <c r="I65" s="103">
        <f t="shared" si="21"/>
        <v>0</v>
      </c>
      <c r="J65" s="103">
        <f t="shared" si="21"/>
        <v>0</v>
      </c>
      <c r="K65" s="103">
        <f t="shared" si="21"/>
        <v>0</v>
      </c>
      <c r="L65" s="103">
        <f t="shared" si="21"/>
        <v>0</v>
      </c>
      <c r="M65" s="103">
        <f t="shared" si="21"/>
        <v>0</v>
      </c>
      <c r="N65" s="103">
        <f t="shared" si="21"/>
        <v>0</v>
      </c>
      <c r="O65" s="103">
        <f t="shared" si="21"/>
        <v>0</v>
      </c>
      <c r="P65" s="103" t="str">
        <f t="shared" si="21"/>
        <v/>
      </c>
      <c r="Q65" s="103" t="str">
        <f t="shared" si="21"/>
        <v/>
      </c>
      <c r="R65" s="103" t="str">
        <f t="shared" si="21"/>
        <v/>
      </c>
      <c r="S65" s="103" t="str">
        <f t="shared" si="21"/>
        <v/>
      </c>
      <c r="T65" s="103" t="str">
        <f t="shared" si="21"/>
        <v/>
      </c>
      <c r="U65" s="103" t="str">
        <f t="shared" si="21"/>
        <v/>
      </c>
      <c r="V65" s="103" t="str">
        <f t="shared" si="21"/>
        <v/>
      </c>
      <c r="W65" s="103" t="str">
        <f t="shared" si="21"/>
        <v/>
      </c>
      <c r="X65" s="103" t="str">
        <f t="shared" si="21"/>
        <v/>
      </c>
      <c r="Y65" s="103" t="str">
        <f t="shared" si="21"/>
        <v/>
      </c>
      <c r="Z65" s="103" t="str">
        <f t="shared" si="21"/>
        <v/>
      </c>
      <c r="AA65" s="103" t="str">
        <f t="shared" si="21"/>
        <v/>
      </c>
      <c r="AB65" s="103" t="str">
        <f t="shared" si="21"/>
        <v/>
      </c>
      <c r="AC65" s="192">
        <f t="shared" si="8"/>
        <v>0</v>
      </c>
      <c r="AD65" s="189">
        <v>6</v>
      </c>
    </row>
    <row r="66" spans="1:30" ht="18" customHeight="1" outlineLevel="1" x14ac:dyDescent="0.25">
      <c r="A66" s="11" t="str">
        <f t="shared" si="5"/>
        <v>Toluene [g/h]</v>
      </c>
      <c r="B66" s="243"/>
      <c r="C66" s="233">
        <f t="shared" si="6"/>
        <v>0</v>
      </c>
      <c r="D66" s="103">
        <f t="shared" ref="D66:AB66" si="22">IF(SUM(D34:D62)=0, "", (D34*$B34/(D$43*$B$43))*$F$5)</f>
        <v>0</v>
      </c>
      <c r="E66" s="103">
        <f t="shared" si="22"/>
        <v>0</v>
      </c>
      <c r="F66" s="103">
        <f t="shared" si="22"/>
        <v>0</v>
      </c>
      <c r="G66" s="103">
        <f t="shared" si="22"/>
        <v>0</v>
      </c>
      <c r="H66" s="103">
        <f t="shared" si="22"/>
        <v>0</v>
      </c>
      <c r="I66" s="103">
        <f t="shared" si="22"/>
        <v>0</v>
      </c>
      <c r="J66" s="103">
        <f t="shared" si="22"/>
        <v>0</v>
      </c>
      <c r="K66" s="103">
        <f t="shared" si="22"/>
        <v>0</v>
      </c>
      <c r="L66" s="103">
        <f t="shared" si="22"/>
        <v>0</v>
      </c>
      <c r="M66" s="103">
        <f t="shared" si="22"/>
        <v>0</v>
      </c>
      <c r="N66" s="103">
        <f t="shared" si="22"/>
        <v>0</v>
      </c>
      <c r="O66" s="103">
        <f t="shared" si="22"/>
        <v>0</v>
      </c>
      <c r="P66" s="103" t="str">
        <f t="shared" si="22"/>
        <v/>
      </c>
      <c r="Q66" s="103" t="str">
        <f t="shared" si="22"/>
        <v/>
      </c>
      <c r="R66" s="103" t="str">
        <f t="shared" si="22"/>
        <v/>
      </c>
      <c r="S66" s="103" t="str">
        <f t="shared" si="22"/>
        <v/>
      </c>
      <c r="T66" s="103" t="str">
        <f t="shared" si="22"/>
        <v/>
      </c>
      <c r="U66" s="103" t="str">
        <f t="shared" si="22"/>
        <v/>
      </c>
      <c r="V66" s="103" t="str">
        <f t="shared" si="22"/>
        <v/>
      </c>
      <c r="W66" s="103" t="str">
        <f t="shared" si="22"/>
        <v/>
      </c>
      <c r="X66" s="103" t="str">
        <f t="shared" si="22"/>
        <v/>
      </c>
      <c r="Y66" s="103" t="str">
        <f t="shared" si="22"/>
        <v/>
      </c>
      <c r="Z66" s="103" t="str">
        <f t="shared" si="22"/>
        <v/>
      </c>
      <c r="AA66" s="103" t="str">
        <f t="shared" si="22"/>
        <v/>
      </c>
      <c r="AB66" s="103" t="str">
        <f t="shared" si="22"/>
        <v/>
      </c>
      <c r="AC66" s="192">
        <f t="shared" si="8"/>
        <v>0</v>
      </c>
      <c r="AD66" s="189">
        <v>7</v>
      </c>
    </row>
    <row r="67" spans="1:30" ht="18" customHeight="1" outlineLevel="1" x14ac:dyDescent="0.25">
      <c r="A67" s="11" t="str">
        <f t="shared" si="5"/>
        <v>Ethylbenzene [g/h]</v>
      </c>
      <c r="B67" s="243"/>
      <c r="C67" s="233">
        <f t="shared" si="6"/>
        <v>0</v>
      </c>
      <c r="D67" s="103">
        <f t="shared" ref="D67:AB67" si="23">IF(SUM(D35:D63)=0, "", (D35*$B35/(D$43*$B$43))*$F$5)</f>
        <v>0</v>
      </c>
      <c r="E67" s="103">
        <f t="shared" si="23"/>
        <v>0</v>
      </c>
      <c r="F67" s="103">
        <f t="shared" si="23"/>
        <v>0</v>
      </c>
      <c r="G67" s="103">
        <f t="shared" si="23"/>
        <v>0</v>
      </c>
      <c r="H67" s="103">
        <f t="shared" si="23"/>
        <v>0</v>
      </c>
      <c r="I67" s="103">
        <f t="shared" si="23"/>
        <v>0</v>
      </c>
      <c r="J67" s="103">
        <f t="shared" si="23"/>
        <v>0</v>
      </c>
      <c r="K67" s="103">
        <f t="shared" si="23"/>
        <v>0</v>
      </c>
      <c r="L67" s="103">
        <f t="shared" si="23"/>
        <v>0</v>
      </c>
      <c r="M67" s="103">
        <f t="shared" si="23"/>
        <v>0</v>
      </c>
      <c r="N67" s="103">
        <f t="shared" si="23"/>
        <v>0</v>
      </c>
      <c r="O67" s="103">
        <f t="shared" si="23"/>
        <v>0</v>
      </c>
      <c r="P67" s="103" t="str">
        <f t="shared" si="23"/>
        <v/>
      </c>
      <c r="Q67" s="103" t="str">
        <f t="shared" si="23"/>
        <v/>
      </c>
      <c r="R67" s="103" t="str">
        <f t="shared" si="23"/>
        <v/>
      </c>
      <c r="S67" s="103" t="str">
        <f t="shared" si="23"/>
        <v/>
      </c>
      <c r="T67" s="103" t="str">
        <f t="shared" si="23"/>
        <v/>
      </c>
      <c r="U67" s="103" t="str">
        <f t="shared" si="23"/>
        <v/>
      </c>
      <c r="V67" s="103" t="str">
        <f t="shared" si="23"/>
        <v/>
      </c>
      <c r="W67" s="103" t="str">
        <f t="shared" si="23"/>
        <v/>
      </c>
      <c r="X67" s="103" t="str">
        <f t="shared" si="23"/>
        <v/>
      </c>
      <c r="Y67" s="103" t="str">
        <f t="shared" si="23"/>
        <v/>
      </c>
      <c r="Z67" s="103" t="str">
        <f t="shared" si="23"/>
        <v/>
      </c>
      <c r="AA67" s="103" t="str">
        <f t="shared" si="23"/>
        <v/>
      </c>
      <c r="AB67" s="103" t="str">
        <f t="shared" si="23"/>
        <v/>
      </c>
      <c r="AC67" s="192">
        <f t="shared" si="8"/>
        <v>0</v>
      </c>
      <c r="AD67" s="189">
        <v>8</v>
      </c>
    </row>
    <row r="68" spans="1:30" ht="18" customHeight="1" outlineLevel="1" x14ac:dyDescent="0.25">
      <c r="A68" s="11" t="str">
        <f t="shared" si="5"/>
        <v>p-Xylene [g/h]</v>
      </c>
      <c r="B68" s="243"/>
      <c r="C68" s="233">
        <f t="shared" si="6"/>
        <v>0</v>
      </c>
      <c r="D68" s="103">
        <f t="shared" ref="D68:AB68" si="24">IF(SUM(D36:D64)=0, "", (D36*$B36/(D$43*$B$43))*$F$5)</f>
        <v>0</v>
      </c>
      <c r="E68" s="103">
        <f t="shared" si="24"/>
        <v>0</v>
      </c>
      <c r="F68" s="103">
        <f t="shared" si="24"/>
        <v>0</v>
      </c>
      <c r="G68" s="103">
        <f t="shared" si="24"/>
        <v>0</v>
      </c>
      <c r="H68" s="103">
        <f t="shared" si="24"/>
        <v>0</v>
      </c>
      <c r="I68" s="103">
        <f t="shared" si="24"/>
        <v>0</v>
      </c>
      <c r="J68" s="103">
        <f t="shared" si="24"/>
        <v>0</v>
      </c>
      <c r="K68" s="103">
        <f t="shared" si="24"/>
        <v>0</v>
      </c>
      <c r="L68" s="103">
        <f t="shared" si="24"/>
        <v>0</v>
      </c>
      <c r="M68" s="103">
        <f t="shared" si="24"/>
        <v>0</v>
      </c>
      <c r="N68" s="103">
        <f t="shared" si="24"/>
        <v>0</v>
      </c>
      <c r="O68" s="103">
        <f t="shared" si="24"/>
        <v>0</v>
      </c>
      <c r="P68" s="103" t="str">
        <f t="shared" si="24"/>
        <v/>
      </c>
      <c r="Q68" s="103" t="str">
        <f t="shared" si="24"/>
        <v/>
      </c>
      <c r="R68" s="103" t="str">
        <f t="shared" si="24"/>
        <v/>
      </c>
      <c r="S68" s="103" t="str">
        <f t="shared" si="24"/>
        <v/>
      </c>
      <c r="T68" s="103" t="str">
        <f t="shared" si="24"/>
        <v/>
      </c>
      <c r="U68" s="103" t="str">
        <f t="shared" si="24"/>
        <v/>
      </c>
      <c r="V68" s="103" t="str">
        <f t="shared" si="24"/>
        <v/>
      </c>
      <c r="W68" s="103" t="str">
        <f t="shared" si="24"/>
        <v/>
      </c>
      <c r="X68" s="103" t="str">
        <f t="shared" si="24"/>
        <v/>
      </c>
      <c r="Y68" s="103" t="str">
        <f t="shared" si="24"/>
        <v/>
      </c>
      <c r="Z68" s="103" t="str">
        <f t="shared" si="24"/>
        <v/>
      </c>
      <c r="AA68" s="103" t="str">
        <f t="shared" si="24"/>
        <v/>
      </c>
      <c r="AB68" s="103" t="str">
        <f t="shared" si="24"/>
        <v/>
      </c>
      <c r="AC68" s="192">
        <f t="shared" si="8"/>
        <v>0</v>
      </c>
      <c r="AD68" s="189">
        <v>8</v>
      </c>
    </row>
    <row r="69" spans="1:30" ht="18" customHeight="1" outlineLevel="1" x14ac:dyDescent="0.25">
      <c r="A69" s="11" t="str">
        <f t="shared" si="5"/>
        <v>m-Xylene [g/h]</v>
      </c>
      <c r="B69" s="243"/>
      <c r="C69" s="233">
        <f t="shared" si="6"/>
        <v>1.422618581662554E-4</v>
      </c>
      <c r="D69" s="103">
        <f t="shared" ref="D69:AB69" si="25">IF(SUM(D37:D65)=0, "", (D37*$B37/(D$43*$B$43))*$F$5)</f>
        <v>2.2757355066051733E-4</v>
      </c>
      <c r="E69" s="103">
        <f t="shared" si="25"/>
        <v>7.1355068722837064E-4</v>
      </c>
      <c r="F69" s="103">
        <f t="shared" si="25"/>
        <v>4.58315981849416E-4</v>
      </c>
      <c r="G69" s="103">
        <f t="shared" si="25"/>
        <v>3.0770207825676086E-4</v>
      </c>
      <c r="H69" s="103">
        <f t="shared" si="25"/>
        <v>0</v>
      </c>
      <c r="I69" s="103">
        <f t="shared" si="25"/>
        <v>0</v>
      </c>
      <c r="J69" s="103">
        <f t="shared" si="25"/>
        <v>0</v>
      </c>
      <c r="K69" s="103">
        <f t="shared" si="25"/>
        <v>0</v>
      </c>
      <c r="L69" s="103">
        <f t="shared" si="25"/>
        <v>0</v>
      </c>
      <c r="M69" s="103">
        <f t="shared" si="25"/>
        <v>0</v>
      </c>
      <c r="N69" s="103">
        <f t="shared" si="25"/>
        <v>0</v>
      </c>
      <c r="O69" s="103">
        <f t="shared" si="25"/>
        <v>0</v>
      </c>
      <c r="P69" s="103" t="str">
        <f t="shared" si="25"/>
        <v/>
      </c>
      <c r="Q69" s="103" t="str">
        <f t="shared" si="25"/>
        <v/>
      </c>
      <c r="R69" s="103" t="str">
        <f t="shared" si="25"/>
        <v/>
      </c>
      <c r="S69" s="103" t="str">
        <f t="shared" si="25"/>
        <v/>
      </c>
      <c r="T69" s="103" t="str">
        <f t="shared" si="25"/>
        <v/>
      </c>
      <c r="U69" s="103" t="str">
        <f t="shared" si="25"/>
        <v/>
      </c>
      <c r="V69" s="103" t="str">
        <f t="shared" si="25"/>
        <v/>
      </c>
      <c r="W69" s="103" t="str">
        <f t="shared" si="25"/>
        <v/>
      </c>
      <c r="X69" s="103" t="str">
        <f t="shared" si="25"/>
        <v/>
      </c>
      <c r="Y69" s="103" t="str">
        <f t="shared" si="25"/>
        <v/>
      </c>
      <c r="Z69" s="103" t="str">
        <f t="shared" si="25"/>
        <v/>
      </c>
      <c r="AA69" s="103" t="str">
        <f t="shared" si="25"/>
        <v/>
      </c>
      <c r="AB69" s="103" t="str">
        <f t="shared" si="25"/>
        <v/>
      </c>
      <c r="AC69" s="192">
        <f t="shared" si="8"/>
        <v>1.2875618061619097E-4</v>
      </c>
      <c r="AD69" s="189">
        <v>8</v>
      </c>
    </row>
    <row r="70" spans="1:30" ht="18" customHeight="1" outlineLevel="1" x14ac:dyDescent="0.25">
      <c r="A70" s="11" t="str">
        <f t="shared" si="5"/>
        <v>o-Xylene [g/h]</v>
      </c>
      <c r="B70" s="243"/>
      <c r="C70" s="233">
        <f t="shared" si="6"/>
        <v>0</v>
      </c>
      <c r="D70" s="103">
        <f t="shared" ref="D70:AB70" si="26">IF(SUM(D38:D66)=0, "", (D38*$B38/(D$43*$B$43))*$F$5)</f>
        <v>0</v>
      </c>
      <c r="E70" s="103">
        <f t="shared" si="26"/>
        <v>0</v>
      </c>
      <c r="F70" s="103">
        <f t="shared" si="26"/>
        <v>0</v>
      </c>
      <c r="G70" s="103">
        <f t="shared" si="26"/>
        <v>0</v>
      </c>
      <c r="H70" s="103">
        <f t="shared" si="26"/>
        <v>0</v>
      </c>
      <c r="I70" s="103">
        <f t="shared" si="26"/>
        <v>0</v>
      </c>
      <c r="J70" s="103">
        <f t="shared" si="26"/>
        <v>0</v>
      </c>
      <c r="K70" s="103">
        <f t="shared" si="26"/>
        <v>0</v>
      </c>
      <c r="L70" s="103">
        <f t="shared" si="26"/>
        <v>0</v>
      </c>
      <c r="M70" s="103">
        <f t="shared" si="26"/>
        <v>0</v>
      </c>
      <c r="N70" s="103">
        <f t="shared" si="26"/>
        <v>0</v>
      </c>
      <c r="O70" s="103">
        <f t="shared" si="26"/>
        <v>0</v>
      </c>
      <c r="P70" s="103" t="str">
        <f t="shared" si="26"/>
        <v/>
      </c>
      <c r="Q70" s="103" t="str">
        <f t="shared" si="26"/>
        <v/>
      </c>
      <c r="R70" s="103" t="str">
        <f t="shared" si="26"/>
        <v/>
      </c>
      <c r="S70" s="103" t="str">
        <f t="shared" si="26"/>
        <v/>
      </c>
      <c r="T70" s="103" t="str">
        <f t="shared" si="26"/>
        <v/>
      </c>
      <c r="U70" s="103" t="str">
        <f t="shared" si="26"/>
        <v/>
      </c>
      <c r="V70" s="103" t="str">
        <f t="shared" si="26"/>
        <v/>
      </c>
      <c r="W70" s="103" t="str">
        <f t="shared" si="26"/>
        <v/>
      </c>
      <c r="X70" s="103" t="str">
        <f t="shared" si="26"/>
        <v/>
      </c>
      <c r="Y70" s="103" t="str">
        <f t="shared" si="26"/>
        <v/>
      </c>
      <c r="Z70" s="103" t="str">
        <f t="shared" si="26"/>
        <v/>
      </c>
      <c r="AA70" s="103" t="str">
        <f t="shared" si="26"/>
        <v/>
      </c>
      <c r="AB70" s="103" t="str">
        <f t="shared" si="26"/>
        <v/>
      </c>
      <c r="AC70" s="192">
        <f t="shared" si="8"/>
        <v>0</v>
      </c>
      <c r="AD70" s="189">
        <v>8</v>
      </c>
    </row>
    <row r="71" spans="1:30" ht="18" customHeight="1" outlineLevel="1" x14ac:dyDescent="0.25">
      <c r="A71" s="11" t="str">
        <f t="shared" si="5"/>
        <v>C6 Unknowns [g/h]</v>
      </c>
      <c r="B71" s="243"/>
      <c r="C71" s="233">
        <f t="shared" si="6"/>
        <v>3.622059805805124E-4</v>
      </c>
      <c r="D71" s="103">
        <f t="shared" ref="D71:AB71" si="27">IF(SUM(D39:D67)=0, "", (D39*$B39/(D$43*$B$43))*$F$5)</f>
        <v>0</v>
      </c>
      <c r="E71" s="103">
        <f t="shared" si="27"/>
        <v>1.5735526822695132E-3</v>
      </c>
      <c r="F71" s="103">
        <f t="shared" si="27"/>
        <v>1.363357248220103E-3</v>
      </c>
      <c r="G71" s="103">
        <f t="shared" si="27"/>
        <v>1.4095618364765323E-3</v>
      </c>
      <c r="H71" s="103">
        <f t="shared" si="27"/>
        <v>0</v>
      </c>
      <c r="I71" s="103">
        <f t="shared" si="27"/>
        <v>0</v>
      </c>
      <c r="J71" s="103">
        <f t="shared" si="27"/>
        <v>0</v>
      </c>
      <c r="K71" s="103">
        <f t="shared" si="27"/>
        <v>0</v>
      </c>
      <c r="L71" s="103">
        <f t="shared" si="27"/>
        <v>0</v>
      </c>
      <c r="M71" s="103">
        <f t="shared" si="27"/>
        <v>0</v>
      </c>
      <c r="N71" s="103">
        <f t="shared" si="27"/>
        <v>0</v>
      </c>
      <c r="O71" s="103">
        <f t="shared" si="27"/>
        <v>0</v>
      </c>
      <c r="P71" s="103" t="str">
        <f t="shared" si="27"/>
        <v/>
      </c>
      <c r="Q71" s="103" t="str">
        <f t="shared" si="27"/>
        <v/>
      </c>
      <c r="R71" s="103" t="str">
        <f t="shared" si="27"/>
        <v/>
      </c>
      <c r="S71" s="103" t="str">
        <f t="shared" si="27"/>
        <v/>
      </c>
      <c r="T71" s="103" t="str">
        <f t="shared" si="27"/>
        <v/>
      </c>
      <c r="U71" s="103" t="str">
        <f t="shared" si="27"/>
        <v/>
      </c>
      <c r="V71" s="103" t="str">
        <f t="shared" si="27"/>
        <v/>
      </c>
      <c r="W71" s="103" t="str">
        <f t="shared" si="27"/>
        <v/>
      </c>
      <c r="X71" s="103" t="str">
        <f t="shared" si="27"/>
        <v/>
      </c>
      <c r="Y71" s="103" t="str">
        <f t="shared" si="27"/>
        <v/>
      </c>
      <c r="Z71" s="103" t="str">
        <f t="shared" si="27"/>
        <v/>
      </c>
      <c r="AA71" s="103" t="str">
        <f t="shared" si="27"/>
        <v/>
      </c>
      <c r="AB71" s="103" t="str">
        <f t="shared" si="27"/>
        <v/>
      </c>
      <c r="AC71" s="192">
        <f t="shared" si="8"/>
        <v>3.02886240386577E-4</v>
      </c>
      <c r="AD71" s="189">
        <v>6</v>
      </c>
    </row>
    <row r="72" spans="1:30" ht="18" customHeight="1" outlineLevel="1" x14ac:dyDescent="0.25">
      <c r="A72" s="11" t="str">
        <f t="shared" si="5"/>
        <v>C8 Unknowns [g/h]</v>
      </c>
      <c r="B72" s="243"/>
      <c r="C72" s="233">
        <f t="shared" si="6"/>
        <v>0</v>
      </c>
      <c r="D72" s="103">
        <f t="shared" ref="D72:AB72" si="28">IF(SUM(D40:D68)=0, "", (D40*$B40/(D$43*$B$43))*$F$5)</f>
        <v>0</v>
      </c>
      <c r="E72" s="103">
        <f t="shared" si="28"/>
        <v>0</v>
      </c>
      <c r="F72" s="103">
        <f t="shared" si="28"/>
        <v>0</v>
      </c>
      <c r="G72" s="103">
        <f t="shared" si="28"/>
        <v>0</v>
      </c>
      <c r="H72" s="103">
        <f t="shared" si="28"/>
        <v>0</v>
      </c>
      <c r="I72" s="103">
        <f t="shared" si="28"/>
        <v>0</v>
      </c>
      <c r="J72" s="103">
        <f t="shared" si="28"/>
        <v>0</v>
      </c>
      <c r="K72" s="103">
        <f t="shared" si="28"/>
        <v>0</v>
      </c>
      <c r="L72" s="103">
        <f t="shared" si="28"/>
        <v>0</v>
      </c>
      <c r="M72" s="103">
        <f t="shared" si="28"/>
        <v>0</v>
      </c>
      <c r="N72" s="103">
        <f t="shared" si="28"/>
        <v>0</v>
      </c>
      <c r="O72" s="103">
        <f t="shared" si="28"/>
        <v>0</v>
      </c>
      <c r="P72" s="103" t="str">
        <f t="shared" si="28"/>
        <v/>
      </c>
      <c r="Q72" s="103" t="str">
        <f t="shared" si="28"/>
        <v/>
      </c>
      <c r="R72" s="103" t="str">
        <f t="shared" si="28"/>
        <v/>
      </c>
      <c r="S72" s="103" t="str">
        <f t="shared" si="28"/>
        <v/>
      </c>
      <c r="T72" s="103" t="str">
        <f t="shared" si="28"/>
        <v/>
      </c>
      <c r="U72" s="103" t="str">
        <f t="shared" si="28"/>
        <v/>
      </c>
      <c r="V72" s="103" t="str">
        <f t="shared" si="28"/>
        <v/>
      </c>
      <c r="W72" s="103" t="str">
        <f t="shared" si="28"/>
        <v/>
      </c>
      <c r="X72" s="103" t="str">
        <f t="shared" si="28"/>
        <v/>
      </c>
      <c r="Y72" s="103" t="str">
        <f t="shared" si="28"/>
        <v/>
      </c>
      <c r="Z72" s="103" t="str">
        <f t="shared" si="28"/>
        <v/>
      </c>
      <c r="AA72" s="103" t="str">
        <f t="shared" si="28"/>
        <v/>
      </c>
      <c r="AB72" s="103" t="str">
        <f t="shared" si="28"/>
        <v/>
      </c>
      <c r="AC72" s="192">
        <f t="shared" si="8"/>
        <v>0</v>
      </c>
      <c r="AD72" s="189">
        <v>8</v>
      </c>
    </row>
    <row r="73" spans="1:30" ht="18" customHeight="1" outlineLevel="1" x14ac:dyDescent="0.25">
      <c r="A73" s="11" t="str">
        <f t="shared" si="5"/>
        <v>C7 Unknowns [g/h]</v>
      </c>
      <c r="B73" s="243"/>
      <c r="C73" s="233">
        <f t="shared" si="6"/>
        <v>0</v>
      </c>
      <c r="D73" s="103">
        <f t="shared" ref="D73:AB73" si="29">IF(SUM(D41:D69)=0, "", (D41*$B41/(D$43*$B$43))*$F$5)</f>
        <v>0</v>
      </c>
      <c r="E73" s="103">
        <f t="shared" si="29"/>
        <v>0</v>
      </c>
      <c r="F73" s="103">
        <f t="shared" si="29"/>
        <v>0</v>
      </c>
      <c r="G73" s="103">
        <f t="shared" si="29"/>
        <v>0</v>
      </c>
      <c r="H73" s="103">
        <f t="shared" si="29"/>
        <v>0</v>
      </c>
      <c r="I73" s="103">
        <f t="shared" si="29"/>
        <v>0</v>
      </c>
      <c r="J73" s="103">
        <f t="shared" si="29"/>
        <v>0</v>
      </c>
      <c r="K73" s="103">
        <f t="shared" si="29"/>
        <v>0</v>
      </c>
      <c r="L73" s="103">
        <f t="shared" si="29"/>
        <v>0</v>
      </c>
      <c r="M73" s="103">
        <f t="shared" si="29"/>
        <v>0</v>
      </c>
      <c r="N73" s="103">
        <f t="shared" si="29"/>
        <v>0</v>
      </c>
      <c r="O73" s="103">
        <f t="shared" si="29"/>
        <v>0</v>
      </c>
      <c r="P73" s="103" t="str">
        <f t="shared" si="29"/>
        <v/>
      </c>
      <c r="Q73" s="103" t="str">
        <f t="shared" si="29"/>
        <v/>
      </c>
      <c r="R73" s="103" t="str">
        <f t="shared" si="29"/>
        <v/>
      </c>
      <c r="S73" s="103" t="str">
        <f t="shared" si="29"/>
        <v/>
      </c>
      <c r="T73" s="103" t="str">
        <f t="shared" si="29"/>
        <v/>
      </c>
      <c r="U73" s="103" t="str">
        <f t="shared" si="29"/>
        <v/>
      </c>
      <c r="V73" s="103" t="str">
        <f t="shared" si="29"/>
        <v/>
      </c>
      <c r="W73" s="103" t="str">
        <f t="shared" si="29"/>
        <v/>
      </c>
      <c r="X73" s="103" t="str">
        <f t="shared" si="29"/>
        <v/>
      </c>
      <c r="Y73" s="103" t="str">
        <f t="shared" si="29"/>
        <v/>
      </c>
      <c r="Z73" s="103" t="str">
        <f t="shared" si="29"/>
        <v/>
      </c>
      <c r="AA73" s="103" t="str">
        <f t="shared" si="29"/>
        <v/>
      </c>
      <c r="AB73" s="103" t="str">
        <f t="shared" si="29"/>
        <v/>
      </c>
      <c r="AC73" s="192">
        <f t="shared" si="8"/>
        <v>0</v>
      </c>
      <c r="AD73" s="189">
        <v>7</v>
      </c>
    </row>
    <row r="74" spans="1:30" ht="18" customHeight="1" outlineLevel="1" x14ac:dyDescent="0.25">
      <c r="A74" s="11" t="str">
        <f t="shared" si="5"/>
        <v>CO2 [g/h]</v>
      </c>
      <c r="B74" s="243"/>
      <c r="C74" s="233">
        <f t="shared" si="6"/>
        <v>0</v>
      </c>
      <c r="D74" s="103">
        <f t="shared" ref="D74:AB74" si="30">IF(SUM(D42:D70)=0, "", (D42*$B42/(D$43*$B$43))*$F$5)</f>
        <v>0</v>
      </c>
      <c r="E74" s="103">
        <f t="shared" si="30"/>
        <v>0</v>
      </c>
      <c r="F74" s="103">
        <f t="shared" si="30"/>
        <v>0</v>
      </c>
      <c r="G74" s="103">
        <f t="shared" si="30"/>
        <v>0</v>
      </c>
      <c r="H74" s="103">
        <f t="shared" si="30"/>
        <v>0</v>
      </c>
      <c r="I74" s="103">
        <f t="shared" si="30"/>
        <v>0</v>
      </c>
      <c r="J74" s="103">
        <f t="shared" si="30"/>
        <v>0</v>
      </c>
      <c r="K74" s="103">
        <f t="shared" si="30"/>
        <v>0</v>
      </c>
      <c r="L74" s="103">
        <f t="shared" si="30"/>
        <v>0</v>
      </c>
      <c r="M74" s="103">
        <f t="shared" si="30"/>
        <v>0</v>
      </c>
      <c r="N74" s="103">
        <f t="shared" si="30"/>
        <v>0</v>
      </c>
      <c r="O74" s="103">
        <f t="shared" si="30"/>
        <v>0</v>
      </c>
      <c r="P74" s="103" t="str">
        <f t="shared" si="30"/>
        <v/>
      </c>
      <c r="Q74" s="103" t="str">
        <f t="shared" si="30"/>
        <v/>
      </c>
      <c r="R74" s="103" t="str">
        <f t="shared" si="30"/>
        <v/>
      </c>
      <c r="S74" s="103" t="str">
        <f t="shared" si="30"/>
        <v/>
      </c>
      <c r="T74" s="103" t="str">
        <f t="shared" si="30"/>
        <v/>
      </c>
      <c r="U74" s="103" t="str">
        <f t="shared" si="30"/>
        <v/>
      </c>
      <c r="V74" s="103" t="str">
        <f t="shared" si="30"/>
        <v/>
      </c>
      <c r="W74" s="103" t="str">
        <f t="shared" si="30"/>
        <v/>
      </c>
      <c r="X74" s="103" t="str">
        <f t="shared" si="30"/>
        <v/>
      </c>
      <c r="Y74" s="103" t="str">
        <f t="shared" si="30"/>
        <v/>
      </c>
      <c r="Z74" s="103" t="str">
        <f t="shared" si="30"/>
        <v/>
      </c>
      <c r="AA74" s="103" t="str">
        <f t="shared" si="30"/>
        <v/>
      </c>
      <c r="AB74" s="103" t="str">
        <f t="shared" si="30"/>
        <v/>
      </c>
      <c r="AC74" s="192">
        <f t="shared" si="8"/>
        <v>0</v>
      </c>
      <c r="AD74" s="189">
        <v>1</v>
      </c>
    </row>
    <row r="75" spans="1:30" ht="18" customHeight="1" outlineLevel="1" x14ac:dyDescent="0.25">
      <c r="A75" s="11" t="str">
        <f t="shared" si="5"/>
        <v>Argon [g/h]</v>
      </c>
      <c r="B75" s="243"/>
      <c r="C75" s="233">
        <f t="shared" si="6"/>
        <v>0.22890922011282691</v>
      </c>
      <c r="D75" s="103">
        <f t="shared" ref="D75:AB75" si="31">IF(SUM(D43:D71)=0, "", (D43*$B43/(D$43*$B$43))*$F$5)</f>
        <v>0.22890922011282697</v>
      </c>
      <c r="E75" s="103">
        <f t="shared" si="31"/>
        <v>0.22890922011282697</v>
      </c>
      <c r="F75" s="103">
        <f t="shared" si="31"/>
        <v>0.22890922011282697</v>
      </c>
      <c r="G75" s="103">
        <f t="shared" si="31"/>
        <v>0.22890922011282697</v>
      </c>
      <c r="H75" s="103">
        <f t="shared" si="31"/>
        <v>0.22890922011282697</v>
      </c>
      <c r="I75" s="103">
        <f t="shared" si="31"/>
        <v>0.22890922011282697</v>
      </c>
      <c r="J75" s="103">
        <f t="shared" si="31"/>
        <v>0.22890922011282697</v>
      </c>
      <c r="K75" s="103">
        <f t="shared" si="31"/>
        <v>0.22890922011282697</v>
      </c>
      <c r="L75" s="103">
        <f t="shared" si="31"/>
        <v>0.22890922011282697</v>
      </c>
      <c r="M75" s="103">
        <f t="shared" si="31"/>
        <v>0.22890922011282697</v>
      </c>
      <c r="N75" s="103">
        <f t="shared" si="31"/>
        <v>0.22890922011282697</v>
      </c>
      <c r="O75" s="103">
        <f t="shared" si="31"/>
        <v>0.22890922011282697</v>
      </c>
      <c r="P75" s="103" t="str">
        <f t="shared" si="31"/>
        <v/>
      </c>
      <c r="Q75" s="103" t="str">
        <f t="shared" si="31"/>
        <v/>
      </c>
      <c r="R75" s="103" t="str">
        <f t="shared" si="31"/>
        <v/>
      </c>
      <c r="S75" s="103" t="str">
        <f t="shared" si="31"/>
        <v/>
      </c>
      <c r="T75" s="103" t="str">
        <f t="shared" si="31"/>
        <v/>
      </c>
      <c r="U75" s="103" t="str">
        <f t="shared" si="31"/>
        <v/>
      </c>
      <c r="V75" s="103" t="str">
        <f t="shared" si="31"/>
        <v/>
      </c>
      <c r="W75" s="103" t="str">
        <f t="shared" si="31"/>
        <v/>
      </c>
      <c r="X75" s="103" t="str">
        <f t="shared" si="31"/>
        <v/>
      </c>
      <c r="Y75" s="103" t="str">
        <f t="shared" si="31"/>
        <v/>
      </c>
      <c r="Z75" s="103" t="str">
        <f t="shared" si="31"/>
        <v/>
      </c>
      <c r="AA75" s="103" t="str">
        <f t="shared" si="31"/>
        <v/>
      </c>
      <c r="AB75" s="103" t="str">
        <f t="shared" si="31"/>
        <v/>
      </c>
      <c r="AC75" s="192">
        <f t="shared" si="8"/>
        <v>0</v>
      </c>
      <c r="AD75" s="189">
        <v>0</v>
      </c>
    </row>
    <row r="76" spans="1:30" ht="18" customHeight="1" outlineLevel="1" x14ac:dyDescent="0.25">
      <c r="A76" s="11" t="str">
        <f t="shared" si="5"/>
        <v>CO [g/h]</v>
      </c>
      <c r="B76" s="243"/>
      <c r="C76" s="233">
        <f t="shared" si="6"/>
        <v>0</v>
      </c>
      <c r="D76" s="103">
        <f t="shared" ref="D76:AB76" si="32">IF(SUM(D44:D72)=0, "", (D44*$B44/(D$43*$B$43))*$F$5)</f>
        <v>0</v>
      </c>
      <c r="E76" s="103">
        <f t="shared" si="32"/>
        <v>0</v>
      </c>
      <c r="F76" s="103">
        <f t="shared" si="32"/>
        <v>0</v>
      </c>
      <c r="G76" s="103">
        <f t="shared" si="32"/>
        <v>0</v>
      </c>
      <c r="H76" s="103">
        <f t="shared" si="32"/>
        <v>0</v>
      </c>
      <c r="I76" s="103">
        <f t="shared" si="32"/>
        <v>0</v>
      </c>
      <c r="J76" s="103">
        <f t="shared" si="32"/>
        <v>0</v>
      </c>
      <c r="K76" s="103">
        <f t="shared" si="32"/>
        <v>0</v>
      </c>
      <c r="L76" s="103">
        <f t="shared" si="32"/>
        <v>0</v>
      </c>
      <c r="M76" s="103">
        <f t="shared" si="32"/>
        <v>0</v>
      </c>
      <c r="N76" s="103">
        <f t="shared" si="32"/>
        <v>0</v>
      </c>
      <c r="O76" s="103">
        <f t="shared" si="32"/>
        <v>0</v>
      </c>
      <c r="P76" s="103" t="str">
        <f t="shared" si="32"/>
        <v/>
      </c>
      <c r="Q76" s="103" t="str">
        <f t="shared" si="32"/>
        <v/>
      </c>
      <c r="R76" s="103" t="str">
        <f t="shared" si="32"/>
        <v/>
      </c>
      <c r="S76" s="103" t="str">
        <f t="shared" si="32"/>
        <v/>
      </c>
      <c r="T76" s="103" t="str">
        <f t="shared" si="32"/>
        <v/>
      </c>
      <c r="U76" s="103" t="str">
        <f t="shared" si="32"/>
        <v/>
      </c>
      <c r="V76" s="103" t="str">
        <f t="shared" si="32"/>
        <v/>
      </c>
      <c r="W76" s="103" t="str">
        <f t="shared" si="32"/>
        <v/>
      </c>
      <c r="X76" s="103" t="str">
        <f t="shared" si="32"/>
        <v/>
      </c>
      <c r="Y76" s="103" t="str">
        <f t="shared" si="32"/>
        <v/>
      </c>
      <c r="Z76" s="103" t="str">
        <f t="shared" si="32"/>
        <v/>
      </c>
      <c r="AA76" s="103" t="str">
        <f t="shared" si="32"/>
        <v/>
      </c>
      <c r="AB76" s="103" t="str">
        <f t="shared" si="32"/>
        <v/>
      </c>
      <c r="AC76" s="192">
        <f t="shared" si="8"/>
        <v>0</v>
      </c>
      <c r="AD76" s="189">
        <v>1</v>
      </c>
    </row>
    <row r="77" spans="1:30" ht="18" customHeight="1" outlineLevel="1" x14ac:dyDescent="0.25">
      <c r="A77" s="11" t="str">
        <f t="shared" si="5"/>
        <v>H2 [g/h]</v>
      </c>
      <c r="B77" s="243"/>
      <c r="C77" s="233">
        <f t="shared" si="6"/>
        <v>5.6695132553625814E-2</v>
      </c>
      <c r="D77" s="103">
        <f t="shared" ref="D77:AB77" si="33">IF(SUM(D45:D73)=0, "", (D45*$B45/(D$43*$B$43))*$F$5)</f>
        <v>4.4125529963283637E-2</v>
      </c>
      <c r="E77" s="103">
        <f t="shared" si="33"/>
        <v>5.7453784444990094E-2</v>
      </c>
      <c r="F77" s="103">
        <f t="shared" si="33"/>
        <v>5.8470002146510006E-2</v>
      </c>
      <c r="G77" s="103">
        <f t="shared" si="33"/>
        <v>5.8225664549418285E-2</v>
      </c>
      <c r="H77" s="103">
        <f t="shared" si="33"/>
        <v>5.8177322448497944E-2</v>
      </c>
      <c r="I77" s="103">
        <f t="shared" si="33"/>
        <v>5.8045349104584545E-2</v>
      </c>
      <c r="J77" s="103">
        <f t="shared" si="33"/>
        <v>5.8541193212472607E-2</v>
      </c>
      <c r="K77" s="103">
        <f t="shared" si="33"/>
        <v>5.8093858811639865E-2</v>
      </c>
      <c r="L77" s="103">
        <f t="shared" si="33"/>
        <v>5.7574127967827078E-2</v>
      </c>
      <c r="M77" s="103">
        <f t="shared" si="33"/>
        <v>5.759190664915894E-2</v>
      </c>
      <c r="N77" s="103">
        <f t="shared" si="33"/>
        <v>5.6904235575633115E-2</v>
      </c>
      <c r="O77" s="103">
        <f t="shared" si="33"/>
        <v>5.7138615769493757E-2</v>
      </c>
      <c r="P77" s="103" t="str">
        <f t="shared" si="33"/>
        <v/>
      </c>
      <c r="Q77" s="103" t="str">
        <f t="shared" si="33"/>
        <v/>
      </c>
      <c r="R77" s="103" t="str">
        <f t="shared" si="33"/>
        <v/>
      </c>
      <c r="S77" s="103" t="str">
        <f t="shared" si="33"/>
        <v/>
      </c>
      <c r="T77" s="103" t="str">
        <f t="shared" si="33"/>
        <v/>
      </c>
      <c r="U77" s="103" t="str">
        <f t="shared" si="33"/>
        <v/>
      </c>
      <c r="V77" s="103" t="str">
        <f t="shared" si="33"/>
        <v/>
      </c>
      <c r="W77" s="103" t="str">
        <f t="shared" si="33"/>
        <v/>
      </c>
      <c r="X77" s="103" t="str">
        <f t="shared" si="33"/>
        <v/>
      </c>
      <c r="Y77" s="103" t="str">
        <f t="shared" si="33"/>
        <v/>
      </c>
      <c r="Z77" s="103" t="str">
        <f t="shared" si="33"/>
        <v/>
      </c>
      <c r="AA77" s="103" t="str">
        <f t="shared" si="33"/>
        <v/>
      </c>
      <c r="AB77" s="103" t="str">
        <f t="shared" si="33"/>
        <v/>
      </c>
      <c r="AC77" s="192">
        <f t="shared" si="8"/>
        <v>0</v>
      </c>
      <c r="AD77" s="189">
        <v>0</v>
      </c>
    </row>
    <row r="78" spans="1:30" ht="18" customHeight="1" outlineLevel="1" x14ac:dyDescent="0.25">
      <c r="A78" s="11" t="str">
        <f t="shared" si="5"/>
        <v>Acetylene [g/h]</v>
      </c>
      <c r="B78" s="243"/>
      <c r="C78" s="233">
        <f t="shared" si="6"/>
        <v>0.27892707220018681</v>
      </c>
      <c r="D78" s="103">
        <f t="shared" ref="D78:AB78" si="34">IF(SUM(D46:D74)=0, "", (D46*$B46/(D$43*$B$43))*$F$5)</f>
        <v>0.21442157743618356</v>
      </c>
      <c r="E78" s="103">
        <f t="shared" si="34"/>
        <v>0.28636194022865546</v>
      </c>
      <c r="F78" s="103">
        <f t="shared" si="34"/>
        <v>0.28783995694058362</v>
      </c>
      <c r="G78" s="103">
        <f t="shared" si="34"/>
        <v>0.28690860323113881</v>
      </c>
      <c r="H78" s="103">
        <f t="shared" si="34"/>
        <v>0.29603306014520231</v>
      </c>
      <c r="I78" s="103">
        <f t="shared" si="34"/>
        <v>0.29399670059972399</v>
      </c>
      <c r="J78" s="103">
        <f t="shared" si="34"/>
        <v>0.29982552792150668</v>
      </c>
      <c r="K78" s="103">
        <f t="shared" si="34"/>
        <v>0.29766695860858156</v>
      </c>
      <c r="L78" s="103">
        <f t="shared" si="34"/>
        <v>0.27057080716569498</v>
      </c>
      <c r="M78" s="103">
        <f t="shared" si="34"/>
        <v>0.27201133979517611</v>
      </c>
      <c r="N78" s="103">
        <f t="shared" si="34"/>
        <v>0.26989879908021908</v>
      </c>
      <c r="O78" s="103">
        <f t="shared" si="34"/>
        <v>0.27158959524957588</v>
      </c>
      <c r="P78" s="103" t="str">
        <f t="shared" si="34"/>
        <v/>
      </c>
      <c r="Q78" s="103" t="str">
        <f t="shared" si="34"/>
        <v/>
      </c>
      <c r="R78" s="103" t="str">
        <f t="shared" si="34"/>
        <v/>
      </c>
      <c r="S78" s="103" t="str">
        <f t="shared" si="34"/>
        <v/>
      </c>
      <c r="T78" s="103" t="str">
        <f t="shared" si="34"/>
        <v/>
      </c>
      <c r="U78" s="103" t="str">
        <f t="shared" si="34"/>
        <v/>
      </c>
      <c r="V78" s="103" t="str">
        <f t="shared" si="34"/>
        <v/>
      </c>
      <c r="W78" s="103" t="str">
        <f t="shared" si="34"/>
        <v/>
      </c>
      <c r="X78" s="103" t="str">
        <f t="shared" si="34"/>
        <v/>
      </c>
      <c r="Y78" s="103" t="str">
        <f t="shared" si="34"/>
        <v/>
      </c>
      <c r="Z78" s="103" t="str">
        <f t="shared" si="34"/>
        <v/>
      </c>
      <c r="AA78" s="103" t="str">
        <f t="shared" si="34"/>
        <v/>
      </c>
      <c r="AB78" s="103" t="str">
        <f t="shared" si="34"/>
        <v/>
      </c>
      <c r="AC78" s="192">
        <f t="shared" si="8"/>
        <v>0.25731129525318308</v>
      </c>
      <c r="AD78" s="189">
        <v>2</v>
      </c>
    </row>
    <row r="79" spans="1:30" ht="18" customHeight="1" outlineLevel="1" x14ac:dyDescent="0.25">
      <c r="A79" s="11" t="str">
        <f t="shared" si="5"/>
        <v>Isobutane [g/h]</v>
      </c>
      <c r="B79" s="243"/>
      <c r="C79" s="233">
        <f t="shared" si="6"/>
        <v>0</v>
      </c>
      <c r="D79" s="103">
        <f t="shared" ref="D79:AB79" si="35">IF(SUM(D47:D75)=0, "", (D47*$B47/(D$43*$B$43))*$F$5)</f>
        <v>0</v>
      </c>
      <c r="E79" s="103">
        <f t="shared" si="35"/>
        <v>0</v>
      </c>
      <c r="F79" s="103">
        <f t="shared" si="35"/>
        <v>0</v>
      </c>
      <c r="G79" s="103">
        <f t="shared" si="35"/>
        <v>0</v>
      </c>
      <c r="H79" s="103">
        <f t="shared" si="35"/>
        <v>0</v>
      </c>
      <c r="I79" s="103">
        <f t="shared" si="35"/>
        <v>0</v>
      </c>
      <c r="J79" s="103">
        <f t="shared" si="35"/>
        <v>0</v>
      </c>
      <c r="K79" s="103">
        <f t="shared" si="35"/>
        <v>0</v>
      </c>
      <c r="L79" s="103">
        <f t="shared" si="35"/>
        <v>0</v>
      </c>
      <c r="M79" s="103">
        <f t="shared" si="35"/>
        <v>0</v>
      </c>
      <c r="N79" s="103">
        <f t="shared" si="35"/>
        <v>0</v>
      </c>
      <c r="O79" s="103">
        <f t="shared" si="35"/>
        <v>0</v>
      </c>
      <c r="P79" s="103" t="str">
        <f t="shared" si="35"/>
        <v/>
      </c>
      <c r="Q79" s="103" t="str">
        <f t="shared" si="35"/>
        <v/>
      </c>
      <c r="R79" s="103" t="str">
        <f t="shared" si="35"/>
        <v/>
      </c>
      <c r="S79" s="103" t="str">
        <f t="shared" si="35"/>
        <v/>
      </c>
      <c r="T79" s="103" t="str">
        <f t="shared" si="35"/>
        <v/>
      </c>
      <c r="U79" s="103" t="str">
        <f t="shared" si="35"/>
        <v/>
      </c>
      <c r="V79" s="103" t="str">
        <f t="shared" si="35"/>
        <v/>
      </c>
      <c r="W79" s="103" t="str">
        <f t="shared" si="35"/>
        <v/>
      </c>
      <c r="X79" s="103" t="str">
        <f t="shared" si="35"/>
        <v/>
      </c>
      <c r="Y79" s="103" t="str">
        <f t="shared" si="35"/>
        <v/>
      </c>
      <c r="Z79" s="103" t="str">
        <f t="shared" si="35"/>
        <v/>
      </c>
      <c r="AA79" s="103" t="str">
        <f t="shared" si="35"/>
        <v/>
      </c>
      <c r="AB79" s="103" t="str">
        <f t="shared" si="35"/>
        <v/>
      </c>
      <c r="AC79" s="192">
        <f t="shared" si="8"/>
        <v>0</v>
      </c>
      <c r="AD79" s="189">
        <v>4</v>
      </c>
    </row>
    <row r="80" spans="1:30" ht="18" customHeight="1" outlineLevel="1" x14ac:dyDescent="0.25">
      <c r="A80" s="11" t="str">
        <f t="shared" si="5"/>
        <v>N2 [g/h]</v>
      </c>
      <c r="B80" s="243"/>
      <c r="C80" s="233">
        <f t="shared" si="6"/>
        <v>2.1374471917040951</v>
      </c>
      <c r="D80" s="103">
        <f t="shared" ref="D80:AB80" si="36">IF(SUM(D48:D76)=0, "", (D48*$B48/(D$43*$B$43))*$F$5)</f>
        <v>1.6861887757608913</v>
      </c>
      <c r="E80" s="103">
        <f t="shared" si="36"/>
        <v>2.1864185830073075</v>
      </c>
      <c r="F80" s="103">
        <f t="shared" si="36"/>
        <v>2.1953575460000101</v>
      </c>
      <c r="G80" s="103">
        <f t="shared" si="36"/>
        <v>2.1858668875152998</v>
      </c>
      <c r="H80" s="103">
        <f t="shared" si="36"/>
        <v>2.1764545080047744</v>
      </c>
      <c r="I80" s="103">
        <f t="shared" si="36"/>
        <v>2.1632705276512483</v>
      </c>
      <c r="J80" s="103">
        <f t="shared" si="36"/>
        <v>2.1746228473825022</v>
      </c>
      <c r="K80" s="103">
        <f t="shared" si="36"/>
        <v>2.1782751882505731</v>
      </c>
      <c r="L80" s="103">
        <f t="shared" si="36"/>
        <v>2.1715342340897577</v>
      </c>
      <c r="M80" s="103">
        <f t="shared" si="36"/>
        <v>2.1802294997366434</v>
      </c>
      <c r="N80" s="103">
        <f t="shared" si="36"/>
        <v>2.1700320121212666</v>
      </c>
      <c r="O80" s="103">
        <f t="shared" si="36"/>
        <v>2.1811156909288658</v>
      </c>
      <c r="P80" s="103" t="str">
        <f t="shared" si="36"/>
        <v/>
      </c>
      <c r="Q80" s="103" t="str">
        <f t="shared" si="36"/>
        <v/>
      </c>
      <c r="R80" s="103" t="str">
        <f t="shared" si="36"/>
        <v/>
      </c>
      <c r="S80" s="103" t="str">
        <f t="shared" si="36"/>
        <v/>
      </c>
      <c r="T80" s="103" t="str">
        <f t="shared" si="36"/>
        <v/>
      </c>
      <c r="U80" s="103" t="str">
        <f t="shared" si="36"/>
        <v/>
      </c>
      <c r="V80" s="103" t="str">
        <f t="shared" si="36"/>
        <v/>
      </c>
      <c r="W80" s="103" t="str">
        <f t="shared" si="36"/>
        <v/>
      </c>
      <c r="X80" s="103" t="str">
        <f t="shared" si="36"/>
        <v/>
      </c>
      <c r="Y80" s="103" t="str">
        <f t="shared" si="36"/>
        <v/>
      </c>
      <c r="Z80" s="103" t="str">
        <f t="shared" si="36"/>
        <v/>
      </c>
      <c r="AA80" s="103" t="str">
        <f t="shared" si="36"/>
        <v/>
      </c>
      <c r="AB80" s="103" t="str">
        <f t="shared" si="36"/>
        <v/>
      </c>
      <c r="AC80" s="192">
        <f t="shared" si="8"/>
        <v>0</v>
      </c>
      <c r="AD80" s="189">
        <v>0</v>
      </c>
    </row>
    <row r="81" spans="1:30" ht="18" customHeight="1" outlineLevel="1" x14ac:dyDescent="0.25">
      <c r="A81" s="11" t="str">
        <f t="shared" si="5"/>
        <v/>
      </c>
      <c r="B81" s="243"/>
      <c r="C81" s="233">
        <f t="shared" si="6"/>
        <v>0</v>
      </c>
      <c r="D81" s="103">
        <f t="shared" ref="D81:AB81" si="37">IF(SUM(D49:D77)=0, "", (D49*$B49/(D$43*$B$43))*$F$5)</f>
        <v>0</v>
      </c>
      <c r="E81" s="103">
        <f t="shared" si="37"/>
        <v>0</v>
      </c>
      <c r="F81" s="103">
        <f t="shared" si="37"/>
        <v>0</v>
      </c>
      <c r="G81" s="103">
        <f t="shared" si="37"/>
        <v>0</v>
      </c>
      <c r="H81" s="103">
        <f t="shared" si="37"/>
        <v>0</v>
      </c>
      <c r="I81" s="103">
        <f t="shared" si="37"/>
        <v>0</v>
      </c>
      <c r="J81" s="103">
        <f t="shared" si="37"/>
        <v>0</v>
      </c>
      <c r="K81" s="103">
        <f t="shared" si="37"/>
        <v>0</v>
      </c>
      <c r="L81" s="103">
        <f t="shared" si="37"/>
        <v>0</v>
      </c>
      <c r="M81" s="103">
        <f t="shared" si="37"/>
        <v>0</v>
      </c>
      <c r="N81" s="103">
        <f t="shared" si="37"/>
        <v>0</v>
      </c>
      <c r="O81" s="103">
        <f t="shared" si="37"/>
        <v>0</v>
      </c>
      <c r="P81" s="103" t="str">
        <f t="shared" si="37"/>
        <v/>
      </c>
      <c r="Q81" s="103" t="str">
        <f t="shared" si="37"/>
        <v/>
      </c>
      <c r="R81" s="103" t="str">
        <f t="shared" si="37"/>
        <v/>
      </c>
      <c r="S81" s="103" t="str">
        <f t="shared" si="37"/>
        <v/>
      </c>
      <c r="T81" s="103" t="str">
        <f t="shared" si="37"/>
        <v/>
      </c>
      <c r="U81" s="103" t="str">
        <f t="shared" si="37"/>
        <v/>
      </c>
      <c r="V81" s="103" t="str">
        <f t="shared" si="37"/>
        <v/>
      </c>
      <c r="W81" s="103" t="str">
        <f t="shared" si="37"/>
        <v/>
      </c>
      <c r="X81" s="103" t="str">
        <f t="shared" si="37"/>
        <v/>
      </c>
      <c r="Y81" s="103" t="str">
        <f t="shared" si="37"/>
        <v/>
      </c>
      <c r="Z81" s="103" t="str">
        <f t="shared" si="37"/>
        <v/>
      </c>
      <c r="AA81" s="103" t="str">
        <f t="shared" si="37"/>
        <v/>
      </c>
      <c r="AB81" s="103" t="str">
        <f t="shared" si="37"/>
        <v/>
      </c>
    </row>
    <row r="82" spans="1:30" ht="18" customHeight="1" outlineLevel="1" x14ac:dyDescent="0.25">
      <c r="A82" s="11" t="s">
        <v>250</v>
      </c>
      <c r="B82" s="243"/>
      <c r="C82" s="233">
        <f t="shared" si="6"/>
        <v>0.39609021987807785</v>
      </c>
      <c r="D82" s="103">
        <f t="shared" ref="D82:AB82" si="38">IF(SUM(D52:D81)=0,"",SUM(D52:D73,D78,D79))</f>
        <v>0.30395080020266091</v>
      </c>
      <c r="E82" s="103">
        <f t="shared" si="38"/>
        <v>0.4126656869583869</v>
      </c>
      <c r="F82" s="103">
        <f t="shared" si="38"/>
        <v>0.4129133064506928</v>
      </c>
      <c r="G82" s="103">
        <f t="shared" si="38"/>
        <v>0.4114581996498079</v>
      </c>
      <c r="H82" s="103">
        <f t="shared" si="38"/>
        <v>0.41410198613939286</v>
      </c>
      <c r="I82" s="103">
        <f t="shared" si="38"/>
        <v>0.41602044733612314</v>
      </c>
      <c r="J82" s="103">
        <f t="shared" si="38"/>
        <v>0.41982475341072562</v>
      </c>
      <c r="K82" s="103">
        <f t="shared" si="38"/>
        <v>0.41617853379695635</v>
      </c>
      <c r="L82" s="103">
        <f t="shared" si="38"/>
        <v>0.3857634043012918</v>
      </c>
      <c r="M82" s="103">
        <f t="shared" si="38"/>
        <v>0.38794651686045156</v>
      </c>
      <c r="N82" s="103">
        <f t="shared" si="38"/>
        <v>0.38484824208866303</v>
      </c>
      <c r="O82" s="103">
        <f t="shared" si="38"/>
        <v>0.3874107613417816</v>
      </c>
      <c r="P82" s="103" t="str">
        <f t="shared" si="38"/>
        <v/>
      </c>
      <c r="Q82" s="103" t="str">
        <f t="shared" si="38"/>
        <v/>
      </c>
      <c r="R82" s="103" t="str">
        <f t="shared" si="38"/>
        <v/>
      </c>
      <c r="S82" s="103" t="str">
        <f t="shared" si="38"/>
        <v/>
      </c>
      <c r="T82" s="103" t="str">
        <f t="shared" si="38"/>
        <v/>
      </c>
      <c r="U82" s="103" t="str">
        <f t="shared" si="38"/>
        <v/>
      </c>
      <c r="V82" s="103" t="str">
        <f t="shared" si="38"/>
        <v/>
      </c>
      <c r="W82" s="103" t="str">
        <f t="shared" si="38"/>
        <v/>
      </c>
      <c r="X82" s="103" t="str">
        <f t="shared" si="38"/>
        <v/>
      </c>
      <c r="Y82" s="103" t="str">
        <f t="shared" si="38"/>
        <v/>
      </c>
      <c r="Z82" s="103" t="str">
        <f t="shared" si="38"/>
        <v/>
      </c>
      <c r="AA82" s="103" t="str">
        <f t="shared" si="38"/>
        <v/>
      </c>
      <c r="AB82" s="103" t="str">
        <f t="shared" si="38"/>
        <v/>
      </c>
    </row>
    <row r="83" spans="1:30" ht="18" customHeight="1" outlineLevel="1" x14ac:dyDescent="0.25">
      <c r="A83" s="11" t="s">
        <v>251</v>
      </c>
      <c r="B83" s="243"/>
      <c r="C83" s="233">
        <f t="shared" si="6"/>
        <v>0</v>
      </c>
      <c r="D83" s="103">
        <f t="shared" ref="D83:AB83" si="39">IFERROR(D74+D76,"")</f>
        <v>0</v>
      </c>
      <c r="E83" s="103">
        <f t="shared" si="39"/>
        <v>0</v>
      </c>
      <c r="F83" s="103">
        <f t="shared" si="39"/>
        <v>0</v>
      </c>
      <c r="G83" s="103">
        <f t="shared" si="39"/>
        <v>0</v>
      </c>
      <c r="H83" s="103">
        <f t="shared" si="39"/>
        <v>0</v>
      </c>
      <c r="I83" s="103">
        <f t="shared" si="39"/>
        <v>0</v>
      </c>
      <c r="J83" s="103">
        <f t="shared" si="39"/>
        <v>0</v>
      </c>
      <c r="K83" s="103">
        <f t="shared" si="39"/>
        <v>0</v>
      </c>
      <c r="L83" s="103">
        <f t="shared" si="39"/>
        <v>0</v>
      </c>
      <c r="M83" s="103">
        <f t="shared" si="39"/>
        <v>0</v>
      </c>
      <c r="N83" s="103">
        <f t="shared" si="39"/>
        <v>0</v>
      </c>
      <c r="O83" s="103">
        <f t="shared" si="39"/>
        <v>0</v>
      </c>
      <c r="P83" s="103" t="str">
        <f t="shared" si="39"/>
        <v/>
      </c>
      <c r="Q83" s="103" t="str">
        <f t="shared" si="39"/>
        <v/>
      </c>
      <c r="R83" s="103" t="str">
        <f t="shared" si="39"/>
        <v/>
      </c>
      <c r="S83" s="103" t="str">
        <f t="shared" si="39"/>
        <v/>
      </c>
      <c r="T83" s="103" t="str">
        <f t="shared" si="39"/>
        <v/>
      </c>
      <c r="U83" s="103" t="str">
        <f t="shared" si="39"/>
        <v/>
      </c>
      <c r="V83" s="103" t="str">
        <f t="shared" si="39"/>
        <v/>
      </c>
      <c r="W83" s="103" t="str">
        <f t="shared" si="39"/>
        <v/>
      </c>
      <c r="X83" s="103" t="str">
        <f t="shared" si="39"/>
        <v/>
      </c>
      <c r="Y83" s="103" t="str">
        <f t="shared" si="39"/>
        <v/>
      </c>
      <c r="Z83" s="103" t="str">
        <f t="shared" si="39"/>
        <v/>
      </c>
      <c r="AA83" s="103" t="str">
        <f t="shared" si="39"/>
        <v/>
      </c>
      <c r="AB83" s="103" t="str">
        <f t="shared" si="39"/>
        <v/>
      </c>
    </row>
    <row r="84" spans="1:30" ht="18" customHeight="1" outlineLevel="1" x14ac:dyDescent="0.25">
      <c r="A84" s="11" t="s">
        <v>252</v>
      </c>
      <c r="B84" s="243"/>
      <c r="C84" s="233">
        <f t="shared" si="6"/>
        <v>0.39609021987807785</v>
      </c>
      <c r="D84" s="103">
        <f t="shared" ref="D84:AB84" si="40">IF(SUM(D82:D83)=0,"",SUM(D82:D83))</f>
        <v>0.30395080020266091</v>
      </c>
      <c r="E84" s="103">
        <f t="shared" si="40"/>
        <v>0.4126656869583869</v>
      </c>
      <c r="F84" s="103">
        <f t="shared" si="40"/>
        <v>0.4129133064506928</v>
      </c>
      <c r="G84" s="103">
        <f t="shared" si="40"/>
        <v>0.4114581996498079</v>
      </c>
      <c r="H84" s="103">
        <f t="shared" si="40"/>
        <v>0.41410198613939286</v>
      </c>
      <c r="I84" s="103">
        <f t="shared" si="40"/>
        <v>0.41602044733612314</v>
      </c>
      <c r="J84" s="103">
        <f t="shared" si="40"/>
        <v>0.41982475341072562</v>
      </c>
      <c r="K84" s="103">
        <f t="shared" si="40"/>
        <v>0.41617853379695635</v>
      </c>
      <c r="L84" s="103">
        <f t="shared" si="40"/>
        <v>0.3857634043012918</v>
      </c>
      <c r="M84" s="103">
        <f t="shared" si="40"/>
        <v>0.38794651686045156</v>
      </c>
      <c r="N84" s="103">
        <f t="shared" si="40"/>
        <v>0.38484824208866303</v>
      </c>
      <c r="O84" s="103">
        <f t="shared" si="40"/>
        <v>0.3874107613417816</v>
      </c>
      <c r="P84" s="103" t="str">
        <f t="shared" si="40"/>
        <v/>
      </c>
      <c r="Q84" s="103" t="str">
        <f t="shared" si="40"/>
        <v/>
      </c>
      <c r="R84" s="103" t="str">
        <f t="shared" si="40"/>
        <v/>
      </c>
      <c r="S84" s="103" t="str">
        <f t="shared" si="40"/>
        <v/>
      </c>
      <c r="T84" s="103" t="str">
        <f t="shared" si="40"/>
        <v/>
      </c>
      <c r="U84" s="103" t="str">
        <f t="shared" si="40"/>
        <v/>
      </c>
      <c r="V84" s="103" t="str">
        <f t="shared" si="40"/>
        <v/>
      </c>
      <c r="W84" s="103" t="str">
        <f t="shared" si="40"/>
        <v/>
      </c>
      <c r="X84" s="103" t="str">
        <f t="shared" si="40"/>
        <v/>
      </c>
      <c r="Y84" s="103" t="str">
        <f t="shared" si="40"/>
        <v/>
      </c>
      <c r="Z84" s="103" t="str">
        <f t="shared" si="40"/>
        <v/>
      </c>
      <c r="AA84" s="103" t="str">
        <f t="shared" si="40"/>
        <v/>
      </c>
      <c r="AB84" s="103" t="str">
        <f t="shared" si="40"/>
        <v/>
      </c>
    </row>
    <row r="86" spans="1:30" ht="18" customHeight="1" outlineLevel="2" x14ac:dyDescent="0.25">
      <c r="A86" s="11" t="s">
        <v>253</v>
      </c>
      <c r="C86" s="217">
        <f>IFERROR(AVERAGE(D86:AB86), "")</f>
        <v>159.70410705546072</v>
      </c>
      <c r="D86" s="7">
        <f>IF(D$75="","",D$75/Gas!$I$35*Gas!$B$11)</f>
        <v>159.7041070554607</v>
      </c>
      <c r="E86" s="7">
        <f>IF(E$75="","",E$75/Gas!$I$35*Gas!$B$11)</f>
        <v>159.7041070554607</v>
      </c>
      <c r="F86" s="7">
        <f>IF(F$75="","",F$75/Gas!$I$35*Gas!$B$11)</f>
        <v>159.7041070554607</v>
      </c>
      <c r="G86" s="7">
        <f>IF(G$75="","",G$75/Gas!$I$35*Gas!$B$11)</f>
        <v>159.7041070554607</v>
      </c>
      <c r="H86" s="7">
        <f>IF(H$75="","",H$75/Gas!$I$35*Gas!$B$11)</f>
        <v>159.7041070554607</v>
      </c>
      <c r="I86" s="7">
        <f>IF(I$75="","",I$75/Gas!$I$35*Gas!$B$11)</f>
        <v>159.7041070554607</v>
      </c>
      <c r="J86" s="7">
        <f>IF(J$75="","",J$75/Gas!$I$35*Gas!$B$11)</f>
        <v>159.7041070554607</v>
      </c>
      <c r="K86" s="7">
        <f>IF(K$75="","",K$75/Gas!$I$35*Gas!$B$11)</f>
        <v>159.7041070554607</v>
      </c>
      <c r="L86" s="7">
        <f>IF(L$75="","",L$75/Gas!$I$35*Gas!$B$11)</f>
        <v>159.7041070554607</v>
      </c>
      <c r="M86" s="7">
        <f>IF(M$75="","",M$75/Gas!$I$35*Gas!$B$11)</f>
        <v>159.7041070554607</v>
      </c>
      <c r="N86" s="7">
        <f>IF(N$75="","",N$75/Gas!$I$35*Gas!$B$11)</f>
        <v>159.7041070554607</v>
      </c>
      <c r="O86" s="7">
        <f>IF(O$75="","",O$75/Gas!$I$35*Gas!$B$11)</f>
        <v>159.7041070554607</v>
      </c>
      <c r="P86" s="7" t="str">
        <f>IF(P$75="","",P$75/Gas!$I$35*Gas!$B$11)</f>
        <v/>
      </c>
      <c r="Q86" s="7" t="str">
        <f>IF(Q$75="","",Q$75/Gas!$I$35*Gas!$B$11)</f>
        <v/>
      </c>
      <c r="R86" s="7" t="str">
        <f>IF(R$75="","",R$75/Gas!$I$35*Gas!$B$11)</f>
        <v/>
      </c>
      <c r="S86" s="7" t="str">
        <f>IF(S$75="","",S$75/Gas!$I$35*Gas!$B$11)</f>
        <v/>
      </c>
      <c r="T86" s="7" t="str">
        <f>IF(T$75="","",T$75/Gas!$I$35*Gas!$B$11)</f>
        <v/>
      </c>
      <c r="U86" s="7" t="str">
        <f>IF(U$75="","",U$75/Gas!$I$35*Gas!$B$11)</f>
        <v/>
      </c>
      <c r="V86" s="7" t="str">
        <f>IF(V$75="","",V$75/Gas!$I$35*Gas!$B$11)</f>
        <v/>
      </c>
      <c r="W86" s="7" t="str">
        <f>IF(W$75="","",W$75/Gas!$I$35*Gas!$B$11)</f>
        <v/>
      </c>
      <c r="X86" s="7" t="str">
        <f>IF(X$75="","",X$75/Gas!$I$35*Gas!$B$11)</f>
        <v/>
      </c>
      <c r="Y86" s="7" t="str">
        <f>IF(Y$75="","",Y$75/Gas!$I$35*Gas!$B$11)</f>
        <v/>
      </c>
      <c r="Z86" s="7" t="str">
        <f>IF(Z$75="","",Z$75/Gas!$I$35*Gas!$B$11)</f>
        <v/>
      </c>
      <c r="AA86" s="7" t="str">
        <f>IF(AA$75="","",AA$75/Gas!$I$35*Gas!$B$11)</f>
        <v/>
      </c>
      <c r="AB86" s="7" t="str">
        <f>IF(AB$75="","",AB$75/Gas!$I$35*Gas!$B$11)</f>
        <v/>
      </c>
    </row>
    <row r="87" spans="1:30" ht="18" customHeight="1" outlineLevel="2" x14ac:dyDescent="0.25">
      <c r="A87" s="11" t="s">
        <v>254</v>
      </c>
      <c r="B87" s="241"/>
      <c r="C87" s="217" t="s">
        <v>247</v>
      </c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D87" s="136"/>
    </row>
    <row r="88" spans="1:30" ht="18" customHeight="1" outlineLevel="2" x14ac:dyDescent="0.25">
      <c r="A88" s="11" t="str">
        <f t="shared" ref="A88:A118" si="41">IF(A20="", "", CONCATENATE(A20, " [Nl/h]"))</f>
        <v>Methane [Nl/h]</v>
      </c>
      <c r="B88" s="243"/>
      <c r="C88" s="233">
        <f t="shared" ref="C88:C118" si="42">IFERROR(AVERAGE(D88:AB88), "")</f>
        <v>4.1759371354689279</v>
      </c>
      <c r="D88" s="103">
        <f t="shared" ref="D88:AB88" si="43">IF(D$86="","",D20/100*D$86)</f>
        <v>4.0931555762707772</v>
      </c>
      <c r="E88" s="103">
        <f t="shared" si="43"/>
        <v>4.1349118121014969</v>
      </c>
      <c r="F88" s="103">
        <f t="shared" si="43"/>
        <v>4.1371492666413445</v>
      </c>
      <c r="G88" s="103">
        <f t="shared" si="43"/>
        <v>4.141113122578461</v>
      </c>
      <c r="H88" s="103">
        <f t="shared" si="43"/>
        <v>4.2300172048940947</v>
      </c>
      <c r="I88" s="103">
        <f t="shared" si="43"/>
        <v>4.239284834226523</v>
      </c>
      <c r="J88" s="103">
        <f t="shared" si="43"/>
        <v>4.2155288483020232</v>
      </c>
      <c r="K88" s="103">
        <f t="shared" si="43"/>
        <v>4.2276759426846615</v>
      </c>
      <c r="L88" s="103">
        <f t="shared" si="43"/>
        <v>4.1693823465683479</v>
      </c>
      <c r="M88" s="103">
        <f t="shared" si="43"/>
        <v>4.1788256504185375</v>
      </c>
      <c r="N88" s="103">
        <f t="shared" si="43"/>
        <v>4.1647748830797982</v>
      </c>
      <c r="O88" s="103">
        <f t="shared" si="43"/>
        <v>4.179426137861066</v>
      </c>
      <c r="P88" s="103" t="str">
        <f t="shared" si="43"/>
        <v/>
      </c>
      <c r="Q88" s="103" t="str">
        <f t="shared" si="43"/>
        <v/>
      </c>
      <c r="R88" s="103" t="str">
        <f t="shared" si="43"/>
        <v/>
      </c>
      <c r="S88" s="103" t="str">
        <f t="shared" si="43"/>
        <v/>
      </c>
      <c r="T88" s="103" t="str">
        <f t="shared" si="43"/>
        <v/>
      </c>
      <c r="U88" s="103" t="str">
        <f t="shared" si="43"/>
        <v/>
      </c>
      <c r="V88" s="103" t="str">
        <f t="shared" si="43"/>
        <v/>
      </c>
      <c r="W88" s="103" t="str">
        <f t="shared" si="43"/>
        <v/>
      </c>
      <c r="X88" s="103" t="str">
        <f t="shared" si="43"/>
        <v/>
      </c>
      <c r="Y88" s="103" t="str">
        <f t="shared" si="43"/>
        <v/>
      </c>
      <c r="Z88" s="103" t="str">
        <f t="shared" si="43"/>
        <v/>
      </c>
      <c r="AA88" s="103" t="str">
        <f t="shared" si="43"/>
        <v/>
      </c>
      <c r="AB88" s="103" t="str">
        <f t="shared" si="43"/>
        <v/>
      </c>
    </row>
    <row r="89" spans="1:30" ht="18" customHeight="1" outlineLevel="2" x14ac:dyDescent="0.25">
      <c r="A89" s="11" t="str">
        <f t="shared" si="41"/>
        <v>Ethane [Nl/h]</v>
      </c>
      <c r="B89" s="243"/>
      <c r="C89" s="233">
        <f t="shared" si="42"/>
        <v>4.1770609200355736E-3</v>
      </c>
      <c r="D89" s="103">
        <f t="shared" ref="D89:AB89" si="44">IF(D$86="","",D21/100*D$86)</f>
        <v>4.4956706136112176E-3</v>
      </c>
      <c r="E89" s="103">
        <f t="shared" si="44"/>
        <v>1.0500545038896541E-2</v>
      </c>
      <c r="F89" s="103">
        <f t="shared" si="44"/>
        <v>9.697233380407573E-3</v>
      </c>
      <c r="G89" s="103">
        <f t="shared" si="44"/>
        <v>8.7214412862987069E-3</v>
      </c>
      <c r="H89" s="103">
        <f t="shared" si="44"/>
        <v>2.170378814883711E-3</v>
      </c>
      <c r="I89" s="103">
        <f t="shared" si="44"/>
        <v>2.0474066524510059E-3</v>
      </c>
      <c r="J89" s="103">
        <f t="shared" si="44"/>
        <v>1.9883161328404855E-3</v>
      </c>
      <c r="K89" s="103">
        <f t="shared" si="44"/>
        <v>1.9579723524999482E-3</v>
      </c>
      <c r="L89" s="103">
        <f t="shared" si="44"/>
        <v>2.267798320187542E-3</v>
      </c>
      <c r="M89" s="103">
        <f t="shared" si="44"/>
        <v>2.0889297202854257E-3</v>
      </c>
      <c r="N89" s="103">
        <f t="shared" si="44"/>
        <v>2.1192735006259635E-3</v>
      </c>
      <c r="O89" s="103">
        <f t="shared" si="44"/>
        <v>2.0697652274387708E-3</v>
      </c>
      <c r="P89" s="103" t="str">
        <f t="shared" si="44"/>
        <v/>
      </c>
      <c r="Q89" s="103" t="str">
        <f t="shared" si="44"/>
        <v/>
      </c>
      <c r="R89" s="103" t="str">
        <f t="shared" si="44"/>
        <v/>
      </c>
      <c r="S89" s="103" t="str">
        <f t="shared" si="44"/>
        <v/>
      </c>
      <c r="T89" s="103" t="str">
        <f t="shared" si="44"/>
        <v/>
      </c>
      <c r="U89" s="103" t="str">
        <f t="shared" si="44"/>
        <v/>
      </c>
      <c r="V89" s="103" t="str">
        <f t="shared" si="44"/>
        <v/>
      </c>
      <c r="W89" s="103" t="str">
        <f t="shared" si="44"/>
        <v/>
      </c>
      <c r="X89" s="103" t="str">
        <f t="shared" si="44"/>
        <v/>
      </c>
      <c r="Y89" s="103" t="str">
        <f t="shared" si="44"/>
        <v/>
      </c>
      <c r="Z89" s="103" t="str">
        <f t="shared" si="44"/>
        <v/>
      </c>
      <c r="AA89" s="103" t="str">
        <f t="shared" si="44"/>
        <v/>
      </c>
      <c r="AB89" s="103" t="str">
        <f t="shared" si="44"/>
        <v/>
      </c>
    </row>
    <row r="90" spans="1:30" ht="18" customHeight="1" outlineLevel="2" x14ac:dyDescent="0.25">
      <c r="A90" s="11" t="str">
        <f t="shared" si="41"/>
        <v>Ethylene [Nl/h]</v>
      </c>
      <c r="B90" s="243"/>
      <c r="C90" s="233">
        <f t="shared" si="42"/>
        <v>2.6239923790573503</v>
      </c>
      <c r="D90" s="103">
        <f t="shared" ref="D90:AB90" si="45">IF(D$86="","",D22/100*D$86)</f>
        <v>2.5150713832236526</v>
      </c>
      <c r="E90" s="103">
        <f t="shared" si="45"/>
        <v>2.5953466526350799</v>
      </c>
      <c r="F90" s="103">
        <f t="shared" si="45"/>
        <v>2.6018801476547191</v>
      </c>
      <c r="G90" s="103">
        <f t="shared" si="45"/>
        <v>2.6025253522472229</v>
      </c>
      <c r="H90" s="103">
        <f t="shared" si="45"/>
        <v>2.6589983215431046</v>
      </c>
      <c r="I90" s="103">
        <f t="shared" si="45"/>
        <v>2.6648578652309696</v>
      </c>
      <c r="J90" s="103">
        <f t="shared" si="45"/>
        <v>2.6555998181449643</v>
      </c>
      <c r="K90" s="103">
        <f t="shared" si="45"/>
        <v>2.6565899836087086</v>
      </c>
      <c r="L90" s="103">
        <f t="shared" si="45"/>
        <v>2.6329905077091227</v>
      </c>
      <c r="M90" s="103">
        <f t="shared" si="45"/>
        <v>2.6373312653388905</v>
      </c>
      <c r="N90" s="103">
        <f t="shared" si="45"/>
        <v>2.6275701503156603</v>
      </c>
      <c r="O90" s="103">
        <f t="shared" si="45"/>
        <v>2.6391471010361105</v>
      </c>
      <c r="P90" s="103" t="str">
        <f t="shared" si="45"/>
        <v/>
      </c>
      <c r="Q90" s="103" t="str">
        <f t="shared" si="45"/>
        <v/>
      </c>
      <c r="R90" s="103" t="str">
        <f t="shared" si="45"/>
        <v/>
      </c>
      <c r="S90" s="103" t="str">
        <f t="shared" si="45"/>
        <v/>
      </c>
      <c r="T90" s="103" t="str">
        <f t="shared" si="45"/>
        <v/>
      </c>
      <c r="U90" s="103" t="str">
        <f t="shared" si="45"/>
        <v/>
      </c>
      <c r="V90" s="103" t="str">
        <f t="shared" si="45"/>
        <v/>
      </c>
      <c r="W90" s="103" t="str">
        <f t="shared" si="45"/>
        <v/>
      </c>
      <c r="X90" s="103" t="str">
        <f t="shared" si="45"/>
        <v/>
      </c>
      <c r="Y90" s="103" t="str">
        <f t="shared" si="45"/>
        <v/>
      </c>
      <c r="Z90" s="103" t="str">
        <f t="shared" si="45"/>
        <v/>
      </c>
      <c r="AA90" s="103" t="str">
        <f t="shared" si="45"/>
        <v/>
      </c>
      <c r="AB90" s="103" t="str">
        <f t="shared" si="45"/>
        <v/>
      </c>
    </row>
    <row r="91" spans="1:30" ht="18" customHeight="1" outlineLevel="2" x14ac:dyDescent="0.25">
      <c r="A91" s="11" t="str">
        <f t="shared" si="41"/>
        <v>Propane [Nl/h]</v>
      </c>
      <c r="B91" s="243"/>
      <c r="C91" s="233">
        <f t="shared" si="42"/>
        <v>0</v>
      </c>
      <c r="D91" s="103">
        <f t="shared" ref="D91:AB91" si="46">IF(D$86="","",D23/100*D$86)</f>
        <v>0</v>
      </c>
      <c r="E91" s="103">
        <f t="shared" si="46"/>
        <v>0</v>
      </c>
      <c r="F91" s="103">
        <f t="shared" si="46"/>
        <v>0</v>
      </c>
      <c r="G91" s="103">
        <f t="shared" si="46"/>
        <v>0</v>
      </c>
      <c r="H91" s="103">
        <f t="shared" si="46"/>
        <v>0</v>
      </c>
      <c r="I91" s="103">
        <f t="shared" si="46"/>
        <v>0</v>
      </c>
      <c r="J91" s="103">
        <f t="shared" si="46"/>
        <v>0</v>
      </c>
      <c r="K91" s="103">
        <f t="shared" si="46"/>
        <v>0</v>
      </c>
      <c r="L91" s="103">
        <f t="shared" si="46"/>
        <v>0</v>
      </c>
      <c r="M91" s="103">
        <f t="shared" si="46"/>
        <v>0</v>
      </c>
      <c r="N91" s="103">
        <f t="shared" si="46"/>
        <v>0</v>
      </c>
      <c r="O91" s="103">
        <f t="shared" si="46"/>
        <v>0</v>
      </c>
      <c r="P91" s="103" t="str">
        <f t="shared" si="46"/>
        <v/>
      </c>
      <c r="Q91" s="103" t="str">
        <f t="shared" si="46"/>
        <v/>
      </c>
      <c r="R91" s="103" t="str">
        <f t="shared" si="46"/>
        <v/>
      </c>
      <c r="S91" s="103" t="str">
        <f t="shared" si="46"/>
        <v/>
      </c>
      <c r="T91" s="103" t="str">
        <f t="shared" si="46"/>
        <v/>
      </c>
      <c r="U91" s="103" t="str">
        <f t="shared" si="46"/>
        <v/>
      </c>
      <c r="V91" s="103" t="str">
        <f t="shared" si="46"/>
        <v/>
      </c>
      <c r="W91" s="103" t="str">
        <f t="shared" si="46"/>
        <v/>
      </c>
      <c r="X91" s="103" t="str">
        <f t="shared" si="46"/>
        <v/>
      </c>
      <c r="Y91" s="103" t="str">
        <f t="shared" si="46"/>
        <v/>
      </c>
      <c r="Z91" s="103" t="str">
        <f t="shared" si="46"/>
        <v/>
      </c>
      <c r="AA91" s="103" t="str">
        <f t="shared" si="46"/>
        <v/>
      </c>
      <c r="AB91" s="103" t="str">
        <f t="shared" si="46"/>
        <v/>
      </c>
    </row>
    <row r="92" spans="1:30" ht="18" customHeight="1" outlineLevel="2" x14ac:dyDescent="0.25">
      <c r="A92" s="11" t="str">
        <f t="shared" si="41"/>
        <v>Propylene [Nl/h]</v>
      </c>
      <c r="B92" s="243"/>
      <c r="C92" s="233">
        <f t="shared" si="42"/>
        <v>1.0126571254875005E-3</v>
      </c>
      <c r="D92" s="103">
        <f t="shared" ref="D92:AB92" si="47">IF(D$86="","",D24/100*D$86)</f>
        <v>2.5856094932279086E-3</v>
      </c>
      <c r="E92" s="103">
        <f t="shared" si="47"/>
        <v>4.1666801530769702E-3</v>
      </c>
      <c r="F92" s="103">
        <f t="shared" si="47"/>
        <v>2.9800786376548969E-3</v>
      </c>
      <c r="G92" s="103">
        <f t="shared" si="47"/>
        <v>2.4195172218902296E-3</v>
      </c>
      <c r="H92" s="103">
        <f t="shared" si="47"/>
        <v>0</v>
      </c>
      <c r="I92" s="103">
        <f t="shared" si="47"/>
        <v>0</v>
      </c>
      <c r="J92" s="103">
        <f t="shared" si="47"/>
        <v>0</v>
      </c>
      <c r="K92" s="103">
        <f t="shared" si="47"/>
        <v>0</v>
      </c>
      <c r="L92" s="103">
        <f t="shared" si="47"/>
        <v>0</v>
      </c>
      <c r="M92" s="103">
        <f t="shared" si="47"/>
        <v>0</v>
      </c>
      <c r="N92" s="103">
        <f t="shared" si="47"/>
        <v>0</v>
      </c>
      <c r="O92" s="103">
        <f t="shared" si="47"/>
        <v>0</v>
      </c>
      <c r="P92" s="103" t="str">
        <f t="shared" si="47"/>
        <v/>
      </c>
      <c r="Q92" s="103" t="str">
        <f t="shared" si="47"/>
        <v/>
      </c>
      <c r="R92" s="103" t="str">
        <f t="shared" si="47"/>
        <v/>
      </c>
      <c r="S92" s="103" t="str">
        <f t="shared" si="47"/>
        <v/>
      </c>
      <c r="T92" s="103" t="str">
        <f t="shared" si="47"/>
        <v/>
      </c>
      <c r="U92" s="103" t="str">
        <f t="shared" si="47"/>
        <v/>
      </c>
      <c r="V92" s="103" t="str">
        <f t="shared" si="47"/>
        <v/>
      </c>
      <c r="W92" s="103" t="str">
        <f t="shared" si="47"/>
        <v/>
      </c>
      <c r="X92" s="103" t="str">
        <f t="shared" si="47"/>
        <v/>
      </c>
      <c r="Y92" s="103" t="str">
        <f t="shared" si="47"/>
        <v/>
      </c>
      <c r="Z92" s="103" t="str">
        <f t="shared" si="47"/>
        <v/>
      </c>
      <c r="AA92" s="103" t="str">
        <f t="shared" si="47"/>
        <v/>
      </c>
      <c r="AB92" s="103" t="str">
        <f t="shared" si="47"/>
        <v/>
      </c>
    </row>
    <row r="93" spans="1:30" ht="18" customHeight="1" outlineLevel="2" x14ac:dyDescent="0.25">
      <c r="A93" s="11" t="str">
        <f t="shared" si="41"/>
        <v>Butane [Nl/h]</v>
      </c>
      <c r="B93" s="243"/>
      <c r="C93" s="233">
        <f t="shared" si="42"/>
        <v>2.5366335670642341E-4</v>
      </c>
      <c r="D93" s="103">
        <f t="shared" ref="D93:AB93" si="48">IF(D$86="","",D25/100*D$86)</f>
        <v>9.7419505303831025E-4</v>
      </c>
      <c r="E93" s="103">
        <f t="shared" si="48"/>
        <v>8.4962584953505093E-4</v>
      </c>
      <c r="F93" s="103">
        <f t="shared" si="48"/>
        <v>6.4999571571572508E-4</v>
      </c>
      <c r="G93" s="103">
        <f t="shared" si="48"/>
        <v>5.7014366218799471E-4</v>
      </c>
      <c r="H93" s="103">
        <f t="shared" si="48"/>
        <v>0</v>
      </c>
      <c r="I93" s="103">
        <f t="shared" si="48"/>
        <v>0</v>
      </c>
      <c r="J93" s="103">
        <f t="shared" si="48"/>
        <v>0</v>
      </c>
      <c r="K93" s="103">
        <f t="shared" si="48"/>
        <v>0</v>
      </c>
      <c r="L93" s="103">
        <f t="shared" si="48"/>
        <v>0</v>
      </c>
      <c r="M93" s="103">
        <f t="shared" si="48"/>
        <v>0</v>
      </c>
      <c r="N93" s="103">
        <f t="shared" si="48"/>
        <v>0</v>
      </c>
      <c r="O93" s="103">
        <f t="shared" si="48"/>
        <v>0</v>
      </c>
      <c r="P93" s="103" t="str">
        <f t="shared" si="48"/>
        <v/>
      </c>
      <c r="Q93" s="103" t="str">
        <f t="shared" si="48"/>
        <v/>
      </c>
      <c r="R93" s="103" t="str">
        <f t="shared" si="48"/>
        <v/>
      </c>
      <c r="S93" s="103" t="str">
        <f t="shared" si="48"/>
        <v/>
      </c>
      <c r="T93" s="103" t="str">
        <f t="shared" si="48"/>
        <v/>
      </c>
      <c r="U93" s="103" t="str">
        <f t="shared" si="48"/>
        <v/>
      </c>
      <c r="V93" s="103" t="str">
        <f t="shared" si="48"/>
        <v/>
      </c>
      <c r="W93" s="103" t="str">
        <f t="shared" si="48"/>
        <v/>
      </c>
      <c r="X93" s="103" t="str">
        <f t="shared" si="48"/>
        <v/>
      </c>
      <c r="Y93" s="103" t="str">
        <f t="shared" si="48"/>
        <v/>
      </c>
      <c r="Z93" s="103" t="str">
        <f t="shared" si="48"/>
        <v/>
      </c>
      <c r="AA93" s="103" t="str">
        <f t="shared" si="48"/>
        <v/>
      </c>
      <c r="AB93" s="103" t="str">
        <f t="shared" si="48"/>
        <v/>
      </c>
    </row>
    <row r="94" spans="1:30" ht="18" customHeight="1" outlineLevel="2" x14ac:dyDescent="0.25">
      <c r="A94" s="11" t="str">
        <f t="shared" si="41"/>
        <v>Pentane [Nl/h]</v>
      </c>
      <c r="B94" s="243"/>
      <c r="C94" s="233">
        <f t="shared" si="42"/>
        <v>0</v>
      </c>
      <c r="D94" s="103">
        <f t="shared" ref="D94:AB94" si="49">IF(D$86="","",D26/100*D$86)</f>
        <v>0</v>
      </c>
      <c r="E94" s="103">
        <f t="shared" si="49"/>
        <v>0</v>
      </c>
      <c r="F94" s="103">
        <f t="shared" si="49"/>
        <v>0</v>
      </c>
      <c r="G94" s="103">
        <f t="shared" si="49"/>
        <v>0</v>
      </c>
      <c r="H94" s="103">
        <f t="shared" si="49"/>
        <v>0</v>
      </c>
      <c r="I94" s="103">
        <f t="shared" si="49"/>
        <v>0</v>
      </c>
      <c r="J94" s="103">
        <f t="shared" si="49"/>
        <v>0</v>
      </c>
      <c r="K94" s="103">
        <f t="shared" si="49"/>
        <v>0</v>
      </c>
      <c r="L94" s="103">
        <f t="shared" si="49"/>
        <v>0</v>
      </c>
      <c r="M94" s="103">
        <f t="shared" si="49"/>
        <v>0</v>
      </c>
      <c r="N94" s="103">
        <f t="shared" si="49"/>
        <v>0</v>
      </c>
      <c r="O94" s="103">
        <f t="shared" si="49"/>
        <v>0</v>
      </c>
      <c r="P94" s="103" t="str">
        <f t="shared" si="49"/>
        <v/>
      </c>
      <c r="Q94" s="103" t="str">
        <f t="shared" si="49"/>
        <v/>
      </c>
      <c r="R94" s="103" t="str">
        <f t="shared" si="49"/>
        <v/>
      </c>
      <c r="S94" s="103" t="str">
        <f t="shared" si="49"/>
        <v/>
      </c>
      <c r="T94" s="103" t="str">
        <f t="shared" si="49"/>
        <v/>
      </c>
      <c r="U94" s="103" t="str">
        <f t="shared" si="49"/>
        <v/>
      </c>
      <c r="V94" s="103" t="str">
        <f t="shared" si="49"/>
        <v/>
      </c>
      <c r="W94" s="103" t="str">
        <f t="shared" si="49"/>
        <v/>
      </c>
      <c r="X94" s="103" t="str">
        <f t="shared" si="49"/>
        <v/>
      </c>
      <c r="Y94" s="103" t="str">
        <f t="shared" si="49"/>
        <v/>
      </c>
      <c r="Z94" s="103" t="str">
        <f t="shared" si="49"/>
        <v/>
      </c>
      <c r="AA94" s="103" t="str">
        <f t="shared" si="49"/>
        <v/>
      </c>
      <c r="AB94" s="103" t="str">
        <f t="shared" si="49"/>
        <v/>
      </c>
    </row>
    <row r="95" spans="1:30" ht="18" customHeight="1" outlineLevel="2" x14ac:dyDescent="0.25">
      <c r="A95" s="11" t="str">
        <f t="shared" si="41"/>
        <v>C6s (Isomers of hexane?) [Nl/h]</v>
      </c>
      <c r="B95" s="243"/>
      <c r="C95" s="233">
        <f t="shared" si="42"/>
        <v>3.7370761050977796E-4</v>
      </c>
      <c r="D95" s="103">
        <f t="shared" ref="D95:AB95" si="50">IF(D$86="","",D27/100*D$86)</f>
        <v>1.2089600904098374E-3</v>
      </c>
      <c r="E95" s="103">
        <f t="shared" si="50"/>
        <v>2.2853657719636425E-3</v>
      </c>
      <c r="F95" s="103">
        <f t="shared" si="50"/>
        <v>5.9409927824631374E-4</v>
      </c>
      <c r="G95" s="103">
        <f t="shared" si="50"/>
        <v>3.960661854975425E-4</v>
      </c>
      <c r="H95" s="103">
        <f t="shared" si="50"/>
        <v>0</v>
      </c>
      <c r="I95" s="103">
        <f t="shared" si="50"/>
        <v>0</v>
      </c>
      <c r="J95" s="103">
        <f t="shared" si="50"/>
        <v>0</v>
      </c>
      <c r="K95" s="103">
        <f t="shared" si="50"/>
        <v>0</v>
      </c>
      <c r="L95" s="103">
        <f t="shared" si="50"/>
        <v>0</v>
      </c>
      <c r="M95" s="103">
        <f t="shared" si="50"/>
        <v>0</v>
      </c>
      <c r="N95" s="103">
        <f t="shared" si="50"/>
        <v>0</v>
      </c>
      <c r="O95" s="103">
        <f t="shared" si="50"/>
        <v>0</v>
      </c>
      <c r="P95" s="103" t="str">
        <f t="shared" si="50"/>
        <v/>
      </c>
      <c r="Q95" s="103" t="str">
        <f t="shared" si="50"/>
        <v/>
      </c>
      <c r="R95" s="103" t="str">
        <f t="shared" si="50"/>
        <v/>
      </c>
      <c r="S95" s="103" t="str">
        <f t="shared" si="50"/>
        <v/>
      </c>
      <c r="T95" s="103" t="str">
        <f t="shared" si="50"/>
        <v/>
      </c>
      <c r="U95" s="103" t="str">
        <f t="shared" si="50"/>
        <v/>
      </c>
      <c r="V95" s="103" t="str">
        <f t="shared" si="50"/>
        <v/>
      </c>
      <c r="W95" s="103" t="str">
        <f t="shared" si="50"/>
        <v/>
      </c>
      <c r="X95" s="103" t="str">
        <f t="shared" si="50"/>
        <v/>
      </c>
      <c r="Y95" s="103" t="str">
        <f t="shared" si="50"/>
        <v/>
      </c>
      <c r="Z95" s="103" t="str">
        <f t="shared" si="50"/>
        <v/>
      </c>
      <c r="AA95" s="103" t="str">
        <f t="shared" si="50"/>
        <v/>
      </c>
      <c r="AB95" s="103" t="str">
        <f t="shared" si="50"/>
        <v/>
      </c>
    </row>
    <row r="96" spans="1:30" ht="18" customHeight="1" outlineLevel="2" x14ac:dyDescent="0.25">
      <c r="A96" s="11" t="str">
        <f t="shared" si="41"/>
        <v>Hexane [Nl/h]</v>
      </c>
      <c r="B96" s="243"/>
      <c r="C96" s="233">
        <f t="shared" si="42"/>
        <v>0</v>
      </c>
      <c r="D96" s="103">
        <f t="shared" ref="D96:AB96" si="51">IF(D$86="","",D28/100*D$86)</f>
        <v>0</v>
      </c>
      <c r="E96" s="103">
        <f t="shared" si="51"/>
        <v>0</v>
      </c>
      <c r="F96" s="103">
        <f t="shared" si="51"/>
        <v>0</v>
      </c>
      <c r="G96" s="103">
        <f t="shared" si="51"/>
        <v>0</v>
      </c>
      <c r="H96" s="103">
        <f t="shared" si="51"/>
        <v>0</v>
      </c>
      <c r="I96" s="103">
        <f t="shared" si="51"/>
        <v>0</v>
      </c>
      <c r="J96" s="103">
        <f t="shared" si="51"/>
        <v>0</v>
      </c>
      <c r="K96" s="103">
        <f t="shared" si="51"/>
        <v>0</v>
      </c>
      <c r="L96" s="103">
        <f t="shared" si="51"/>
        <v>0</v>
      </c>
      <c r="M96" s="103">
        <f t="shared" si="51"/>
        <v>0</v>
      </c>
      <c r="N96" s="103">
        <f t="shared" si="51"/>
        <v>0</v>
      </c>
      <c r="O96" s="103">
        <f t="shared" si="51"/>
        <v>0</v>
      </c>
      <c r="P96" s="103" t="str">
        <f t="shared" si="51"/>
        <v/>
      </c>
      <c r="Q96" s="103" t="str">
        <f t="shared" si="51"/>
        <v/>
      </c>
      <c r="R96" s="103" t="str">
        <f t="shared" si="51"/>
        <v/>
      </c>
      <c r="S96" s="103" t="str">
        <f t="shared" si="51"/>
        <v/>
      </c>
      <c r="T96" s="103" t="str">
        <f t="shared" si="51"/>
        <v/>
      </c>
      <c r="U96" s="103" t="str">
        <f t="shared" si="51"/>
        <v/>
      </c>
      <c r="V96" s="103" t="str">
        <f t="shared" si="51"/>
        <v/>
      </c>
      <c r="W96" s="103" t="str">
        <f t="shared" si="51"/>
        <v/>
      </c>
      <c r="X96" s="103" t="str">
        <f t="shared" si="51"/>
        <v/>
      </c>
      <c r="Y96" s="103" t="str">
        <f t="shared" si="51"/>
        <v/>
      </c>
      <c r="Z96" s="103" t="str">
        <f t="shared" si="51"/>
        <v/>
      </c>
      <c r="AA96" s="103" t="str">
        <f t="shared" si="51"/>
        <v/>
      </c>
      <c r="AB96" s="103" t="str">
        <f t="shared" si="51"/>
        <v/>
      </c>
    </row>
    <row r="97" spans="1:28" ht="18" customHeight="1" outlineLevel="2" x14ac:dyDescent="0.25">
      <c r="A97" s="11" t="str">
        <f t="shared" si="41"/>
        <v>C4 [Nl/h]</v>
      </c>
      <c r="B97" s="243"/>
      <c r="C97" s="233">
        <f t="shared" si="42"/>
        <v>5.0519732531877403E-3</v>
      </c>
      <c r="D97" s="103">
        <f t="shared" ref="D97:AB97" si="52">IF(D$86="","",D29/100*D$86)</f>
        <v>0</v>
      </c>
      <c r="E97" s="103">
        <f t="shared" si="52"/>
        <v>2.1944941350490854E-2</v>
      </c>
      <c r="F97" s="103">
        <f t="shared" si="52"/>
        <v>1.8968056794977067E-2</v>
      </c>
      <c r="G97" s="103">
        <f t="shared" si="52"/>
        <v>1.9710680892784962E-2</v>
      </c>
      <c r="H97" s="103">
        <f t="shared" si="52"/>
        <v>0</v>
      </c>
      <c r="I97" s="103">
        <f t="shared" si="52"/>
        <v>0</v>
      </c>
      <c r="J97" s="103">
        <f t="shared" si="52"/>
        <v>0</v>
      </c>
      <c r="K97" s="103">
        <f t="shared" si="52"/>
        <v>0</v>
      </c>
      <c r="L97" s="103">
        <f t="shared" si="52"/>
        <v>0</v>
      </c>
      <c r="M97" s="103">
        <f t="shared" si="52"/>
        <v>0</v>
      </c>
      <c r="N97" s="103">
        <f t="shared" si="52"/>
        <v>0</v>
      </c>
      <c r="O97" s="103">
        <f t="shared" si="52"/>
        <v>0</v>
      </c>
      <c r="P97" s="103" t="str">
        <f t="shared" si="52"/>
        <v/>
      </c>
      <c r="Q97" s="103" t="str">
        <f t="shared" si="52"/>
        <v/>
      </c>
      <c r="R97" s="103" t="str">
        <f t="shared" si="52"/>
        <v/>
      </c>
      <c r="S97" s="103" t="str">
        <f t="shared" si="52"/>
        <v/>
      </c>
      <c r="T97" s="103" t="str">
        <f t="shared" si="52"/>
        <v/>
      </c>
      <c r="U97" s="103" t="str">
        <f t="shared" si="52"/>
        <v/>
      </c>
      <c r="V97" s="103" t="str">
        <f t="shared" si="52"/>
        <v/>
      </c>
      <c r="W97" s="103" t="str">
        <f t="shared" si="52"/>
        <v/>
      </c>
      <c r="X97" s="103" t="str">
        <f t="shared" si="52"/>
        <v/>
      </c>
      <c r="Y97" s="103" t="str">
        <f t="shared" si="52"/>
        <v/>
      </c>
      <c r="Z97" s="103" t="str">
        <f t="shared" si="52"/>
        <v/>
      </c>
      <c r="AA97" s="103" t="str">
        <f t="shared" si="52"/>
        <v/>
      </c>
      <c r="AB97" s="103" t="str">
        <f t="shared" si="52"/>
        <v/>
      </c>
    </row>
    <row r="98" spans="1:28" ht="18" customHeight="1" outlineLevel="2" x14ac:dyDescent="0.25">
      <c r="A98" s="11" t="str">
        <f t="shared" si="41"/>
        <v>C5 [Nl/h]</v>
      </c>
      <c r="B98" s="243"/>
      <c r="C98" s="233">
        <f t="shared" si="42"/>
        <v>0</v>
      </c>
      <c r="D98" s="103">
        <f t="shared" ref="D98:AB98" si="53">IF(D$86="","",D30/100*D$86)</f>
        <v>0</v>
      </c>
      <c r="E98" s="103">
        <f t="shared" si="53"/>
        <v>0</v>
      </c>
      <c r="F98" s="103">
        <f t="shared" si="53"/>
        <v>0</v>
      </c>
      <c r="G98" s="103">
        <f t="shared" si="53"/>
        <v>0</v>
      </c>
      <c r="H98" s="103">
        <f t="shared" si="53"/>
        <v>0</v>
      </c>
      <c r="I98" s="103">
        <f t="shared" si="53"/>
        <v>0</v>
      </c>
      <c r="J98" s="103">
        <f t="shared" si="53"/>
        <v>0</v>
      </c>
      <c r="K98" s="103">
        <f t="shared" si="53"/>
        <v>0</v>
      </c>
      <c r="L98" s="103">
        <f t="shared" si="53"/>
        <v>0</v>
      </c>
      <c r="M98" s="103">
        <f t="shared" si="53"/>
        <v>0</v>
      </c>
      <c r="N98" s="103">
        <f t="shared" si="53"/>
        <v>0</v>
      </c>
      <c r="O98" s="103">
        <f t="shared" si="53"/>
        <v>0</v>
      </c>
      <c r="P98" s="103" t="str">
        <f t="shared" si="53"/>
        <v/>
      </c>
      <c r="Q98" s="103" t="str">
        <f t="shared" si="53"/>
        <v/>
      </c>
      <c r="R98" s="103" t="str">
        <f t="shared" si="53"/>
        <v/>
      </c>
      <c r="S98" s="103" t="str">
        <f t="shared" si="53"/>
        <v/>
      </c>
      <c r="T98" s="103" t="str">
        <f t="shared" si="53"/>
        <v/>
      </c>
      <c r="U98" s="103" t="str">
        <f t="shared" si="53"/>
        <v/>
      </c>
      <c r="V98" s="103" t="str">
        <f t="shared" si="53"/>
        <v/>
      </c>
      <c r="W98" s="103" t="str">
        <f t="shared" si="53"/>
        <v/>
      </c>
      <c r="X98" s="103" t="str">
        <f t="shared" si="53"/>
        <v/>
      </c>
      <c r="Y98" s="103" t="str">
        <f t="shared" si="53"/>
        <v/>
      </c>
      <c r="Z98" s="103" t="str">
        <f t="shared" si="53"/>
        <v/>
      </c>
      <c r="AA98" s="103" t="str">
        <f t="shared" si="53"/>
        <v/>
      </c>
      <c r="AB98" s="103" t="str">
        <f t="shared" si="53"/>
        <v/>
      </c>
    </row>
    <row r="99" spans="1:28" ht="18" customHeight="1" outlineLevel="2" x14ac:dyDescent="0.25">
      <c r="A99" s="11" t="str">
        <f t="shared" si="41"/>
        <v>C6 [Nl/h]</v>
      </c>
      <c r="B99" s="243"/>
      <c r="C99" s="233">
        <f t="shared" si="42"/>
        <v>3.7370761050977796E-4</v>
      </c>
      <c r="D99" s="103">
        <f t="shared" ref="D99:AB99" si="54">IF(D$86="","",D31/100*D$86)</f>
        <v>1.2089600904098374E-3</v>
      </c>
      <c r="E99" s="103">
        <f t="shared" si="54"/>
        <v>2.2853657719636425E-3</v>
      </c>
      <c r="F99" s="103">
        <f t="shared" si="54"/>
        <v>5.9409927824631374E-4</v>
      </c>
      <c r="G99" s="103">
        <f t="shared" si="54"/>
        <v>3.960661854975425E-4</v>
      </c>
      <c r="H99" s="103">
        <f t="shared" si="54"/>
        <v>0</v>
      </c>
      <c r="I99" s="103">
        <f t="shared" si="54"/>
        <v>0</v>
      </c>
      <c r="J99" s="103">
        <f t="shared" si="54"/>
        <v>0</v>
      </c>
      <c r="K99" s="103">
        <f t="shared" si="54"/>
        <v>0</v>
      </c>
      <c r="L99" s="103">
        <f t="shared" si="54"/>
        <v>0</v>
      </c>
      <c r="M99" s="103">
        <f t="shared" si="54"/>
        <v>0</v>
      </c>
      <c r="N99" s="103">
        <f t="shared" si="54"/>
        <v>0</v>
      </c>
      <c r="O99" s="103">
        <f t="shared" si="54"/>
        <v>0</v>
      </c>
      <c r="P99" s="103" t="str">
        <f t="shared" si="54"/>
        <v/>
      </c>
      <c r="Q99" s="103" t="str">
        <f t="shared" si="54"/>
        <v/>
      </c>
      <c r="R99" s="103" t="str">
        <f t="shared" si="54"/>
        <v/>
      </c>
      <c r="S99" s="103" t="str">
        <f t="shared" si="54"/>
        <v/>
      </c>
      <c r="T99" s="103" t="str">
        <f t="shared" si="54"/>
        <v/>
      </c>
      <c r="U99" s="103" t="str">
        <f t="shared" si="54"/>
        <v/>
      </c>
      <c r="V99" s="103" t="str">
        <f t="shared" si="54"/>
        <v/>
      </c>
      <c r="W99" s="103" t="str">
        <f t="shared" si="54"/>
        <v/>
      </c>
      <c r="X99" s="103" t="str">
        <f t="shared" si="54"/>
        <v/>
      </c>
      <c r="Y99" s="103" t="str">
        <f t="shared" si="54"/>
        <v/>
      </c>
      <c r="Z99" s="103" t="str">
        <f t="shared" si="54"/>
        <v/>
      </c>
      <c r="AA99" s="103" t="str">
        <f t="shared" si="54"/>
        <v/>
      </c>
      <c r="AB99" s="103" t="str">
        <f t="shared" si="54"/>
        <v/>
      </c>
    </row>
    <row r="100" spans="1:28" ht="18" customHeight="1" outlineLevel="2" x14ac:dyDescent="0.25">
      <c r="A100" s="11" t="str">
        <f t="shared" si="41"/>
        <v>C6 Above [Nl/h]</v>
      </c>
      <c r="B100" s="243"/>
      <c r="C100" s="233">
        <f t="shared" si="42"/>
        <v>2.4057427426566965E-2</v>
      </c>
      <c r="D100" s="103">
        <f t="shared" ref="D100:AB100" si="55">IF(D$86="","",D32/100*D$86)</f>
        <v>1.0122046305175098E-2</v>
      </c>
      <c r="E100" s="103">
        <f t="shared" si="55"/>
        <v>7.7031678997130912E-2</v>
      </c>
      <c r="F100" s="103">
        <f t="shared" si="55"/>
        <v>6.7625107091564274E-2</v>
      </c>
      <c r="G100" s="103">
        <f t="shared" si="55"/>
        <v>6.9755559879684126E-2</v>
      </c>
      <c r="H100" s="103">
        <f t="shared" si="55"/>
        <v>0</v>
      </c>
      <c r="I100" s="103">
        <f t="shared" si="55"/>
        <v>5.7191637777631033E-2</v>
      </c>
      <c r="J100" s="103">
        <f t="shared" si="55"/>
        <v>6.9630990676180868E-3</v>
      </c>
      <c r="K100" s="103">
        <f t="shared" si="55"/>
        <v>0</v>
      </c>
      <c r="L100" s="103">
        <f t="shared" si="55"/>
        <v>0</v>
      </c>
      <c r="M100" s="103">
        <f t="shared" si="55"/>
        <v>0</v>
      </c>
      <c r="N100" s="103">
        <f t="shared" si="55"/>
        <v>0</v>
      </c>
      <c r="O100" s="103">
        <f t="shared" si="55"/>
        <v>0</v>
      </c>
      <c r="P100" s="103" t="str">
        <f t="shared" si="55"/>
        <v/>
      </c>
      <c r="Q100" s="103" t="str">
        <f t="shared" si="55"/>
        <v/>
      </c>
      <c r="R100" s="103" t="str">
        <f t="shared" si="55"/>
        <v/>
      </c>
      <c r="S100" s="103" t="str">
        <f t="shared" si="55"/>
        <v/>
      </c>
      <c r="T100" s="103" t="str">
        <f t="shared" si="55"/>
        <v/>
      </c>
      <c r="U100" s="103" t="str">
        <f t="shared" si="55"/>
        <v/>
      </c>
      <c r="V100" s="103" t="str">
        <f t="shared" si="55"/>
        <v/>
      </c>
      <c r="W100" s="103" t="str">
        <f t="shared" si="55"/>
        <v/>
      </c>
      <c r="X100" s="103" t="str">
        <f t="shared" si="55"/>
        <v/>
      </c>
      <c r="Y100" s="103" t="str">
        <f t="shared" si="55"/>
        <v/>
      </c>
      <c r="Z100" s="103" t="str">
        <f t="shared" si="55"/>
        <v/>
      </c>
      <c r="AA100" s="103" t="str">
        <f t="shared" si="55"/>
        <v/>
      </c>
      <c r="AB100" s="103" t="str">
        <f t="shared" si="55"/>
        <v/>
      </c>
    </row>
    <row r="101" spans="1:28" ht="18" customHeight="1" outlineLevel="2" x14ac:dyDescent="0.25">
      <c r="A101" s="11" t="str">
        <f t="shared" si="41"/>
        <v>Benzene [Nl/h]</v>
      </c>
      <c r="B101" s="243"/>
      <c r="C101" s="233">
        <f t="shared" si="42"/>
        <v>0</v>
      </c>
      <c r="D101" s="103">
        <f t="shared" ref="D101:AB101" si="56">IF(D$86="","",D33/100*D$86)</f>
        <v>0</v>
      </c>
      <c r="E101" s="103">
        <f t="shared" si="56"/>
        <v>0</v>
      </c>
      <c r="F101" s="103">
        <f t="shared" si="56"/>
        <v>0</v>
      </c>
      <c r="G101" s="103">
        <f t="shared" si="56"/>
        <v>0</v>
      </c>
      <c r="H101" s="103">
        <f t="shared" si="56"/>
        <v>0</v>
      </c>
      <c r="I101" s="103">
        <f t="shared" si="56"/>
        <v>0</v>
      </c>
      <c r="J101" s="103">
        <f t="shared" si="56"/>
        <v>0</v>
      </c>
      <c r="K101" s="103">
        <f t="shared" si="56"/>
        <v>0</v>
      </c>
      <c r="L101" s="103">
        <f t="shared" si="56"/>
        <v>0</v>
      </c>
      <c r="M101" s="103">
        <f t="shared" si="56"/>
        <v>0</v>
      </c>
      <c r="N101" s="103">
        <f t="shared" si="56"/>
        <v>0</v>
      </c>
      <c r="O101" s="103">
        <f t="shared" si="56"/>
        <v>0</v>
      </c>
      <c r="P101" s="103" t="str">
        <f t="shared" si="56"/>
        <v/>
      </c>
      <c r="Q101" s="103" t="str">
        <f t="shared" si="56"/>
        <v/>
      </c>
      <c r="R101" s="103" t="str">
        <f t="shared" si="56"/>
        <v/>
      </c>
      <c r="S101" s="103" t="str">
        <f t="shared" si="56"/>
        <v/>
      </c>
      <c r="T101" s="103" t="str">
        <f t="shared" si="56"/>
        <v/>
      </c>
      <c r="U101" s="103" t="str">
        <f t="shared" si="56"/>
        <v/>
      </c>
      <c r="V101" s="103" t="str">
        <f t="shared" si="56"/>
        <v/>
      </c>
      <c r="W101" s="103" t="str">
        <f t="shared" si="56"/>
        <v/>
      </c>
      <c r="X101" s="103" t="str">
        <f t="shared" si="56"/>
        <v/>
      </c>
      <c r="Y101" s="103" t="str">
        <f t="shared" si="56"/>
        <v/>
      </c>
      <c r="Z101" s="103" t="str">
        <f t="shared" si="56"/>
        <v/>
      </c>
      <c r="AA101" s="103" t="str">
        <f t="shared" si="56"/>
        <v/>
      </c>
      <c r="AB101" s="103" t="str">
        <f t="shared" si="56"/>
        <v/>
      </c>
    </row>
    <row r="102" spans="1:28" ht="18" customHeight="1" outlineLevel="2" x14ac:dyDescent="0.25">
      <c r="A102" s="11" t="str">
        <f t="shared" si="41"/>
        <v>Toluene [Nl/h]</v>
      </c>
      <c r="B102" s="243"/>
      <c r="C102" s="233">
        <f t="shared" si="42"/>
        <v>0</v>
      </c>
      <c r="D102" s="103">
        <f t="shared" ref="D102:AB102" si="57">IF(D$86="","",D34/100*D$86)</f>
        <v>0</v>
      </c>
      <c r="E102" s="103">
        <f t="shared" si="57"/>
        <v>0</v>
      </c>
      <c r="F102" s="103">
        <f t="shared" si="57"/>
        <v>0</v>
      </c>
      <c r="G102" s="103">
        <f t="shared" si="57"/>
        <v>0</v>
      </c>
      <c r="H102" s="103">
        <f t="shared" si="57"/>
        <v>0</v>
      </c>
      <c r="I102" s="103">
        <f t="shared" si="57"/>
        <v>0</v>
      </c>
      <c r="J102" s="103">
        <f t="shared" si="57"/>
        <v>0</v>
      </c>
      <c r="K102" s="103">
        <f t="shared" si="57"/>
        <v>0</v>
      </c>
      <c r="L102" s="103">
        <f t="shared" si="57"/>
        <v>0</v>
      </c>
      <c r="M102" s="103">
        <f t="shared" si="57"/>
        <v>0</v>
      </c>
      <c r="N102" s="103">
        <f t="shared" si="57"/>
        <v>0</v>
      </c>
      <c r="O102" s="103">
        <f t="shared" si="57"/>
        <v>0</v>
      </c>
      <c r="P102" s="103" t="str">
        <f t="shared" si="57"/>
        <v/>
      </c>
      <c r="Q102" s="103" t="str">
        <f t="shared" si="57"/>
        <v/>
      </c>
      <c r="R102" s="103" t="str">
        <f t="shared" si="57"/>
        <v/>
      </c>
      <c r="S102" s="103" t="str">
        <f t="shared" si="57"/>
        <v/>
      </c>
      <c r="T102" s="103" t="str">
        <f t="shared" si="57"/>
        <v/>
      </c>
      <c r="U102" s="103" t="str">
        <f t="shared" si="57"/>
        <v/>
      </c>
      <c r="V102" s="103" t="str">
        <f t="shared" si="57"/>
        <v/>
      </c>
      <c r="W102" s="103" t="str">
        <f t="shared" si="57"/>
        <v/>
      </c>
      <c r="X102" s="103" t="str">
        <f t="shared" si="57"/>
        <v/>
      </c>
      <c r="Y102" s="103" t="str">
        <f t="shared" si="57"/>
        <v/>
      </c>
      <c r="Z102" s="103" t="str">
        <f t="shared" si="57"/>
        <v/>
      </c>
      <c r="AA102" s="103" t="str">
        <f t="shared" si="57"/>
        <v/>
      </c>
      <c r="AB102" s="103" t="str">
        <f t="shared" si="57"/>
        <v/>
      </c>
    </row>
    <row r="103" spans="1:28" ht="18" customHeight="1" outlineLevel="2" x14ac:dyDescent="0.25">
      <c r="A103" s="11" t="str">
        <f t="shared" si="41"/>
        <v>Ethylbenzene [Nl/h]</v>
      </c>
      <c r="B103" s="243"/>
      <c r="C103" s="233">
        <f t="shared" si="42"/>
        <v>0</v>
      </c>
      <c r="D103" s="103">
        <f t="shared" ref="D103:AB103" si="58">IF(D$86="","",D35/100*D$86)</f>
        <v>0</v>
      </c>
      <c r="E103" s="103">
        <f t="shared" si="58"/>
        <v>0</v>
      </c>
      <c r="F103" s="103">
        <f t="shared" si="58"/>
        <v>0</v>
      </c>
      <c r="G103" s="103">
        <f t="shared" si="58"/>
        <v>0</v>
      </c>
      <c r="H103" s="103">
        <f t="shared" si="58"/>
        <v>0</v>
      </c>
      <c r="I103" s="103">
        <f t="shared" si="58"/>
        <v>0</v>
      </c>
      <c r="J103" s="103">
        <f t="shared" si="58"/>
        <v>0</v>
      </c>
      <c r="K103" s="103">
        <f t="shared" si="58"/>
        <v>0</v>
      </c>
      <c r="L103" s="103">
        <f t="shared" si="58"/>
        <v>0</v>
      </c>
      <c r="M103" s="103">
        <f t="shared" si="58"/>
        <v>0</v>
      </c>
      <c r="N103" s="103">
        <f t="shared" si="58"/>
        <v>0</v>
      </c>
      <c r="O103" s="103">
        <f t="shared" si="58"/>
        <v>0</v>
      </c>
      <c r="P103" s="103" t="str">
        <f t="shared" si="58"/>
        <v/>
      </c>
      <c r="Q103" s="103" t="str">
        <f t="shared" si="58"/>
        <v/>
      </c>
      <c r="R103" s="103" t="str">
        <f t="shared" si="58"/>
        <v/>
      </c>
      <c r="S103" s="103" t="str">
        <f t="shared" si="58"/>
        <v/>
      </c>
      <c r="T103" s="103" t="str">
        <f t="shared" si="58"/>
        <v/>
      </c>
      <c r="U103" s="103" t="str">
        <f t="shared" si="58"/>
        <v/>
      </c>
      <c r="V103" s="103" t="str">
        <f t="shared" si="58"/>
        <v/>
      </c>
      <c r="W103" s="103" t="str">
        <f t="shared" si="58"/>
        <v/>
      </c>
      <c r="X103" s="103" t="str">
        <f t="shared" si="58"/>
        <v/>
      </c>
      <c r="Y103" s="103" t="str">
        <f t="shared" si="58"/>
        <v/>
      </c>
      <c r="Z103" s="103" t="str">
        <f t="shared" si="58"/>
        <v/>
      </c>
      <c r="AA103" s="103" t="str">
        <f t="shared" si="58"/>
        <v/>
      </c>
      <c r="AB103" s="103" t="str">
        <f t="shared" si="58"/>
        <v/>
      </c>
    </row>
    <row r="104" spans="1:28" ht="18" customHeight="1" outlineLevel="2" x14ac:dyDescent="0.25">
      <c r="A104" s="11" t="str">
        <f t="shared" si="41"/>
        <v>p-Xylene [Nl/h]</v>
      </c>
      <c r="B104" s="243"/>
      <c r="C104" s="233">
        <f t="shared" si="42"/>
        <v>0</v>
      </c>
      <c r="D104" s="103">
        <f t="shared" ref="D104:AB104" si="59">IF(D$86="","",D36/100*D$86)</f>
        <v>0</v>
      </c>
      <c r="E104" s="103">
        <f t="shared" si="59"/>
        <v>0</v>
      </c>
      <c r="F104" s="103">
        <f t="shared" si="59"/>
        <v>0</v>
      </c>
      <c r="G104" s="103">
        <f t="shared" si="59"/>
        <v>0</v>
      </c>
      <c r="H104" s="103">
        <f t="shared" si="59"/>
        <v>0</v>
      </c>
      <c r="I104" s="103">
        <f t="shared" si="59"/>
        <v>0</v>
      </c>
      <c r="J104" s="103">
        <f t="shared" si="59"/>
        <v>0</v>
      </c>
      <c r="K104" s="103">
        <f t="shared" si="59"/>
        <v>0</v>
      </c>
      <c r="L104" s="103">
        <f t="shared" si="59"/>
        <v>0</v>
      </c>
      <c r="M104" s="103">
        <f t="shared" si="59"/>
        <v>0</v>
      </c>
      <c r="N104" s="103">
        <f t="shared" si="59"/>
        <v>0</v>
      </c>
      <c r="O104" s="103">
        <f t="shared" si="59"/>
        <v>0</v>
      </c>
      <c r="P104" s="103" t="str">
        <f t="shared" si="59"/>
        <v/>
      </c>
      <c r="Q104" s="103" t="str">
        <f t="shared" si="59"/>
        <v/>
      </c>
      <c r="R104" s="103" t="str">
        <f t="shared" si="59"/>
        <v/>
      </c>
      <c r="S104" s="103" t="str">
        <f t="shared" si="59"/>
        <v/>
      </c>
      <c r="T104" s="103" t="str">
        <f t="shared" si="59"/>
        <v/>
      </c>
      <c r="U104" s="103" t="str">
        <f t="shared" si="59"/>
        <v/>
      </c>
      <c r="V104" s="103" t="str">
        <f t="shared" si="59"/>
        <v/>
      </c>
      <c r="W104" s="103" t="str">
        <f t="shared" si="59"/>
        <v/>
      </c>
      <c r="X104" s="103" t="str">
        <f t="shared" si="59"/>
        <v/>
      </c>
      <c r="Y104" s="103" t="str">
        <f t="shared" si="59"/>
        <v/>
      </c>
      <c r="Z104" s="103" t="str">
        <f t="shared" si="59"/>
        <v/>
      </c>
      <c r="AA104" s="103" t="str">
        <f t="shared" si="59"/>
        <v/>
      </c>
      <c r="AB104" s="103" t="str">
        <f t="shared" si="59"/>
        <v/>
      </c>
    </row>
    <row r="105" spans="1:28" ht="18" customHeight="1" outlineLevel="2" x14ac:dyDescent="0.25">
      <c r="A105" s="11" t="str">
        <f t="shared" si="41"/>
        <v>m-Xylene [Nl/h]</v>
      </c>
      <c r="B105" s="243"/>
      <c r="C105" s="233">
        <f t="shared" si="42"/>
        <v>1.671037306823637E-3</v>
      </c>
      <c r="D105" s="103">
        <f t="shared" ref="D105:AB105" si="60">IF(D$86="","",D37/100*D$86)</f>
        <v>3.3058750160480359E-3</v>
      </c>
      <c r="E105" s="103">
        <f t="shared" si="60"/>
        <v>8.0778337348652012E-3</v>
      </c>
      <c r="F105" s="103">
        <f t="shared" si="60"/>
        <v>5.1760101096674808E-3</v>
      </c>
      <c r="G105" s="103">
        <f t="shared" si="60"/>
        <v>3.4927288213029259E-3</v>
      </c>
      <c r="H105" s="103">
        <f t="shared" si="60"/>
        <v>0</v>
      </c>
      <c r="I105" s="103">
        <f t="shared" si="60"/>
        <v>0</v>
      </c>
      <c r="J105" s="103">
        <f t="shared" si="60"/>
        <v>0</v>
      </c>
      <c r="K105" s="103">
        <f t="shared" si="60"/>
        <v>0</v>
      </c>
      <c r="L105" s="103">
        <f t="shared" si="60"/>
        <v>0</v>
      </c>
      <c r="M105" s="103">
        <f t="shared" si="60"/>
        <v>0</v>
      </c>
      <c r="N105" s="103">
        <f t="shared" si="60"/>
        <v>0</v>
      </c>
      <c r="O105" s="103">
        <f t="shared" si="60"/>
        <v>0</v>
      </c>
      <c r="P105" s="103" t="str">
        <f t="shared" si="60"/>
        <v/>
      </c>
      <c r="Q105" s="103" t="str">
        <f t="shared" si="60"/>
        <v/>
      </c>
      <c r="R105" s="103" t="str">
        <f t="shared" si="60"/>
        <v/>
      </c>
      <c r="S105" s="103" t="str">
        <f t="shared" si="60"/>
        <v/>
      </c>
      <c r="T105" s="103" t="str">
        <f t="shared" si="60"/>
        <v/>
      </c>
      <c r="U105" s="103" t="str">
        <f t="shared" si="60"/>
        <v/>
      </c>
      <c r="V105" s="103" t="str">
        <f t="shared" si="60"/>
        <v/>
      </c>
      <c r="W105" s="103" t="str">
        <f t="shared" si="60"/>
        <v/>
      </c>
      <c r="X105" s="103" t="str">
        <f t="shared" si="60"/>
        <v/>
      </c>
      <c r="Y105" s="103" t="str">
        <f t="shared" si="60"/>
        <v/>
      </c>
      <c r="Z105" s="103" t="str">
        <f t="shared" si="60"/>
        <v/>
      </c>
      <c r="AA105" s="103" t="str">
        <f t="shared" si="60"/>
        <v/>
      </c>
      <c r="AB105" s="103" t="str">
        <f t="shared" si="60"/>
        <v/>
      </c>
    </row>
    <row r="106" spans="1:28" ht="18" customHeight="1" outlineLevel="2" x14ac:dyDescent="0.25">
      <c r="A106" s="11" t="str">
        <f t="shared" si="41"/>
        <v>o-Xylene [Nl/h]</v>
      </c>
      <c r="B106" s="243"/>
      <c r="C106" s="233">
        <f t="shared" si="42"/>
        <v>0</v>
      </c>
      <c r="D106" s="103">
        <f t="shared" ref="D106:AB106" si="61">IF(D$86="","",D38/100*D$86)</f>
        <v>0</v>
      </c>
      <c r="E106" s="103">
        <f t="shared" si="61"/>
        <v>0</v>
      </c>
      <c r="F106" s="103">
        <f t="shared" si="61"/>
        <v>0</v>
      </c>
      <c r="G106" s="103">
        <f t="shared" si="61"/>
        <v>0</v>
      </c>
      <c r="H106" s="103">
        <f t="shared" si="61"/>
        <v>0</v>
      </c>
      <c r="I106" s="103">
        <f t="shared" si="61"/>
        <v>0</v>
      </c>
      <c r="J106" s="103">
        <f t="shared" si="61"/>
        <v>0</v>
      </c>
      <c r="K106" s="103">
        <f t="shared" si="61"/>
        <v>0</v>
      </c>
      <c r="L106" s="103">
        <f t="shared" si="61"/>
        <v>0</v>
      </c>
      <c r="M106" s="103">
        <f t="shared" si="61"/>
        <v>0</v>
      </c>
      <c r="N106" s="103">
        <f t="shared" si="61"/>
        <v>0</v>
      </c>
      <c r="O106" s="103">
        <f t="shared" si="61"/>
        <v>0</v>
      </c>
      <c r="P106" s="103" t="str">
        <f t="shared" si="61"/>
        <v/>
      </c>
      <c r="Q106" s="103" t="str">
        <f t="shared" si="61"/>
        <v/>
      </c>
      <c r="R106" s="103" t="str">
        <f t="shared" si="61"/>
        <v/>
      </c>
      <c r="S106" s="103" t="str">
        <f t="shared" si="61"/>
        <v/>
      </c>
      <c r="T106" s="103" t="str">
        <f t="shared" si="61"/>
        <v/>
      </c>
      <c r="U106" s="103" t="str">
        <f t="shared" si="61"/>
        <v/>
      </c>
      <c r="V106" s="103" t="str">
        <f t="shared" si="61"/>
        <v/>
      </c>
      <c r="W106" s="103" t="str">
        <f t="shared" si="61"/>
        <v/>
      </c>
      <c r="X106" s="103" t="str">
        <f t="shared" si="61"/>
        <v/>
      </c>
      <c r="Y106" s="103" t="str">
        <f t="shared" si="61"/>
        <v/>
      </c>
      <c r="Z106" s="103" t="str">
        <f t="shared" si="61"/>
        <v/>
      </c>
      <c r="AA106" s="103" t="str">
        <f t="shared" si="61"/>
        <v/>
      </c>
      <c r="AB106" s="103" t="str">
        <f t="shared" si="61"/>
        <v/>
      </c>
    </row>
    <row r="107" spans="1:28" ht="18" customHeight="1" outlineLevel="2" x14ac:dyDescent="0.25">
      <c r="A107" s="11" t="str">
        <f t="shared" si="41"/>
        <v>C6 Unknowns [Nl/h]</v>
      </c>
      <c r="B107" s="243"/>
      <c r="C107" s="233">
        <f t="shared" si="42"/>
        <v>5.0519732531877403E-3</v>
      </c>
      <c r="D107" s="103">
        <f t="shared" ref="D107:AB107" si="62">IF(D$86="","",D39/100*D$86)</f>
        <v>0</v>
      </c>
      <c r="E107" s="103">
        <f t="shared" si="62"/>
        <v>2.1944941350490854E-2</v>
      </c>
      <c r="F107" s="103">
        <f t="shared" si="62"/>
        <v>1.8968056794977067E-2</v>
      </c>
      <c r="G107" s="103">
        <f t="shared" si="62"/>
        <v>1.9710680892784962E-2</v>
      </c>
      <c r="H107" s="103">
        <f t="shared" si="62"/>
        <v>0</v>
      </c>
      <c r="I107" s="103">
        <f t="shared" si="62"/>
        <v>0</v>
      </c>
      <c r="J107" s="103">
        <f t="shared" si="62"/>
        <v>0</v>
      </c>
      <c r="K107" s="103">
        <f t="shared" si="62"/>
        <v>0</v>
      </c>
      <c r="L107" s="103">
        <f t="shared" si="62"/>
        <v>0</v>
      </c>
      <c r="M107" s="103">
        <f t="shared" si="62"/>
        <v>0</v>
      </c>
      <c r="N107" s="103">
        <f t="shared" si="62"/>
        <v>0</v>
      </c>
      <c r="O107" s="103">
        <f t="shared" si="62"/>
        <v>0</v>
      </c>
      <c r="P107" s="103" t="str">
        <f t="shared" si="62"/>
        <v/>
      </c>
      <c r="Q107" s="103" t="str">
        <f t="shared" si="62"/>
        <v/>
      </c>
      <c r="R107" s="103" t="str">
        <f t="shared" si="62"/>
        <v/>
      </c>
      <c r="S107" s="103" t="str">
        <f t="shared" si="62"/>
        <v/>
      </c>
      <c r="T107" s="103" t="str">
        <f t="shared" si="62"/>
        <v/>
      </c>
      <c r="U107" s="103" t="str">
        <f t="shared" si="62"/>
        <v/>
      </c>
      <c r="V107" s="103" t="str">
        <f t="shared" si="62"/>
        <v/>
      </c>
      <c r="W107" s="103" t="str">
        <f t="shared" si="62"/>
        <v/>
      </c>
      <c r="X107" s="103" t="str">
        <f t="shared" si="62"/>
        <v/>
      </c>
      <c r="Y107" s="103" t="str">
        <f t="shared" si="62"/>
        <v/>
      </c>
      <c r="Z107" s="103" t="str">
        <f t="shared" si="62"/>
        <v/>
      </c>
      <c r="AA107" s="103" t="str">
        <f t="shared" si="62"/>
        <v/>
      </c>
      <c r="AB107" s="103" t="str">
        <f t="shared" si="62"/>
        <v/>
      </c>
    </row>
    <row r="108" spans="1:28" ht="18" customHeight="1" outlineLevel="2" x14ac:dyDescent="0.25">
      <c r="A108" s="11" t="str">
        <f t="shared" si="41"/>
        <v>C8 Unknowns [Nl/h]</v>
      </c>
      <c r="B108" s="243"/>
      <c r="C108" s="233">
        <f t="shared" si="42"/>
        <v>0</v>
      </c>
      <c r="D108" s="103">
        <f t="shared" ref="D108:AB108" si="63">IF(D$86="","",D40/100*D$86)</f>
        <v>0</v>
      </c>
      <c r="E108" s="103">
        <f t="shared" si="63"/>
        <v>0</v>
      </c>
      <c r="F108" s="103">
        <f t="shared" si="63"/>
        <v>0</v>
      </c>
      <c r="G108" s="103">
        <f t="shared" si="63"/>
        <v>0</v>
      </c>
      <c r="H108" s="103">
        <f t="shared" si="63"/>
        <v>0</v>
      </c>
      <c r="I108" s="103">
        <f t="shared" si="63"/>
        <v>0</v>
      </c>
      <c r="J108" s="103">
        <f t="shared" si="63"/>
        <v>0</v>
      </c>
      <c r="K108" s="103">
        <f t="shared" si="63"/>
        <v>0</v>
      </c>
      <c r="L108" s="103">
        <f t="shared" si="63"/>
        <v>0</v>
      </c>
      <c r="M108" s="103">
        <f t="shared" si="63"/>
        <v>0</v>
      </c>
      <c r="N108" s="103">
        <f t="shared" si="63"/>
        <v>0</v>
      </c>
      <c r="O108" s="103">
        <f t="shared" si="63"/>
        <v>0</v>
      </c>
      <c r="P108" s="103" t="str">
        <f t="shared" si="63"/>
        <v/>
      </c>
      <c r="Q108" s="103" t="str">
        <f t="shared" si="63"/>
        <v/>
      </c>
      <c r="R108" s="103" t="str">
        <f t="shared" si="63"/>
        <v/>
      </c>
      <c r="S108" s="103" t="str">
        <f t="shared" si="63"/>
        <v/>
      </c>
      <c r="T108" s="103" t="str">
        <f t="shared" si="63"/>
        <v/>
      </c>
      <c r="U108" s="103" t="str">
        <f t="shared" si="63"/>
        <v/>
      </c>
      <c r="V108" s="103" t="str">
        <f t="shared" si="63"/>
        <v/>
      </c>
      <c r="W108" s="103" t="str">
        <f t="shared" si="63"/>
        <v/>
      </c>
      <c r="X108" s="103" t="str">
        <f t="shared" si="63"/>
        <v/>
      </c>
      <c r="Y108" s="103" t="str">
        <f t="shared" si="63"/>
        <v/>
      </c>
      <c r="Z108" s="103" t="str">
        <f t="shared" si="63"/>
        <v/>
      </c>
      <c r="AA108" s="103" t="str">
        <f t="shared" si="63"/>
        <v/>
      </c>
      <c r="AB108" s="103" t="str">
        <f t="shared" si="63"/>
        <v/>
      </c>
    </row>
    <row r="109" spans="1:28" ht="18" customHeight="1" outlineLevel="2" x14ac:dyDescent="0.25">
      <c r="A109" s="11" t="str">
        <f t="shared" si="41"/>
        <v>C7 Unknowns [Nl/h]</v>
      </c>
      <c r="B109" s="243"/>
      <c r="C109" s="233">
        <f t="shared" si="42"/>
        <v>0</v>
      </c>
      <c r="D109" s="103">
        <f t="shared" ref="D109:AB109" si="64">IF(D$86="","",D41/100*D$86)</f>
        <v>0</v>
      </c>
      <c r="E109" s="103">
        <f t="shared" si="64"/>
        <v>0</v>
      </c>
      <c r="F109" s="103">
        <f t="shared" si="64"/>
        <v>0</v>
      </c>
      <c r="G109" s="103">
        <f t="shared" si="64"/>
        <v>0</v>
      </c>
      <c r="H109" s="103">
        <f t="shared" si="64"/>
        <v>0</v>
      </c>
      <c r="I109" s="103">
        <f t="shared" si="64"/>
        <v>0</v>
      </c>
      <c r="J109" s="103">
        <f t="shared" si="64"/>
        <v>0</v>
      </c>
      <c r="K109" s="103">
        <f t="shared" si="64"/>
        <v>0</v>
      </c>
      <c r="L109" s="103">
        <f t="shared" si="64"/>
        <v>0</v>
      </c>
      <c r="M109" s="103">
        <f t="shared" si="64"/>
        <v>0</v>
      </c>
      <c r="N109" s="103">
        <f t="shared" si="64"/>
        <v>0</v>
      </c>
      <c r="O109" s="103">
        <f t="shared" si="64"/>
        <v>0</v>
      </c>
      <c r="P109" s="103" t="str">
        <f t="shared" si="64"/>
        <v/>
      </c>
      <c r="Q109" s="103" t="str">
        <f t="shared" si="64"/>
        <v/>
      </c>
      <c r="R109" s="103" t="str">
        <f t="shared" si="64"/>
        <v/>
      </c>
      <c r="S109" s="103" t="str">
        <f t="shared" si="64"/>
        <v/>
      </c>
      <c r="T109" s="103" t="str">
        <f t="shared" si="64"/>
        <v/>
      </c>
      <c r="U109" s="103" t="str">
        <f t="shared" si="64"/>
        <v/>
      </c>
      <c r="V109" s="103" t="str">
        <f t="shared" si="64"/>
        <v/>
      </c>
      <c r="W109" s="103" t="str">
        <f t="shared" si="64"/>
        <v/>
      </c>
      <c r="X109" s="103" t="str">
        <f t="shared" si="64"/>
        <v/>
      </c>
      <c r="Y109" s="103" t="str">
        <f t="shared" si="64"/>
        <v/>
      </c>
      <c r="Z109" s="103" t="str">
        <f t="shared" si="64"/>
        <v/>
      </c>
      <c r="AA109" s="103" t="str">
        <f t="shared" si="64"/>
        <v/>
      </c>
      <c r="AB109" s="103" t="str">
        <f t="shared" si="64"/>
        <v/>
      </c>
    </row>
    <row r="110" spans="1:28" ht="18" customHeight="1" outlineLevel="2" x14ac:dyDescent="0.25">
      <c r="A110" s="11" t="str">
        <f t="shared" si="41"/>
        <v>CO2 [Nl/h]</v>
      </c>
      <c r="B110" s="243"/>
      <c r="C110" s="233">
        <f t="shared" si="42"/>
        <v>0</v>
      </c>
      <c r="D110" s="103">
        <f t="shared" ref="D110:AB110" si="65">IF(D$86="","",D42/100*D$86)</f>
        <v>0</v>
      </c>
      <c r="E110" s="103">
        <f t="shared" si="65"/>
        <v>0</v>
      </c>
      <c r="F110" s="103">
        <f t="shared" si="65"/>
        <v>0</v>
      </c>
      <c r="G110" s="103">
        <f t="shared" si="65"/>
        <v>0</v>
      </c>
      <c r="H110" s="103">
        <f t="shared" si="65"/>
        <v>0</v>
      </c>
      <c r="I110" s="103">
        <f t="shared" si="65"/>
        <v>0</v>
      </c>
      <c r="J110" s="103">
        <f t="shared" si="65"/>
        <v>0</v>
      </c>
      <c r="K110" s="103">
        <f t="shared" si="65"/>
        <v>0</v>
      </c>
      <c r="L110" s="103">
        <f t="shared" si="65"/>
        <v>0</v>
      </c>
      <c r="M110" s="103">
        <f t="shared" si="65"/>
        <v>0</v>
      </c>
      <c r="N110" s="103">
        <f t="shared" si="65"/>
        <v>0</v>
      </c>
      <c r="O110" s="103">
        <f t="shared" si="65"/>
        <v>0</v>
      </c>
      <c r="P110" s="103" t="str">
        <f t="shared" si="65"/>
        <v/>
      </c>
      <c r="Q110" s="103" t="str">
        <f t="shared" si="65"/>
        <v/>
      </c>
      <c r="R110" s="103" t="str">
        <f t="shared" si="65"/>
        <v/>
      </c>
      <c r="S110" s="103" t="str">
        <f t="shared" si="65"/>
        <v/>
      </c>
      <c r="T110" s="103" t="str">
        <f t="shared" si="65"/>
        <v/>
      </c>
      <c r="U110" s="103" t="str">
        <f t="shared" si="65"/>
        <v/>
      </c>
      <c r="V110" s="103" t="str">
        <f t="shared" si="65"/>
        <v/>
      </c>
      <c r="W110" s="103" t="str">
        <f t="shared" si="65"/>
        <v/>
      </c>
      <c r="X110" s="103" t="str">
        <f t="shared" si="65"/>
        <v/>
      </c>
      <c r="Y110" s="103" t="str">
        <f t="shared" si="65"/>
        <v/>
      </c>
      <c r="Z110" s="103" t="str">
        <f t="shared" si="65"/>
        <v/>
      </c>
      <c r="AA110" s="103" t="str">
        <f t="shared" si="65"/>
        <v/>
      </c>
      <c r="AB110" s="103" t="str">
        <f t="shared" si="65"/>
        <v/>
      </c>
    </row>
    <row r="111" spans="1:28" ht="18" customHeight="1" outlineLevel="2" x14ac:dyDescent="0.25">
      <c r="A111" s="11" t="str">
        <f t="shared" si="41"/>
        <v>Argon [Nl/h]</v>
      </c>
      <c r="B111" s="243"/>
      <c r="C111" s="233">
        <f t="shared" si="42"/>
        <v>7.0886830576349267</v>
      </c>
      <c r="D111" s="103">
        <f t="shared" ref="D111:AB111" si="66">IF(D$86="","",D43/100*D$86)</f>
        <v>8.8373577212817036</v>
      </c>
      <c r="E111" s="103">
        <f t="shared" si="66"/>
        <v>6.8869649257026069</v>
      </c>
      <c r="F111" s="103">
        <f t="shared" si="66"/>
        <v>6.8704930441009067</v>
      </c>
      <c r="G111" s="103">
        <f t="shared" si="66"/>
        <v>6.9054538701764177</v>
      </c>
      <c r="H111" s="103">
        <f t="shared" si="66"/>
        <v>6.9158633838742922</v>
      </c>
      <c r="I111" s="103">
        <f t="shared" si="66"/>
        <v>6.9753771193685106</v>
      </c>
      <c r="J111" s="103">
        <f t="shared" si="66"/>
        <v>6.8220244446506442</v>
      </c>
      <c r="K111" s="103">
        <f t="shared" si="66"/>
        <v>6.8846412309449496</v>
      </c>
      <c r="L111" s="103">
        <f t="shared" si="66"/>
        <v>7.0040264391331899</v>
      </c>
      <c r="M111" s="103">
        <f t="shared" si="66"/>
        <v>6.972403428895138</v>
      </c>
      <c r="N111" s="103">
        <f t="shared" si="66"/>
        <v>7.0073562697652951</v>
      </c>
      <c r="O111" s="103">
        <f t="shared" si="66"/>
        <v>6.9822348137254719</v>
      </c>
      <c r="P111" s="103" t="str">
        <f t="shared" si="66"/>
        <v/>
      </c>
      <c r="Q111" s="103" t="str">
        <f t="shared" si="66"/>
        <v/>
      </c>
      <c r="R111" s="103" t="str">
        <f t="shared" si="66"/>
        <v/>
      </c>
      <c r="S111" s="103" t="str">
        <f t="shared" si="66"/>
        <v/>
      </c>
      <c r="T111" s="103" t="str">
        <f t="shared" si="66"/>
        <v/>
      </c>
      <c r="U111" s="103" t="str">
        <f t="shared" si="66"/>
        <v/>
      </c>
      <c r="V111" s="103" t="str">
        <f t="shared" si="66"/>
        <v/>
      </c>
      <c r="W111" s="103" t="str">
        <f t="shared" si="66"/>
        <v/>
      </c>
      <c r="X111" s="103" t="str">
        <f t="shared" si="66"/>
        <v/>
      </c>
      <c r="Y111" s="103" t="str">
        <f t="shared" si="66"/>
        <v/>
      </c>
      <c r="Z111" s="103" t="str">
        <f t="shared" si="66"/>
        <v/>
      </c>
      <c r="AA111" s="103" t="str">
        <f t="shared" si="66"/>
        <v/>
      </c>
      <c r="AB111" s="103" t="str">
        <f t="shared" si="66"/>
        <v/>
      </c>
    </row>
    <row r="112" spans="1:28" ht="18" customHeight="1" outlineLevel="2" x14ac:dyDescent="0.25">
      <c r="A112" s="11" t="str">
        <f t="shared" si="41"/>
        <v>CO [Nl/h]</v>
      </c>
      <c r="B112" s="243"/>
      <c r="C112" s="233">
        <f t="shared" si="42"/>
        <v>0</v>
      </c>
      <c r="D112" s="103">
        <f t="shared" ref="D112:AB112" si="67">IF(D$86="","",D44/100*D$86)</f>
        <v>0</v>
      </c>
      <c r="E112" s="103">
        <f t="shared" si="67"/>
        <v>0</v>
      </c>
      <c r="F112" s="103">
        <f t="shared" si="67"/>
        <v>0</v>
      </c>
      <c r="G112" s="103">
        <f t="shared" si="67"/>
        <v>0</v>
      </c>
      <c r="H112" s="103">
        <f t="shared" si="67"/>
        <v>0</v>
      </c>
      <c r="I112" s="103">
        <f t="shared" si="67"/>
        <v>0</v>
      </c>
      <c r="J112" s="103">
        <f t="shared" si="67"/>
        <v>0</v>
      </c>
      <c r="K112" s="103">
        <f t="shared" si="67"/>
        <v>0</v>
      </c>
      <c r="L112" s="103">
        <f t="shared" si="67"/>
        <v>0</v>
      </c>
      <c r="M112" s="103">
        <f t="shared" si="67"/>
        <v>0</v>
      </c>
      <c r="N112" s="103">
        <f t="shared" si="67"/>
        <v>0</v>
      </c>
      <c r="O112" s="103">
        <f t="shared" si="67"/>
        <v>0</v>
      </c>
      <c r="P112" s="103" t="str">
        <f t="shared" si="67"/>
        <v/>
      </c>
      <c r="Q112" s="103" t="str">
        <f t="shared" si="67"/>
        <v/>
      </c>
      <c r="R112" s="103" t="str">
        <f t="shared" si="67"/>
        <v/>
      </c>
      <c r="S112" s="103" t="str">
        <f t="shared" si="67"/>
        <v/>
      </c>
      <c r="T112" s="103" t="str">
        <f t="shared" si="67"/>
        <v/>
      </c>
      <c r="U112" s="103" t="str">
        <f t="shared" si="67"/>
        <v/>
      </c>
      <c r="V112" s="103" t="str">
        <f t="shared" si="67"/>
        <v/>
      </c>
      <c r="W112" s="103" t="str">
        <f t="shared" si="67"/>
        <v/>
      </c>
      <c r="X112" s="103" t="str">
        <f t="shared" si="67"/>
        <v/>
      </c>
      <c r="Y112" s="103" t="str">
        <f t="shared" si="67"/>
        <v/>
      </c>
      <c r="Z112" s="103" t="str">
        <f t="shared" si="67"/>
        <v/>
      </c>
      <c r="AA112" s="103" t="str">
        <f t="shared" si="67"/>
        <v/>
      </c>
      <c r="AB112" s="103" t="str">
        <f t="shared" si="67"/>
        <v/>
      </c>
    </row>
    <row r="113" spans="1:28" ht="18" customHeight="1" outlineLevel="2" x14ac:dyDescent="0.25">
      <c r="A113" s="11" t="str">
        <f t="shared" si="41"/>
        <v>H2 [Nl/h]</v>
      </c>
      <c r="B113" s="243"/>
      <c r="C113" s="233">
        <f t="shared" si="42"/>
        <v>34.615057500749664</v>
      </c>
      <c r="D113" s="103">
        <f t="shared" ref="D113:AB113" si="68">IF(D$86="","",D45/100*D$86)</f>
        <v>33.756203548648692</v>
      </c>
      <c r="E113" s="103">
        <f t="shared" si="68"/>
        <v>34.252142294534437</v>
      </c>
      <c r="F113" s="103">
        <f t="shared" si="68"/>
        <v>34.774607892602091</v>
      </c>
      <c r="G113" s="103">
        <f t="shared" si="68"/>
        <v>34.805502652111969</v>
      </c>
      <c r="H113" s="103">
        <f t="shared" si="68"/>
        <v>34.829028664122312</v>
      </c>
      <c r="I113" s="103">
        <f t="shared" si="68"/>
        <v>35.049057803535831</v>
      </c>
      <c r="J113" s="103">
        <f t="shared" si="68"/>
        <v>34.57132851993655</v>
      </c>
      <c r="K113" s="103">
        <f t="shared" si="68"/>
        <v>34.622048947296292</v>
      </c>
      <c r="L113" s="103">
        <f t="shared" si="68"/>
        <v>34.907309229236617</v>
      </c>
      <c r="M113" s="103">
        <f t="shared" si="68"/>
        <v>34.760434153100924</v>
      </c>
      <c r="N113" s="103">
        <f t="shared" si="68"/>
        <v>34.517554550049901</v>
      </c>
      <c r="O113" s="103">
        <f t="shared" si="68"/>
        <v>34.53547175382046</v>
      </c>
      <c r="P113" s="103" t="str">
        <f t="shared" si="68"/>
        <v/>
      </c>
      <c r="Q113" s="103" t="str">
        <f t="shared" si="68"/>
        <v/>
      </c>
      <c r="R113" s="103" t="str">
        <f t="shared" si="68"/>
        <v/>
      </c>
      <c r="S113" s="103" t="str">
        <f t="shared" si="68"/>
        <v/>
      </c>
      <c r="T113" s="103" t="str">
        <f t="shared" si="68"/>
        <v/>
      </c>
      <c r="U113" s="103" t="str">
        <f t="shared" si="68"/>
        <v/>
      </c>
      <c r="V113" s="103" t="str">
        <f t="shared" si="68"/>
        <v/>
      </c>
      <c r="W113" s="103" t="str">
        <f t="shared" si="68"/>
        <v/>
      </c>
      <c r="X113" s="103" t="str">
        <f t="shared" si="68"/>
        <v/>
      </c>
      <c r="Y113" s="103" t="str">
        <f t="shared" si="68"/>
        <v/>
      </c>
      <c r="Z113" s="103" t="str">
        <f t="shared" si="68"/>
        <v/>
      </c>
      <c r="AA113" s="103" t="str">
        <f t="shared" si="68"/>
        <v/>
      </c>
      <c r="AB113" s="103" t="str">
        <f t="shared" si="68"/>
        <v/>
      </c>
    </row>
    <row r="114" spans="1:28" ht="18" customHeight="1" outlineLevel="2" x14ac:dyDescent="0.25">
      <c r="A114" s="11" t="str">
        <f t="shared" si="41"/>
        <v>Acetylene [Nl/h]</v>
      </c>
      <c r="B114" s="243"/>
      <c r="C114" s="233">
        <f t="shared" si="42"/>
        <v>13.179050950942957</v>
      </c>
      <c r="D114" s="103">
        <f t="shared" ref="D114:AB114" si="69">IF(D$86="","",D46/100*D$86)</f>
        <v>12.699355975959335</v>
      </c>
      <c r="E114" s="103">
        <f t="shared" si="69"/>
        <v>13.217032047856399</v>
      </c>
      <c r="F114" s="103">
        <f t="shared" si="69"/>
        <v>13.253474928045385</v>
      </c>
      <c r="G114" s="103">
        <f t="shared" si="69"/>
        <v>13.277813833960638</v>
      </c>
      <c r="H114" s="103">
        <f t="shared" si="69"/>
        <v>13.720735607427182</v>
      </c>
      <c r="I114" s="103">
        <f t="shared" si="69"/>
        <v>13.743613220762876</v>
      </c>
      <c r="J114" s="103">
        <f t="shared" si="69"/>
        <v>13.707954487739531</v>
      </c>
      <c r="K114" s="103">
        <f t="shared" si="69"/>
        <v>13.734179499159112</v>
      </c>
      <c r="L114" s="103">
        <f t="shared" si="69"/>
        <v>12.700461128380159</v>
      </c>
      <c r="M114" s="103">
        <f t="shared" si="69"/>
        <v>12.710431455783631</v>
      </c>
      <c r="N114" s="103">
        <f t="shared" si="69"/>
        <v>12.674940412072695</v>
      </c>
      <c r="O114" s="103">
        <f t="shared" si="69"/>
        <v>12.708618814168551</v>
      </c>
      <c r="P114" s="103" t="str">
        <f t="shared" si="69"/>
        <v/>
      </c>
      <c r="Q114" s="103" t="str">
        <f t="shared" si="69"/>
        <v/>
      </c>
      <c r="R114" s="103" t="str">
        <f t="shared" si="69"/>
        <v/>
      </c>
      <c r="S114" s="103" t="str">
        <f t="shared" si="69"/>
        <v/>
      </c>
      <c r="T114" s="103" t="str">
        <f t="shared" si="69"/>
        <v/>
      </c>
      <c r="U114" s="103" t="str">
        <f t="shared" si="69"/>
        <v/>
      </c>
      <c r="V114" s="103" t="str">
        <f t="shared" si="69"/>
        <v/>
      </c>
      <c r="W114" s="103" t="str">
        <f t="shared" si="69"/>
        <v/>
      </c>
      <c r="X114" s="103" t="str">
        <f t="shared" si="69"/>
        <v/>
      </c>
      <c r="Y114" s="103" t="str">
        <f t="shared" si="69"/>
        <v/>
      </c>
      <c r="Z114" s="103" t="str">
        <f t="shared" si="69"/>
        <v/>
      </c>
      <c r="AA114" s="103" t="str">
        <f t="shared" si="69"/>
        <v/>
      </c>
      <c r="AB114" s="103" t="str">
        <f t="shared" si="69"/>
        <v/>
      </c>
    </row>
    <row r="115" spans="1:28" ht="18" customHeight="1" outlineLevel="2" x14ac:dyDescent="0.25">
      <c r="A115" s="11" t="str">
        <f t="shared" si="41"/>
        <v>Isobutane [Nl/h]</v>
      </c>
      <c r="B115" s="243"/>
      <c r="C115" s="233">
        <f t="shared" si="42"/>
        <v>0</v>
      </c>
      <c r="D115" s="103">
        <f t="shared" ref="D115:AB115" si="70">IF(D$86="","",D47/100*D$86)</f>
        <v>0</v>
      </c>
      <c r="E115" s="103">
        <f t="shared" si="70"/>
        <v>0</v>
      </c>
      <c r="F115" s="103">
        <f t="shared" si="70"/>
        <v>0</v>
      </c>
      <c r="G115" s="103">
        <f t="shared" si="70"/>
        <v>0</v>
      </c>
      <c r="H115" s="103">
        <f t="shared" si="70"/>
        <v>0</v>
      </c>
      <c r="I115" s="103">
        <f t="shared" si="70"/>
        <v>0</v>
      </c>
      <c r="J115" s="103">
        <f t="shared" si="70"/>
        <v>0</v>
      </c>
      <c r="K115" s="103">
        <f t="shared" si="70"/>
        <v>0</v>
      </c>
      <c r="L115" s="103">
        <f t="shared" si="70"/>
        <v>0</v>
      </c>
      <c r="M115" s="103">
        <f t="shared" si="70"/>
        <v>0</v>
      </c>
      <c r="N115" s="103">
        <f t="shared" si="70"/>
        <v>0</v>
      </c>
      <c r="O115" s="103">
        <f t="shared" si="70"/>
        <v>0</v>
      </c>
      <c r="P115" s="103" t="str">
        <f t="shared" si="70"/>
        <v/>
      </c>
      <c r="Q115" s="103" t="str">
        <f t="shared" si="70"/>
        <v/>
      </c>
      <c r="R115" s="103" t="str">
        <f t="shared" si="70"/>
        <v/>
      </c>
      <c r="S115" s="103" t="str">
        <f t="shared" si="70"/>
        <v/>
      </c>
      <c r="T115" s="103" t="str">
        <f t="shared" si="70"/>
        <v/>
      </c>
      <c r="U115" s="103" t="str">
        <f t="shared" si="70"/>
        <v/>
      </c>
      <c r="V115" s="103" t="str">
        <f t="shared" si="70"/>
        <v/>
      </c>
      <c r="W115" s="103" t="str">
        <f t="shared" si="70"/>
        <v/>
      </c>
      <c r="X115" s="103" t="str">
        <f t="shared" si="70"/>
        <v/>
      </c>
      <c r="Y115" s="103" t="str">
        <f t="shared" si="70"/>
        <v/>
      </c>
      <c r="Z115" s="103" t="str">
        <f t="shared" si="70"/>
        <v/>
      </c>
      <c r="AA115" s="103" t="str">
        <f t="shared" si="70"/>
        <v/>
      </c>
      <c r="AB115" s="103" t="str">
        <f t="shared" si="70"/>
        <v/>
      </c>
    </row>
    <row r="116" spans="1:28" ht="18" customHeight="1" outlineLevel="2" x14ac:dyDescent="0.25">
      <c r="A116" s="11" t="str">
        <f t="shared" si="41"/>
        <v>N2 [Nl/h]</v>
      </c>
      <c r="B116" s="243"/>
      <c r="C116" s="233">
        <f t="shared" si="42"/>
        <v>93.941886886617155</v>
      </c>
      <c r="D116" s="103">
        <f t="shared" ref="D116:AB116" si="71">IF(D$86="","",D48/100*D$86)</f>
        <v>92.831327683249</v>
      </c>
      <c r="E116" s="103">
        <f t="shared" si="71"/>
        <v>93.805243254099977</v>
      </c>
      <c r="F116" s="103">
        <f t="shared" si="71"/>
        <v>93.963481277452658</v>
      </c>
      <c r="G116" s="103">
        <f t="shared" si="71"/>
        <v>94.033342242043005</v>
      </c>
      <c r="H116" s="103">
        <f t="shared" si="71"/>
        <v>93.769571744748049</v>
      </c>
      <c r="I116" s="103">
        <f t="shared" si="71"/>
        <v>94.00359415802177</v>
      </c>
      <c r="J116" s="103">
        <f t="shared" si="71"/>
        <v>92.419401282879775</v>
      </c>
      <c r="K116" s="103">
        <f t="shared" si="71"/>
        <v>93.424329794279856</v>
      </c>
      <c r="L116" s="103">
        <f t="shared" si="71"/>
        <v>94.750255575656041</v>
      </c>
      <c r="M116" s="103">
        <f t="shared" si="71"/>
        <v>94.700146815026315</v>
      </c>
      <c r="N116" s="103">
        <f t="shared" si="71"/>
        <v>94.729724015652977</v>
      </c>
      <c r="O116" s="103">
        <f t="shared" si="71"/>
        <v>94.872224796296422</v>
      </c>
      <c r="P116" s="103" t="str">
        <f t="shared" si="71"/>
        <v/>
      </c>
      <c r="Q116" s="103" t="str">
        <f t="shared" si="71"/>
        <v/>
      </c>
      <c r="R116" s="103" t="str">
        <f t="shared" si="71"/>
        <v/>
      </c>
      <c r="S116" s="103" t="str">
        <f t="shared" si="71"/>
        <v/>
      </c>
      <c r="T116" s="103" t="str">
        <f t="shared" si="71"/>
        <v/>
      </c>
      <c r="U116" s="103" t="str">
        <f t="shared" si="71"/>
        <v/>
      </c>
      <c r="V116" s="103" t="str">
        <f t="shared" si="71"/>
        <v/>
      </c>
      <c r="W116" s="103" t="str">
        <f t="shared" si="71"/>
        <v/>
      </c>
      <c r="X116" s="103" t="str">
        <f t="shared" si="71"/>
        <v/>
      </c>
      <c r="Y116" s="103" t="str">
        <f t="shared" si="71"/>
        <v/>
      </c>
      <c r="Z116" s="103" t="str">
        <f t="shared" si="71"/>
        <v/>
      </c>
      <c r="AA116" s="103" t="str">
        <f t="shared" si="71"/>
        <v/>
      </c>
      <c r="AB116" s="103" t="str">
        <f t="shared" si="71"/>
        <v/>
      </c>
    </row>
    <row r="117" spans="1:28" ht="18" customHeight="1" outlineLevel="2" x14ac:dyDescent="0.25">
      <c r="A117" s="11" t="str">
        <f t="shared" si="41"/>
        <v/>
      </c>
      <c r="B117" s="243"/>
      <c r="C117" s="233" t="str">
        <f t="shared" si="42"/>
        <v/>
      </c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</row>
    <row r="118" spans="1:28" ht="18" customHeight="1" outlineLevel="2" x14ac:dyDescent="0.25">
      <c r="A118" s="11" t="str">
        <f t="shared" si="41"/>
        <v/>
      </c>
      <c r="B118" s="243"/>
      <c r="C118" s="233" t="str">
        <f t="shared" si="42"/>
        <v/>
      </c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</row>
    <row r="120" spans="1:28" ht="18" customHeight="1" x14ac:dyDescent="0.25">
      <c r="A120" s="11" t="s">
        <v>255</v>
      </c>
      <c r="C120" s="217" t="s">
        <v>256</v>
      </c>
      <c r="D120" s="233" t="s">
        <v>257</v>
      </c>
      <c r="E120" s="249" t="str">
        <f t="shared" ref="E120:AB120" si="72">E$17</f>
        <v/>
      </c>
      <c r="F120" s="249" t="str">
        <f t="shared" si="72"/>
        <v/>
      </c>
      <c r="G120" s="249" t="str">
        <f t="shared" si="72"/>
        <v/>
      </c>
      <c r="H120" s="249" t="str">
        <f t="shared" si="72"/>
        <v/>
      </c>
      <c r="I120" s="249" t="str">
        <f t="shared" si="72"/>
        <v/>
      </c>
      <c r="J120" s="249" t="str">
        <f t="shared" si="72"/>
        <v/>
      </c>
      <c r="K120" s="249" t="str">
        <f t="shared" si="72"/>
        <v/>
      </c>
      <c r="L120" s="249" t="str">
        <f t="shared" si="72"/>
        <v/>
      </c>
      <c r="M120" s="249" t="str">
        <f t="shared" si="72"/>
        <v/>
      </c>
      <c r="N120" s="249" t="str">
        <f t="shared" si="72"/>
        <v/>
      </c>
      <c r="O120" s="249" t="str">
        <f t="shared" si="72"/>
        <v/>
      </c>
      <c r="P120" s="249" t="str">
        <f t="shared" si="72"/>
        <v/>
      </c>
      <c r="Q120" s="249" t="str">
        <f t="shared" si="72"/>
        <v/>
      </c>
      <c r="R120" s="249" t="str">
        <f t="shared" si="72"/>
        <v/>
      </c>
      <c r="S120" s="249" t="str">
        <f t="shared" si="72"/>
        <v/>
      </c>
      <c r="T120" s="249" t="str">
        <f t="shared" si="72"/>
        <v/>
      </c>
      <c r="U120" s="249" t="str">
        <f t="shared" si="72"/>
        <v/>
      </c>
      <c r="V120" s="249" t="str">
        <f t="shared" si="72"/>
        <v/>
      </c>
      <c r="W120" s="249" t="str">
        <f t="shared" si="72"/>
        <v/>
      </c>
      <c r="X120" s="249" t="str">
        <f t="shared" si="72"/>
        <v/>
      </c>
      <c r="Y120" s="249" t="str">
        <f t="shared" si="72"/>
        <v/>
      </c>
      <c r="Z120" s="249" t="str">
        <f t="shared" si="72"/>
        <v/>
      </c>
      <c r="AA120" s="249" t="str">
        <f t="shared" si="72"/>
        <v/>
      </c>
      <c r="AB120" s="249" t="str">
        <f t="shared" si="72"/>
        <v/>
      </c>
    </row>
    <row r="121" spans="1:28" ht="18" customHeight="1" x14ac:dyDescent="0.25">
      <c r="A121" s="11" t="s">
        <v>258</v>
      </c>
      <c r="C121" s="233">
        <f t="shared" ref="C121:C149" si="73">IFERROR(AVERAGE(D121:AB121), "")</f>
        <v>4.0746510421988499E-2</v>
      </c>
      <c r="D121" s="233">
        <f t="shared" ref="D121:AB121" si="74">IFERROR((12.011*$AD52/$B20)*D52,"")</f>
        <v>3.18774247088515E-2</v>
      </c>
      <c r="E121" s="233">
        <f t="shared" si="74"/>
        <v>4.1322424213095253E-2</v>
      </c>
      <c r="F121" s="233">
        <f t="shared" si="74"/>
        <v>4.144390767941207E-2</v>
      </c>
      <c r="G121" s="233">
        <f t="shared" si="74"/>
        <v>4.1273593006825239E-2</v>
      </c>
      <c r="H121" s="233">
        <f t="shared" si="74"/>
        <v>4.2096223805646954E-2</v>
      </c>
      <c r="I121" s="233">
        <f t="shared" si="74"/>
        <v>4.182850248273539E-2</v>
      </c>
      <c r="J121" s="233">
        <f t="shared" si="74"/>
        <v>4.2529101338282117E-2</v>
      </c>
      <c r="K121" s="233">
        <f t="shared" si="74"/>
        <v>4.2263726640594274E-2</v>
      </c>
      <c r="L121" s="233">
        <f t="shared" si="74"/>
        <v>4.0970508854808699E-2</v>
      </c>
      <c r="M121" s="233">
        <f t="shared" si="74"/>
        <v>4.1249544342548287E-2</v>
      </c>
      <c r="N121" s="233">
        <f t="shared" si="74"/>
        <v>4.0905786242956994E-2</v>
      </c>
      <c r="O121" s="233">
        <f t="shared" si="74"/>
        <v>4.1197381748105236E-2</v>
      </c>
      <c r="P121" s="233" t="str">
        <f t="shared" si="74"/>
        <v/>
      </c>
      <c r="Q121" s="233" t="str">
        <f t="shared" si="74"/>
        <v/>
      </c>
      <c r="R121" s="233" t="str">
        <f t="shared" si="74"/>
        <v/>
      </c>
      <c r="S121" s="233" t="str">
        <f t="shared" si="74"/>
        <v/>
      </c>
      <c r="T121" s="233" t="str">
        <f t="shared" si="74"/>
        <v/>
      </c>
      <c r="U121" s="233" t="str">
        <f t="shared" si="74"/>
        <v/>
      </c>
      <c r="V121" s="233" t="str">
        <f t="shared" si="74"/>
        <v/>
      </c>
      <c r="W121" s="233" t="str">
        <f t="shared" si="74"/>
        <v/>
      </c>
      <c r="X121" s="233" t="str">
        <f t="shared" si="74"/>
        <v/>
      </c>
      <c r="Y121" s="233" t="str">
        <f t="shared" si="74"/>
        <v/>
      </c>
      <c r="Z121" s="233" t="str">
        <f t="shared" si="74"/>
        <v/>
      </c>
      <c r="AA121" s="233" t="str">
        <f t="shared" si="74"/>
        <v/>
      </c>
      <c r="AB121" s="233" t="str">
        <f t="shared" si="74"/>
        <v/>
      </c>
    </row>
    <row r="122" spans="1:28" ht="18" customHeight="1" x14ac:dyDescent="0.25">
      <c r="A122" s="11" t="s">
        <v>259</v>
      </c>
      <c r="C122" s="233">
        <f t="shared" si="73"/>
        <v>8.1595385033871981E-5</v>
      </c>
      <c r="D122" s="233">
        <f t="shared" ref="D122:AB122" si="75">IFERROR((12.011*$AD53/$B21)*D53,"")</f>
        <v>7.0024409691144039E-5</v>
      </c>
      <c r="E122" s="233">
        <f t="shared" si="75"/>
        <v>2.0987532323958773E-4</v>
      </c>
      <c r="F122" s="233">
        <f t="shared" si="75"/>
        <v>1.9428414062980676E-4</v>
      </c>
      <c r="G122" s="233">
        <f t="shared" si="75"/>
        <v>1.7384949767297502E-4</v>
      </c>
      <c r="H122" s="233">
        <f t="shared" si="75"/>
        <v>4.3198288758103029E-5</v>
      </c>
      <c r="I122" s="233">
        <f t="shared" si="75"/>
        <v>4.040301965736692E-5</v>
      </c>
      <c r="J122" s="233">
        <f t="shared" si="75"/>
        <v>4.0118951310308188E-5</v>
      </c>
      <c r="K122" s="233">
        <f t="shared" si="75"/>
        <v>3.9147375247190949E-5</v>
      </c>
      <c r="L122" s="233">
        <f t="shared" si="75"/>
        <v>4.4569120044668873E-5</v>
      </c>
      <c r="M122" s="233">
        <f t="shared" si="75"/>
        <v>4.1240006802748718E-5</v>
      </c>
      <c r="N122" s="233">
        <f t="shared" si="75"/>
        <v>4.1630364781139044E-5</v>
      </c>
      <c r="O122" s="233">
        <f t="shared" si="75"/>
        <v>4.0804122571424389E-5</v>
      </c>
      <c r="P122" s="233" t="str">
        <f t="shared" si="75"/>
        <v/>
      </c>
      <c r="Q122" s="233" t="str">
        <f t="shared" si="75"/>
        <v/>
      </c>
      <c r="R122" s="233" t="str">
        <f t="shared" si="75"/>
        <v/>
      </c>
      <c r="S122" s="233" t="str">
        <f t="shared" si="75"/>
        <v/>
      </c>
      <c r="T122" s="233" t="str">
        <f t="shared" si="75"/>
        <v/>
      </c>
      <c r="U122" s="233" t="str">
        <f t="shared" si="75"/>
        <v/>
      </c>
      <c r="V122" s="233" t="str">
        <f t="shared" si="75"/>
        <v/>
      </c>
      <c r="W122" s="233" t="str">
        <f t="shared" si="75"/>
        <v/>
      </c>
      <c r="X122" s="233" t="str">
        <f t="shared" si="75"/>
        <v/>
      </c>
      <c r="Y122" s="233" t="str">
        <f t="shared" si="75"/>
        <v/>
      </c>
      <c r="Z122" s="233" t="str">
        <f t="shared" si="75"/>
        <v/>
      </c>
      <c r="AA122" s="233" t="str">
        <f t="shared" si="75"/>
        <v/>
      </c>
      <c r="AB122" s="233" t="str">
        <f t="shared" si="75"/>
        <v/>
      </c>
    </row>
    <row r="123" spans="1:28" ht="18" customHeight="1" x14ac:dyDescent="0.25">
      <c r="A123" s="11" t="s">
        <v>260</v>
      </c>
      <c r="C123" s="233">
        <f t="shared" si="73"/>
        <v>5.1226768803870913E-2</v>
      </c>
      <c r="D123" s="233">
        <f t="shared" ref="D123:AB123" si="76">IFERROR((12.011*$AD54/$B22)*D54,"")</f>
        <v>3.9174664711447156E-2</v>
      </c>
      <c r="E123" s="233">
        <f t="shared" si="76"/>
        <v>5.1873423295921574E-2</v>
      </c>
      <c r="F123" s="233">
        <f t="shared" si="76"/>
        <v>5.2128687500723601E-2</v>
      </c>
      <c r="G123" s="233">
        <f t="shared" si="76"/>
        <v>5.1877632413825064E-2</v>
      </c>
      <c r="H123" s="233">
        <f t="shared" si="76"/>
        <v>5.2923561782685737E-2</v>
      </c>
      <c r="I123" s="233">
        <f t="shared" si="76"/>
        <v>5.2587650130042837E-2</v>
      </c>
      <c r="J123" s="233">
        <f t="shared" si="76"/>
        <v>5.3582968042219452E-2</v>
      </c>
      <c r="K123" s="233">
        <f t="shared" si="76"/>
        <v>5.3115420569382989E-2</v>
      </c>
      <c r="L123" s="233">
        <f t="shared" si="76"/>
        <v>5.1746254933664901E-2</v>
      </c>
      <c r="M123" s="233">
        <f t="shared" si="76"/>
        <v>5.2066643634529057E-2</v>
      </c>
      <c r="N123" s="233">
        <f t="shared" si="76"/>
        <v>5.1615189739957608E-2</v>
      </c>
      <c r="O123" s="233">
        <f t="shared" si="76"/>
        <v>5.2029128892050885E-2</v>
      </c>
      <c r="P123" s="233" t="str">
        <f t="shared" si="76"/>
        <v/>
      </c>
      <c r="Q123" s="233" t="str">
        <f t="shared" si="76"/>
        <v/>
      </c>
      <c r="R123" s="233" t="str">
        <f t="shared" si="76"/>
        <v/>
      </c>
      <c r="S123" s="233" t="str">
        <f t="shared" si="76"/>
        <v/>
      </c>
      <c r="T123" s="233" t="str">
        <f t="shared" si="76"/>
        <v/>
      </c>
      <c r="U123" s="233" t="str">
        <f t="shared" si="76"/>
        <v/>
      </c>
      <c r="V123" s="233" t="str">
        <f t="shared" si="76"/>
        <v/>
      </c>
      <c r="W123" s="233" t="str">
        <f t="shared" si="76"/>
        <v/>
      </c>
      <c r="X123" s="233" t="str">
        <f t="shared" si="76"/>
        <v/>
      </c>
      <c r="Y123" s="233" t="str">
        <f t="shared" si="76"/>
        <v/>
      </c>
      <c r="Z123" s="233" t="str">
        <f t="shared" si="76"/>
        <v/>
      </c>
      <c r="AA123" s="233" t="str">
        <f t="shared" si="76"/>
        <v/>
      </c>
      <c r="AB123" s="233" t="str">
        <f t="shared" si="76"/>
        <v/>
      </c>
    </row>
    <row r="124" spans="1:28" ht="18" customHeight="1" x14ac:dyDescent="0.25">
      <c r="A124" s="11" t="s">
        <v>261</v>
      </c>
      <c r="C124" s="233">
        <f t="shared" si="73"/>
        <v>0</v>
      </c>
      <c r="D124" s="233">
        <f t="shared" ref="D124:AB124" si="77">IFERROR((12.011*$AD55/$B23)*D55,"")</f>
        <v>0</v>
      </c>
      <c r="E124" s="233">
        <f t="shared" si="77"/>
        <v>0</v>
      </c>
      <c r="F124" s="233">
        <f t="shared" si="77"/>
        <v>0</v>
      </c>
      <c r="G124" s="233">
        <f t="shared" si="77"/>
        <v>0</v>
      </c>
      <c r="H124" s="233">
        <f t="shared" si="77"/>
        <v>0</v>
      </c>
      <c r="I124" s="233">
        <f t="shared" si="77"/>
        <v>0</v>
      </c>
      <c r="J124" s="233">
        <f t="shared" si="77"/>
        <v>0</v>
      </c>
      <c r="K124" s="233">
        <f t="shared" si="77"/>
        <v>0</v>
      </c>
      <c r="L124" s="233">
        <f t="shared" si="77"/>
        <v>0</v>
      </c>
      <c r="M124" s="233">
        <f t="shared" si="77"/>
        <v>0</v>
      </c>
      <c r="N124" s="233">
        <f t="shared" si="77"/>
        <v>0</v>
      </c>
      <c r="O124" s="233">
        <f t="shared" si="77"/>
        <v>0</v>
      </c>
      <c r="P124" s="233" t="str">
        <f t="shared" si="77"/>
        <v/>
      </c>
      <c r="Q124" s="233" t="str">
        <f t="shared" si="77"/>
        <v/>
      </c>
      <c r="R124" s="233" t="str">
        <f t="shared" si="77"/>
        <v/>
      </c>
      <c r="S124" s="233" t="str">
        <f t="shared" si="77"/>
        <v/>
      </c>
      <c r="T124" s="233" t="str">
        <f t="shared" si="77"/>
        <v/>
      </c>
      <c r="U124" s="233" t="str">
        <f t="shared" si="77"/>
        <v/>
      </c>
      <c r="V124" s="233" t="str">
        <f t="shared" si="77"/>
        <v/>
      </c>
      <c r="W124" s="233" t="str">
        <f t="shared" si="77"/>
        <v/>
      </c>
      <c r="X124" s="233" t="str">
        <f t="shared" si="77"/>
        <v/>
      </c>
      <c r="Y124" s="233" t="str">
        <f t="shared" si="77"/>
        <v/>
      </c>
      <c r="Z124" s="233" t="str">
        <f t="shared" si="77"/>
        <v/>
      </c>
      <c r="AA124" s="233" t="str">
        <f t="shared" si="77"/>
        <v/>
      </c>
      <c r="AB124" s="233" t="str">
        <f t="shared" si="77"/>
        <v/>
      </c>
    </row>
    <row r="125" spans="1:28" ht="18" customHeight="1" x14ac:dyDescent="0.25">
      <c r="A125" s="11" t="s">
        <v>262</v>
      </c>
      <c r="C125" s="233">
        <f t="shared" si="73"/>
        <v>2.8936086520567226E-5</v>
      </c>
      <c r="D125" s="233">
        <f t="shared" ref="D125:AB125" si="78">IFERROR((12.011*$AD56/$B24)*D56,"")</f>
        <v>6.041004580282178E-5</v>
      </c>
      <c r="E125" s="233">
        <f t="shared" si="78"/>
        <v>1.2491970760427785E-4</v>
      </c>
      <c r="F125" s="233">
        <f t="shared" si="78"/>
        <v>8.9558845458305211E-5</v>
      </c>
      <c r="G125" s="233">
        <f t="shared" si="78"/>
        <v>7.2344439381401905E-5</v>
      </c>
      <c r="H125" s="233">
        <f t="shared" si="78"/>
        <v>0</v>
      </c>
      <c r="I125" s="233">
        <f t="shared" si="78"/>
        <v>0</v>
      </c>
      <c r="J125" s="233">
        <f t="shared" si="78"/>
        <v>0</v>
      </c>
      <c r="K125" s="233">
        <f t="shared" si="78"/>
        <v>0</v>
      </c>
      <c r="L125" s="233">
        <f t="shared" si="78"/>
        <v>0</v>
      </c>
      <c r="M125" s="233">
        <f t="shared" si="78"/>
        <v>0</v>
      </c>
      <c r="N125" s="233">
        <f t="shared" si="78"/>
        <v>0</v>
      </c>
      <c r="O125" s="233">
        <f t="shared" si="78"/>
        <v>0</v>
      </c>
      <c r="P125" s="233" t="str">
        <f t="shared" si="78"/>
        <v/>
      </c>
      <c r="Q125" s="233" t="str">
        <f t="shared" si="78"/>
        <v/>
      </c>
      <c r="R125" s="233" t="str">
        <f t="shared" si="78"/>
        <v/>
      </c>
      <c r="S125" s="233" t="str">
        <f t="shared" si="78"/>
        <v/>
      </c>
      <c r="T125" s="233" t="str">
        <f t="shared" si="78"/>
        <v/>
      </c>
      <c r="U125" s="233" t="str">
        <f t="shared" si="78"/>
        <v/>
      </c>
      <c r="V125" s="233" t="str">
        <f t="shared" si="78"/>
        <v/>
      </c>
      <c r="W125" s="233" t="str">
        <f t="shared" si="78"/>
        <v/>
      </c>
      <c r="X125" s="233" t="str">
        <f t="shared" si="78"/>
        <v/>
      </c>
      <c r="Y125" s="233" t="str">
        <f t="shared" si="78"/>
        <v/>
      </c>
      <c r="Z125" s="233" t="str">
        <f t="shared" si="78"/>
        <v/>
      </c>
      <c r="AA125" s="233" t="str">
        <f t="shared" si="78"/>
        <v/>
      </c>
      <c r="AB125" s="233" t="str">
        <f t="shared" si="78"/>
        <v/>
      </c>
    </row>
    <row r="126" spans="1:28" ht="18" customHeight="1" x14ac:dyDescent="0.25">
      <c r="A126" s="11" t="s">
        <v>263</v>
      </c>
      <c r="C126" s="233">
        <f t="shared" si="73"/>
        <v>9.4238742231937663E-6</v>
      </c>
      <c r="D126" s="233">
        <f t="shared" ref="D126:AB126" si="79">IFERROR((12.011*$AD57/$B25)*D57,"")</f>
        <v>3.0348056775557981E-5</v>
      </c>
      <c r="E126" s="233">
        <f t="shared" si="79"/>
        <v>3.3963094133372077E-5</v>
      </c>
      <c r="F126" s="233">
        <f t="shared" si="79"/>
        <v>2.6045337693126275E-5</v>
      </c>
      <c r="G126" s="233">
        <f t="shared" si="79"/>
        <v>2.2730002076268849E-5</v>
      </c>
      <c r="H126" s="233">
        <f t="shared" si="79"/>
        <v>0</v>
      </c>
      <c r="I126" s="233">
        <f t="shared" si="79"/>
        <v>0</v>
      </c>
      <c r="J126" s="233">
        <f t="shared" si="79"/>
        <v>0</v>
      </c>
      <c r="K126" s="233">
        <f t="shared" si="79"/>
        <v>0</v>
      </c>
      <c r="L126" s="233">
        <f t="shared" si="79"/>
        <v>0</v>
      </c>
      <c r="M126" s="233">
        <f t="shared" si="79"/>
        <v>0</v>
      </c>
      <c r="N126" s="233">
        <f t="shared" si="79"/>
        <v>0</v>
      </c>
      <c r="O126" s="233">
        <f t="shared" si="79"/>
        <v>0</v>
      </c>
      <c r="P126" s="233" t="str">
        <f t="shared" si="79"/>
        <v/>
      </c>
      <c r="Q126" s="233" t="str">
        <f t="shared" si="79"/>
        <v/>
      </c>
      <c r="R126" s="233" t="str">
        <f t="shared" si="79"/>
        <v/>
      </c>
      <c r="S126" s="233" t="str">
        <f t="shared" si="79"/>
        <v/>
      </c>
      <c r="T126" s="233" t="str">
        <f t="shared" si="79"/>
        <v/>
      </c>
      <c r="U126" s="233" t="str">
        <f t="shared" si="79"/>
        <v/>
      </c>
      <c r="V126" s="233" t="str">
        <f t="shared" si="79"/>
        <v/>
      </c>
      <c r="W126" s="233" t="str">
        <f t="shared" si="79"/>
        <v/>
      </c>
      <c r="X126" s="233" t="str">
        <f t="shared" si="79"/>
        <v/>
      </c>
      <c r="Y126" s="233" t="str">
        <f t="shared" si="79"/>
        <v/>
      </c>
      <c r="Z126" s="233" t="str">
        <f t="shared" si="79"/>
        <v/>
      </c>
      <c r="AA126" s="233" t="str">
        <f t="shared" si="79"/>
        <v/>
      </c>
      <c r="AB126" s="233" t="str">
        <f t="shared" si="79"/>
        <v/>
      </c>
    </row>
    <row r="127" spans="1:28" ht="18" customHeight="1" x14ac:dyDescent="0.25">
      <c r="A127" s="11" t="s">
        <v>264</v>
      </c>
      <c r="C127" s="233">
        <f t="shared" si="73"/>
        <v>0</v>
      </c>
      <c r="D127" s="233">
        <f t="shared" ref="D127:AB127" si="80">IFERROR((12.011*$AD58/$B26)*D58,"")</f>
        <v>0</v>
      </c>
      <c r="E127" s="233">
        <f t="shared" si="80"/>
        <v>0</v>
      </c>
      <c r="F127" s="233">
        <f t="shared" si="80"/>
        <v>0</v>
      </c>
      <c r="G127" s="233">
        <f t="shared" si="80"/>
        <v>0</v>
      </c>
      <c r="H127" s="233">
        <f t="shared" si="80"/>
        <v>0</v>
      </c>
      <c r="I127" s="233">
        <f t="shared" si="80"/>
        <v>0</v>
      </c>
      <c r="J127" s="233">
        <f t="shared" si="80"/>
        <v>0</v>
      </c>
      <c r="K127" s="233">
        <f t="shared" si="80"/>
        <v>0</v>
      </c>
      <c r="L127" s="233">
        <f t="shared" si="80"/>
        <v>0</v>
      </c>
      <c r="M127" s="233">
        <f t="shared" si="80"/>
        <v>0</v>
      </c>
      <c r="N127" s="233">
        <f t="shared" si="80"/>
        <v>0</v>
      </c>
      <c r="O127" s="233">
        <f t="shared" si="80"/>
        <v>0</v>
      </c>
      <c r="P127" s="233" t="str">
        <f t="shared" si="80"/>
        <v/>
      </c>
      <c r="Q127" s="233" t="str">
        <f t="shared" si="80"/>
        <v/>
      </c>
      <c r="R127" s="233" t="str">
        <f t="shared" si="80"/>
        <v/>
      </c>
      <c r="S127" s="233" t="str">
        <f t="shared" si="80"/>
        <v/>
      </c>
      <c r="T127" s="233" t="str">
        <f t="shared" si="80"/>
        <v/>
      </c>
      <c r="U127" s="233" t="str">
        <f t="shared" si="80"/>
        <v/>
      </c>
      <c r="V127" s="233" t="str">
        <f t="shared" si="80"/>
        <v/>
      </c>
      <c r="W127" s="233" t="str">
        <f t="shared" si="80"/>
        <v/>
      </c>
      <c r="X127" s="233" t="str">
        <f t="shared" si="80"/>
        <v/>
      </c>
      <c r="Y127" s="233" t="str">
        <f t="shared" si="80"/>
        <v/>
      </c>
      <c r="Z127" s="233" t="str">
        <f t="shared" si="80"/>
        <v/>
      </c>
      <c r="AA127" s="233" t="str">
        <f t="shared" si="80"/>
        <v/>
      </c>
      <c r="AB127" s="233" t="str">
        <f t="shared" si="80"/>
        <v/>
      </c>
    </row>
    <row r="128" spans="1:28" ht="18" customHeight="1" x14ac:dyDescent="0.25">
      <c r="A128" s="11" t="s">
        <v>265</v>
      </c>
      <c r="C128" s="233">
        <f t="shared" si="73"/>
        <v>2.1076581628485964E-5</v>
      </c>
      <c r="D128" s="233">
        <f t="shared" ref="D128:AB128" si="81">IFERROR((12.011*$AD59/$B27)*D59,"")</f>
        <v>5.6492161424009997E-5</v>
      </c>
      <c r="E128" s="233">
        <f t="shared" si="81"/>
        <v>1.3703342397985556E-4</v>
      </c>
      <c r="F128" s="233">
        <f t="shared" si="81"/>
        <v>3.5708349957652237E-5</v>
      </c>
      <c r="G128" s="233">
        <f t="shared" si="81"/>
        <v>2.3685044180313763E-5</v>
      </c>
      <c r="H128" s="233">
        <f t="shared" si="81"/>
        <v>0</v>
      </c>
      <c r="I128" s="233">
        <f t="shared" si="81"/>
        <v>0</v>
      </c>
      <c r="J128" s="233">
        <f t="shared" si="81"/>
        <v>0</v>
      </c>
      <c r="K128" s="233">
        <f t="shared" si="81"/>
        <v>0</v>
      </c>
      <c r="L128" s="233">
        <f t="shared" si="81"/>
        <v>0</v>
      </c>
      <c r="M128" s="233">
        <f t="shared" si="81"/>
        <v>0</v>
      </c>
      <c r="N128" s="233">
        <f t="shared" si="81"/>
        <v>0</v>
      </c>
      <c r="O128" s="233">
        <f t="shared" si="81"/>
        <v>0</v>
      </c>
      <c r="P128" s="233" t="str">
        <f t="shared" si="81"/>
        <v/>
      </c>
      <c r="Q128" s="233" t="str">
        <f t="shared" si="81"/>
        <v/>
      </c>
      <c r="R128" s="233" t="str">
        <f t="shared" si="81"/>
        <v/>
      </c>
      <c r="S128" s="233" t="str">
        <f t="shared" si="81"/>
        <v/>
      </c>
      <c r="T128" s="233" t="str">
        <f t="shared" si="81"/>
        <v/>
      </c>
      <c r="U128" s="233" t="str">
        <f t="shared" si="81"/>
        <v/>
      </c>
      <c r="V128" s="233" t="str">
        <f t="shared" si="81"/>
        <v/>
      </c>
      <c r="W128" s="233" t="str">
        <f t="shared" si="81"/>
        <v/>
      </c>
      <c r="X128" s="233" t="str">
        <f t="shared" si="81"/>
        <v/>
      </c>
      <c r="Y128" s="233" t="str">
        <f t="shared" si="81"/>
        <v/>
      </c>
      <c r="Z128" s="233" t="str">
        <f t="shared" si="81"/>
        <v/>
      </c>
      <c r="AA128" s="233" t="str">
        <f t="shared" si="81"/>
        <v/>
      </c>
      <c r="AB128" s="233" t="str">
        <f t="shared" si="81"/>
        <v/>
      </c>
    </row>
    <row r="129" spans="1:28" ht="18" customHeight="1" x14ac:dyDescent="0.25">
      <c r="A129" s="11" t="s">
        <v>266</v>
      </c>
      <c r="C129" s="233">
        <f t="shared" si="73"/>
        <v>0</v>
      </c>
      <c r="D129" s="233">
        <f t="shared" ref="D129:AB129" si="82">IFERROR((12.011*$AD60/$B28)*D60,"")</f>
        <v>0</v>
      </c>
      <c r="E129" s="233">
        <f t="shared" si="82"/>
        <v>0</v>
      </c>
      <c r="F129" s="233">
        <f t="shared" si="82"/>
        <v>0</v>
      </c>
      <c r="G129" s="233">
        <f t="shared" si="82"/>
        <v>0</v>
      </c>
      <c r="H129" s="233">
        <f t="shared" si="82"/>
        <v>0</v>
      </c>
      <c r="I129" s="233">
        <f t="shared" si="82"/>
        <v>0</v>
      </c>
      <c r="J129" s="233">
        <f t="shared" si="82"/>
        <v>0</v>
      </c>
      <c r="K129" s="233">
        <f t="shared" si="82"/>
        <v>0</v>
      </c>
      <c r="L129" s="233">
        <f t="shared" si="82"/>
        <v>0</v>
      </c>
      <c r="M129" s="233">
        <f t="shared" si="82"/>
        <v>0</v>
      </c>
      <c r="N129" s="233">
        <f t="shared" si="82"/>
        <v>0</v>
      </c>
      <c r="O129" s="233">
        <f t="shared" si="82"/>
        <v>0</v>
      </c>
      <c r="P129" s="233" t="str">
        <f t="shared" si="82"/>
        <v/>
      </c>
      <c r="Q129" s="233" t="str">
        <f t="shared" si="82"/>
        <v/>
      </c>
      <c r="R129" s="233" t="str">
        <f t="shared" si="82"/>
        <v/>
      </c>
      <c r="S129" s="233" t="str">
        <f t="shared" si="82"/>
        <v/>
      </c>
      <c r="T129" s="233" t="str">
        <f t="shared" si="82"/>
        <v/>
      </c>
      <c r="U129" s="233" t="str">
        <f t="shared" si="82"/>
        <v/>
      </c>
      <c r="V129" s="233" t="str">
        <f t="shared" si="82"/>
        <v/>
      </c>
      <c r="W129" s="233" t="str">
        <f t="shared" si="82"/>
        <v/>
      </c>
      <c r="X129" s="233" t="str">
        <f t="shared" si="82"/>
        <v/>
      </c>
      <c r="Y129" s="233" t="str">
        <f t="shared" si="82"/>
        <v/>
      </c>
      <c r="Z129" s="233" t="str">
        <f t="shared" si="82"/>
        <v/>
      </c>
      <c r="AA129" s="233" t="str">
        <f t="shared" si="82"/>
        <v/>
      </c>
      <c r="AB129" s="233" t="str">
        <f t="shared" si="82"/>
        <v/>
      </c>
    </row>
    <row r="130" spans="1:28" ht="18" customHeight="1" x14ac:dyDescent="0.25">
      <c r="A130" s="11" t="s">
        <v>267</v>
      </c>
      <c r="C130" s="233">
        <f t="shared" si="73"/>
        <v>2.0192416025771793E-4</v>
      </c>
      <c r="D130" s="233">
        <f t="shared" ref="D130:AB130" si="83">IFERROR((12.011*$AD61/$B29)*D61,"")</f>
        <v>0</v>
      </c>
      <c r="E130" s="233">
        <f t="shared" si="83"/>
        <v>8.7723097083959708E-4</v>
      </c>
      <c r="F130" s="233">
        <f t="shared" si="83"/>
        <v>7.600503090448667E-4</v>
      </c>
      <c r="G130" s="233">
        <f t="shared" si="83"/>
        <v>7.8580864320815149E-4</v>
      </c>
      <c r="H130" s="233">
        <f t="shared" si="83"/>
        <v>0</v>
      </c>
      <c r="I130" s="233">
        <f t="shared" si="83"/>
        <v>0</v>
      </c>
      <c r="J130" s="233">
        <f t="shared" si="83"/>
        <v>0</v>
      </c>
      <c r="K130" s="233">
        <f t="shared" si="83"/>
        <v>0</v>
      </c>
      <c r="L130" s="233">
        <f t="shared" si="83"/>
        <v>0</v>
      </c>
      <c r="M130" s="233">
        <f t="shared" si="83"/>
        <v>0</v>
      </c>
      <c r="N130" s="233">
        <f t="shared" si="83"/>
        <v>0</v>
      </c>
      <c r="O130" s="233">
        <f t="shared" si="83"/>
        <v>0</v>
      </c>
      <c r="P130" s="233" t="str">
        <f t="shared" si="83"/>
        <v/>
      </c>
      <c r="Q130" s="233" t="str">
        <f t="shared" si="83"/>
        <v/>
      </c>
      <c r="R130" s="233" t="str">
        <f t="shared" si="83"/>
        <v/>
      </c>
      <c r="S130" s="233" t="str">
        <f t="shared" si="83"/>
        <v/>
      </c>
      <c r="T130" s="233" t="str">
        <f t="shared" si="83"/>
        <v/>
      </c>
      <c r="U130" s="233" t="str">
        <f t="shared" si="83"/>
        <v/>
      </c>
      <c r="V130" s="233" t="str">
        <f t="shared" si="83"/>
        <v/>
      </c>
      <c r="W130" s="233" t="str">
        <f t="shared" si="83"/>
        <v/>
      </c>
      <c r="X130" s="233" t="str">
        <f t="shared" si="83"/>
        <v/>
      </c>
      <c r="Y130" s="233" t="str">
        <f t="shared" si="83"/>
        <v/>
      </c>
      <c r="Z130" s="233" t="str">
        <f t="shared" si="83"/>
        <v/>
      </c>
      <c r="AA130" s="233" t="str">
        <f t="shared" si="83"/>
        <v/>
      </c>
      <c r="AB130" s="233" t="str">
        <f t="shared" si="83"/>
        <v/>
      </c>
    </row>
    <row r="131" spans="1:28" ht="18" customHeight="1" x14ac:dyDescent="0.25">
      <c r="A131" s="11" t="s">
        <v>268</v>
      </c>
      <c r="C131" s="233">
        <f t="shared" si="73"/>
        <v>0</v>
      </c>
      <c r="D131" s="233">
        <f t="shared" ref="D131:AB131" si="84">IFERROR((12.011*$AD62/$B30)*D62,"")</f>
        <v>0</v>
      </c>
      <c r="E131" s="233">
        <f t="shared" si="84"/>
        <v>0</v>
      </c>
      <c r="F131" s="233">
        <f t="shared" si="84"/>
        <v>0</v>
      </c>
      <c r="G131" s="233">
        <f t="shared" si="84"/>
        <v>0</v>
      </c>
      <c r="H131" s="233">
        <f t="shared" si="84"/>
        <v>0</v>
      </c>
      <c r="I131" s="233">
        <f t="shared" si="84"/>
        <v>0</v>
      </c>
      <c r="J131" s="233">
        <f t="shared" si="84"/>
        <v>0</v>
      </c>
      <c r="K131" s="233">
        <f t="shared" si="84"/>
        <v>0</v>
      </c>
      <c r="L131" s="233">
        <f t="shared" si="84"/>
        <v>0</v>
      </c>
      <c r="M131" s="233">
        <f t="shared" si="84"/>
        <v>0</v>
      </c>
      <c r="N131" s="233">
        <f t="shared" si="84"/>
        <v>0</v>
      </c>
      <c r="O131" s="233">
        <f t="shared" si="84"/>
        <v>0</v>
      </c>
      <c r="P131" s="233" t="str">
        <f t="shared" si="84"/>
        <v/>
      </c>
      <c r="Q131" s="233" t="str">
        <f t="shared" si="84"/>
        <v/>
      </c>
      <c r="R131" s="233" t="str">
        <f t="shared" si="84"/>
        <v/>
      </c>
      <c r="S131" s="233" t="str">
        <f t="shared" si="84"/>
        <v/>
      </c>
      <c r="T131" s="233" t="str">
        <f t="shared" si="84"/>
        <v/>
      </c>
      <c r="U131" s="233" t="str">
        <f t="shared" si="84"/>
        <v/>
      </c>
      <c r="V131" s="233" t="str">
        <f t="shared" si="84"/>
        <v/>
      </c>
      <c r="W131" s="233" t="str">
        <f t="shared" si="84"/>
        <v/>
      </c>
      <c r="X131" s="233" t="str">
        <f t="shared" si="84"/>
        <v/>
      </c>
      <c r="Y131" s="233" t="str">
        <f t="shared" si="84"/>
        <v/>
      </c>
      <c r="Z131" s="233" t="str">
        <f t="shared" si="84"/>
        <v/>
      </c>
      <c r="AA131" s="233" t="str">
        <f t="shared" si="84"/>
        <v/>
      </c>
      <c r="AB131" s="233" t="str">
        <f t="shared" si="84"/>
        <v/>
      </c>
    </row>
    <row r="132" spans="1:28" ht="18" customHeight="1" x14ac:dyDescent="0.25">
      <c r="A132" s="11" t="s">
        <v>269</v>
      </c>
      <c r="C132" s="233">
        <f t="shared" si="73"/>
        <v>2.1076581628485964E-5</v>
      </c>
      <c r="D132" s="233">
        <f t="shared" ref="D132:AB132" si="85">IFERROR((12.011*$AD63/$B31)*D63,"")</f>
        <v>5.6492161424009997E-5</v>
      </c>
      <c r="E132" s="233">
        <f t="shared" si="85"/>
        <v>1.3703342397985556E-4</v>
      </c>
      <c r="F132" s="233">
        <f t="shared" si="85"/>
        <v>3.5708349957652237E-5</v>
      </c>
      <c r="G132" s="233">
        <f t="shared" si="85"/>
        <v>2.3685044180313763E-5</v>
      </c>
      <c r="H132" s="233">
        <f t="shared" si="85"/>
        <v>0</v>
      </c>
      <c r="I132" s="233">
        <f t="shared" si="85"/>
        <v>0</v>
      </c>
      <c r="J132" s="233">
        <f t="shared" si="85"/>
        <v>0</v>
      </c>
      <c r="K132" s="233">
        <f t="shared" si="85"/>
        <v>0</v>
      </c>
      <c r="L132" s="233">
        <f t="shared" si="85"/>
        <v>0</v>
      </c>
      <c r="M132" s="233">
        <f t="shared" si="85"/>
        <v>0</v>
      </c>
      <c r="N132" s="233">
        <f t="shared" si="85"/>
        <v>0</v>
      </c>
      <c r="O132" s="233">
        <f t="shared" si="85"/>
        <v>0</v>
      </c>
      <c r="P132" s="233" t="str">
        <f t="shared" si="85"/>
        <v/>
      </c>
      <c r="Q132" s="233" t="str">
        <f t="shared" si="85"/>
        <v/>
      </c>
      <c r="R132" s="233" t="str">
        <f t="shared" si="85"/>
        <v/>
      </c>
      <c r="S132" s="233" t="str">
        <f t="shared" si="85"/>
        <v/>
      </c>
      <c r="T132" s="233" t="str">
        <f t="shared" si="85"/>
        <v/>
      </c>
      <c r="U132" s="233" t="str">
        <f t="shared" si="85"/>
        <v/>
      </c>
      <c r="V132" s="233" t="str">
        <f t="shared" si="85"/>
        <v/>
      </c>
      <c r="W132" s="233" t="str">
        <f t="shared" si="85"/>
        <v/>
      </c>
      <c r="X132" s="233" t="str">
        <f t="shared" si="85"/>
        <v/>
      </c>
      <c r="Y132" s="233" t="str">
        <f t="shared" si="85"/>
        <v/>
      </c>
      <c r="Z132" s="233" t="str">
        <f t="shared" si="85"/>
        <v/>
      </c>
      <c r="AA132" s="233" t="str">
        <f t="shared" si="85"/>
        <v/>
      </c>
      <c r="AB132" s="233" t="str">
        <f t="shared" si="85"/>
        <v/>
      </c>
    </row>
    <row r="133" spans="1:28" ht="18" customHeight="1" x14ac:dyDescent="0.25">
      <c r="A133" s="11" t="s">
        <v>270</v>
      </c>
      <c r="C133" s="233">
        <f t="shared" si="73"/>
        <v>1.4279373460617977E-3</v>
      </c>
      <c r="D133" s="233">
        <f t="shared" ref="D133:AB133" si="86">IFERROR((12.011*$AD64/$B32)*D64,"")</f>
        <v>4.729819274839832E-4</v>
      </c>
      <c r="E133" s="233">
        <f t="shared" si="86"/>
        <v>4.6189169617360951E-3</v>
      </c>
      <c r="F133" s="233">
        <f t="shared" si="86"/>
        <v>4.0646085231366294E-3</v>
      </c>
      <c r="G133" s="233">
        <f t="shared" si="86"/>
        <v>4.1714329020473562E-3</v>
      </c>
      <c r="H133" s="233">
        <f t="shared" si="86"/>
        <v>0</v>
      </c>
      <c r="I133" s="233">
        <f t="shared" si="86"/>
        <v>3.3858171691496896E-3</v>
      </c>
      <c r="J133" s="233">
        <f t="shared" si="86"/>
        <v>4.2149066918781622E-4</v>
      </c>
      <c r="K133" s="233">
        <f t="shared" si="86"/>
        <v>0</v>
      </c>
      <c r="L133" s="233">
        <f t="shared" si="86"/>
        <v>0</v>
      </c>
      <c r="M133" s="233">
        <f t="shared" si="86"/>
        <v>0</v>
      </c>
      <c r="N133" s="233">
        <f t="shared" si="86"/>
        <v>0</v>
      </c>
      <c r="O133" s="233">
        <f t="shared" si="86"/>
        <v>0</v>
      </c>
      <c r="P133" s="233" t="str">
        <f t="shared" si="86"/>
        <v/>
      </c>
      <c r="Q133" s="233" t="str">
        <f t="shared" si="86"/>
        <v/>
      </c>
      <c r="R133" s="233" t="str">
        <f t="shared" si="86"/>
        <v/>
      </c>
      <c r="S133" s="233" t="str">
        <f t="shared" si="86"/>
        <v/>
      </c>
      <c r="T133" s="233" t="str">
        <f t="shared" si="86"/>
        <v/>
      </c>
      <c r="U133" s="233" t="str">
        <f t="shared" si="86"/>
        <v/>
      </c>
      <c r="V133" s="233" t="str">
        <f t="shared" si="86"/>
        <v/>
      </c>
      <c r="W133" s="233" t="str">
        <f t="shared" si="86"/>
        <v/>
      </c>
      <c r="X133" s="233" t="str">
        <f t="shared" si="86"/>
        <v/>
      </c>
      <c r="Y133" s="233" t="str">
        <f t="shared" si="86"/>
        <v/>
      </c>
      <c r="Z133" s="233" t="str">
        <f t="shared" si="86"/>
        <v/>
      </c>
      <c r="AA133" s="233" t="str">
        <f t="shared" si="86"/>
        <v/>
      </c>
      <c r="AB133" s="233" t="str">
        <f t="shared" si="86"/>
        <v/>
      </c>
    </row>
    <row r="134" spans="1:28" ht="18" customHeight="1" x14ac:dyDescent="0.25">
      <c r="A134" s="11" t="s">
        <v>271</v>
      </c>
      <c r="C134" s="233">
        <f t="shared" si="73"/>
        <v>0</v>
      </c>
      <c r="D134" s="233">
        <f t="shared" ref="D134:AB134" si="87">IFERROR((12.011*$AD65/$B33)*D65,"")</f>
        <v>0</v>
      </c>
      <c r="E134" s="233">
        <f t="shared" si="87"/>
        <v>0</v>
      </c>
      <c r="F134" s="233">
        <f t="shared" si="87"/>
        <v>0</v>
      </c>
      <c r="G134" s="233">
        <f t="shared" si="87"/>
        <v>0</v>
      </c>
      <c r="H134" s="233">
        <f t="shared" si="87"/>
        <v>0</v>
      </c>
      <c r="I134" s="233">
        <f t="shared" si="87"/>
        <v>0</v>
      </c>
      <c r="J134" s="233">
        <f t="shared" si="87"/>
        <v>0</v>
      </c>
      <c r="K134" s="233">
        <f t="shared" si="87"/>
        <v>0</v>
      </c>
      <c r="L134" s="233">
        <f t="shared" si="87"/>
        <v>0</v>
      </c>
      <c r="M134" s="233">
        <f t="shared" si="87"/>
        <v>0</v>
      </c>
      <c r="N134" s="233">
        <f t="shared" si="87"/>
        <v>0</v>
      </c>
      <c r="O134" s="233">
        <f t="shared" si="87"/>
        <v>0</v>
      </c>
      <c r="P134" s="233" t="str">
        <f t="shared" si="87"/>
        <v/>
      </c>
      <c r="Q134" s="233" t="str">
        <f t="shared" si="87"/>
        <v/>
      </c>
      <c r="R134" s="233" t="str">
        <f t="shared" si="87"/>
        <v/>
      </c>
      <c r="S134" s="233" t="str">
        <f t="shared" si="87"/>
        <v/>
      </c>
      <c r="T134" s="233" t="str">
        <f t="shared" si="87"/>
        <v/>
      </c>
      <c r="U134" s="233" t="str">
        <f t="shared" si="87"/>
        <v/>
      </c>
      <c r="V134" s="233" t="str">
        <f t="shared" si="87"/>
        <v/>
      </c>
      <c r="W134" s="233" t="str">
        <f t="shared" si="87"/>
        <v/>
      </c>
      <c r="X134" s="233" t="str">
        <f t="shared" si="87"/>
        <v/>
      </c>
      <c r="Y134" s="233" t="str">
        <f t="shared" si="87"/>
        <v/>
      </c>
      <c r="Z134" s="233" t="str">
        <f t="shared" si="87"/>
        <v/>
      </c>
      <c r="AA134" s="233" t="str">
        <f t="shared" si="87"/>
        <v/>
      </c>
      <c r="AB134" s="233" t="str">
        <f t="shared" si="87"/>
        <v/>
      </c>
    </row>
    <row r="135" spans="1:28" ht="18" customHeight="1" x14ac:dyDescent="0.25">
      <c r="A135" s="11" t="s">
        <v>272</v>
      </c>
      <c r="C135" s="233">
        <f t="shared" si="73"/>
        <v>0</v>
      </c>
      <c r="D135" s="233">
        <f t="shared" ref="D135:AB135" si="88">IFERROR((12.011*$AD66/$B34)*D66,"")</f>
        <v>0</v>
      </c>
      <c r="E135" s="233">
        <f t="shared" si="88"/>
        <v>0</v>
      </c>
      <c r="F135" s="233">
        <f t="shared" si="88"/>
        <v>0</v>
      </c>
      <c r="G135" s="233">
        <f t="shared" si="88"/>
        <v>0</v>
      </c>
      <c r="H135" s="233">
        <f t="shared" si="88"/>
        <v>0</v>
      </c>
      <c r="I135" s="233">
        <f t="shared" si="88"/>
        <v>0</v>
      </c>
      <c r="J135" s="233">
        <f t="shared" si="88"/>
        <v>0</v>
      </c>
      <c r="K135" s="233">
        <f t="shared" si="88"/>
        <v>0</v>
      </c>
      <c r="L135" s="233">
        <f t="shared" si="88"/>
        <v>0</v>
      </c>
      <c r="M135" s="233">
        <f t="shared" si="88"/>
        <v>0</v>
      </c>
      <c r="N135" s="233">
        <f t="shared" si="88"/>
        <v>0</v>
      </c>
      <c r="O135" s="233">
        <f t="shared" si="88"/>
        <v>0</v>
      </c>
      <c r="P135" s="233" t="str">
        <f t="shared" si="88"/>
        <v/>
      </c>
      <c r="Q135" s="233" t="str">
        <f t="shared" si="88"/>
        <v/>
      </c>
      <c r="R135" s="233" t="str">
        <f t="shared" si="88"/>
        <v/>
      </c>
      <c r="S135" s="233" t="str">
        <f t="shared" si="88"/>
        <v/>
      </c>
      <c r="T135" s="233" t="str">
        <f t="shared" si="88"/>
        <v/>
      </c>
      <c r="U135" s="233" t="str">
        <f t="shared" si="88"/>
        <v/>
      </c>
      <c r="V135" s="233" t="str">
        <f t="shared" si="88"/>
        <v/>
      </c>
      <c r="W135" s="233" t="str">
        <f t="shared" si="88"/>
        <v/>
      </c>
      <c r="X135" s="233" t="str">
        <f t="shared" si="88"/>
        <v/>
      </c>
      <c r="Y135" s="233" t="str">
        <f t="shared" si="88"/>
        <v/>
      </c>
      <c r="Z135" s="233" t="str">
        <f t="shared" si="88"/>
        <v/>
      </c>
      <c r="AA135" s="233" t="str">
        <f t="shared" si="88"/>
        <v/>
      </c>
      <c r="AB135" s="233" t="str">
        <f t="shared" si="88"/>
        <v/>
      </c>
    </row>
    <row r="136" spans="1:28" ht="18" customHeight="1" x14ac:dyDescent="0.25">
      <c r="A136" s="11" t="s">
        <v>273</v>
      </c>
      <c r="C136" s="233">
        <f t="shared" si="73"/>
        <v>0</v>
      </c>
      <c r="D136" s="233">
        <f t="shared" ref="D136:AB136" si="89">IFERROR((12.011*$AD67/$B35)*D67,"")</f>
        <v>0</v>
      </c>
      <c r="E136" s="233">
        <f t="shared" si="89"/>
        <v>0</v>
      </c>
      <c r="F136" s="233">
        <f t="shared" si="89"/>
        <v>0</v>
      </c>
      <c r="G136" s="233">
        <f t="shared" si="89"/>
        <v>0</v>
      </c>
      <c r="H136" s="233">
        <f t="shared" si="89"/>
        <v>0</v>
      </c>
      <c r="I136" s="233">
        <f t="shared" si="89"/>
        <v>0</v>
      </c>
      <c r="J136" s="233">
        <f t="shared" si="89"/>
        <v>0</v>
      </c>
      <c r="K136" s="233">
        <f t="shared" si="89"/>
        <v>0</v>
      </c>
      <c r="L136" s="233">
        <f t="shared" si="89"/>
        <v>0</v>
      </c>
      <c r="M136" s="233">
        <f t="shared" si="89"/>
        <v>0</v>
      </c>
      <c r="N136" s="233">
        <f t="shared" si="89"/>
        <v>0</v>
      </c>
      <c r="O136" s="233">
        <f t="shared" si="89"/>
        <v>0</v>
      </c>
      <c r="P136" s="233" t="str">
        <f t="shared" si="89"/>
        <v/>
      </c>
      <c r="Q136" s="233" t="str">
        <f t="shared" si="89"/>
        <v/>
      </c>
      <c r="R136" s="233" t="str">
        <f t="shared" si="89"/>
        <v/>
      </c>
      <c r="S136" s="233" t="str">
        <f t="shared" si="89"/>
        <v/>
      </c>
      <c r="T136" s="233" t="str">
        <f t="shared" si="89"/>
        <v/>
      </c>
      <c r="U136" s="233" t="str">
        <f t="shared" si="89"/>
        <v/>
      </c>
      <c r="V136" s="233" t="str">
        <f t="shared" si="89"/>
        <v/>
      </c>
      <c r="W136" s="233" t="str">
        <f t="shared" si="89"/>
        <v/>
      </c>
      <c r="X136" s="233" t="str">
        <f t="shared" si="89"/>
        <v/>
      </c>
      <c r="Y136" s="233" t="str">
        <f t="shared" si="89"/>
        <v/>
      </c>
      <c r="Z136" s="233" t="str">
        <f t="shared" si="89"/>
        <v/>
      </c>
      <c r="AA136" s="233" t="str">
        <f t="shared" si="89"/>
        <v/>
      </c>
      <c r="AB136" s="233" t="str">
        <f t="shared" si="89"/>
        <v/>
      </c>
    </row>
    <row r="137" spans="1:28" ht="18" customHeight="1" x14ac:dyDescent="0.25">
      <c r="A137" s="11" t="s">
        <v>274</v>
      </c>
      <c r="C137" s="233">
        <f t="shared" si="73"/>
        <v>0</v>
      </c>
      <c r="D137" s="233">
        <f t="shared" ref="D137:AB137" si="90">IFERROR((12.011*$AD68/$B36)*D68,"")</f>
        <v>0</v>
      </c>
      <c r="E137" s="233">
        <f t="shared" si="90"/>
        <v>0</v>
      </c>
      <c r="F137" s="233">
        <f t="shared" si="90"/>
        <v>0</v>
      </c>
      <c r="G137" s="233">
        <f t="shared" si="90"/>
        <v>0</v>
      </c>
      <c r="H137" s="233">
        <f t="shared" si="90"/>
        <v>0</v>
      </c>
      <c r="I137" s="233">
        <f t="shared" si="90"/>
        <v>0</v>
      </c>
      <c r="J137" s="233">
        <f t="shared" si="90"/>
        <v>0</v>
      </c>
      <c r="K137" s="233">
        <f t="shared" si="90"/>
        <v>0</v>
      </c>
      <c r="L137" s="233">
        <f t="shared" si="90"/>
        <v>0</v>
      </c>
      <c r="M137" s="233">
        <f t="shared" si="90"/>
        <v>0</v>
      </c>
      <c r="N137" s="233">
        <f t="shared" si="90"/>
        <v>0</v>
      </c>
      <c r="O137" s="233">
        <f t="shared" si="90"/>
        <v>0</v>
      </c>
      <c r="P137" s="233" t="str">
        <f t="shared" si="90"/>
        <v/>
      </c>
      <c r="Q137" s="233" t="str">
        <f t="shared" si="90"/>
        <v/>
      </c>
      <c r="R137" s="233" t="str">
        <f t="shared" si="90"/>
        <v/>
      </c>
      <c r="S137" s="233" t="str">
        <f t="shared" si="90"/>
        <v/>
      </c>
      <c r="T137" s="233" t="str">
        <f t="shared" si="90"/>
        <v/>
      </c>
      <c r="U137" s="233" t="str">
        <f t="shared" si="90"/>
        <v/>
      </c>
      <c r="V137" s="233" t="str">
        <f t="shared" si="90"/>
        <v/>
      </c>
      <c r="W137" s="233" t="str">
        <f t="shared" si="90"/>
        <v/>
      </c>
      <c r="X137" s="233" t="str">
        <f t="shared" si="90"/>
        <v/>
      </c>
      <c r="Y137" s="233" t="str">
        <f t="shared" si="90"/>
        <v/>
      </c>
      <c r="Z137" s="233" t="str">
        <f t="shared" si="90"/>
        <v/>
      </c>
      <c r="AA137" s="233" t="str">
        <f t="shared" si="90"/>
        <v/>
      </c>
      <c r="AB137" s="233" t="str">
        <f t="shared" si="90"/>
        <v/>
      </c>
    </row>
    <row r="138" spans="1:28" ht="18" customHeight="1" x14ac:dyDescent="0.25">
      <c r="A138" s="11" t="s">
        <v>275</v>
      </c>
      <c r="C138" s="233">
        <f t="shared" si="73"/>
        <v>1.2875618061619097E-4</v>
      </c>
      <c r="D138" s="233">
        <f t="shared" ref="D138:AB138" si="91">IFERROR((12.011*$AD69/$B37)*D69,"")</f>
        <v>2.0596877877181974E-4</v>
      </c>
      <c r="E138" s="233">
        <f t="shared" si="91"/>
        <v>6.458095117541201E-4</v>
      </c>
      <c r="F138" s="233">
        <f t="shared" si="91"/>
        <v>4.1480559932885621E-4</v>
      </c>
      <c r="G138" s="233">
        <f t="shared" si="91"/>
        <v>2.7849027753949562E-4</v>
      </c>
      <c r="H138" s="233">
        <f t="shared" si="91"/>
        <v>0</v>
      </c>
      <c r="I138" s="233">
        <f t="shared" si="91"/>
        <v>0</v>
      </c>
      <c r="J138" s="233">
        <f t="shared" si="91"/>
        <v>0</v>
      </c>
      <c r="K138" s="233">
        <f t="shared" si="91"/>
        <v>0</v>
      </c>
      <c r="L138" s="233">
        <f t="shared" si="91"/>
        <v>0</v>
      </c>
      <c r="M138" s="233">
        <f t="shared" si="91"/>
        <v>0</v>
      </c>
      <c r="N138" s="233">
        <f t="shared" si="91"/>
        <v>0</v>
      </c>
      <c r="O138" s="233">
        <f t="shared" si="91"/>
        <v>0</v>
      </c>
      <c r="P138" s="233" t="str">
        <f t="shared" si="91"/>
        <v/>
      </c>
      <c r="Q138" s="233" t="str">
        <f t="shared" si="91"/>
        <v/>
      </c>
      <c r="R138" s="233" t="str">
        <f t="shared" si="91"/>
        <v/>
      </c>
      <c r="S138" s="233" t="str">
        <f t="shared" si="91"/>
        <v/>
      </c>
      <c r="T138" s="233" t="str">
        <f t="shared" si="91"/>
        <v/>
      </c>
      <c r="U138" s="233" t="str">
        <f t="shared" si="91"/>
        <v/>
      </c>
      <c r="V138" s="233" t="str">
        <f t="shared" si="91"/>
        <v/>
      </c>
      <c r="W138" s="233" t="str">
        <f t="shared" si="91"/>
        <v/>
      </c>
      <c r="X138" s="233" t="str">
        <f t="shared" si="91"/>
        <v/>
      </c>
      <c r="Y138" s="233" t="str">
        <f t="shared" si="91"/>
        <v/>
      </c>
      <c r="Z138" s="233" t="str">
        <f t="shared" si="91"/>
        <v/>
      </c>
      <c r="AA138" s="233" t="str">
        <f t="shared" si="91"/>
        <v/>
      </c>
      <c r="AB138" s="233" t="str">
        <f t="shared" si="91"/>
        <v/>
      </c>
    </row>
    <row r="139" spans="1:28" ht="18" customHeight="1" x14ac:dyDescent="0.25">
      <c r="A139" s="11" t="s">
        <v>276</v>
      </c>
      <c r="C139" s="233">
        <f t="shared" si="73"/>
        <v>0</v>
      </c>
      <c r="D139" s="233">
        <f t="shared" ref="D139:AB139" si="92">IFERROR((12.011*$AD70/$B38)*D70,"")</f>
        <v>0</v>
      </c>
      <c r="E139" s="233">
        <f t="shared" si="92"/>
        <v>0</v>
      </c>
      <c r="F139" s="233">
        <f t="shared" si="92"/>
        <v>0</v>
      </c>
      <c r="G139" s="233">
        <f t="shared" si="92"/>
        <v>0</v>
      </c>
      <c r="H139" s="233">
        <f t="shared" si="92"/>
        <v>0</v>
      </c>
      <c r="I139" s="233">
        <f t="shared" si="92"/>
        <v>0</v>
      </c>
      <c r="J139" s="233">
        <f t="shared" si="92"/>
        <v>0</v>
      </c>
      <c r="K139" s="233">
        <f t="shared" si="92"/>
        <v>0</v>
      </c>
      <c r="L139" s="233">
        <f t="shared" si="92"/>
        <v>0</v>
      </c>
      <c r="M139" s="233">
        <f t="shared" si="92"/>
        <v>0</v>
      </c>
      <c r="N139" s="233">
        <f t="shared" si="92"/>
        <v>0</v>
      </c>
      <c r="O139" s="233">
        <f t="shared" si="92"/>
        <v>0</v>
      </c>
      <c r="P139" s="233" t="str">
        <f t="shared" si="92"/>
        <v/>
      </c>
      <c r="Q139" s="233" t="str">
        <f t="shared" si="92"/>
        <v/>
      </c>
      <c r="R139" s="233" t="str">
        <f t="shared" si="92"/>
        <v/>
      </c>
      <c r="S139" s="233" t="str">
        <f t="shared" si="92"/>
        <v/>
      </c>
      <c r="T139" s="233" t="str">
        <f t="shared" si="92"/>
        <v/>
      </c>
      <c r="U139" s="233" t="str">
        <f t="shared" si="92"/>
        <v/>
      </c>
      <c r="V139" s="233" t="str">
        <f t="shared" si="92"/>
        <v/>
      </c>
      <c r="W139" s="233" t="str">
        <f t="shared" si="92"/>
        <v/>
      </c>
      <c r="X139" s="233" t="str">
        <f t="shared" si="92"/>
        <v/>
      </c>
      <c r="Y139" s="233" t="str">
        <f t="shared" si="92"/>
        <v/>
      </c>
      <c r="Z139" s="233" t="str">
        <f t="shared" si="92"/>
        <v/>
      </c>
      <c r="AA139" s="233" t="str">
        <f t="shared" si="92"/>
        <v/>
      </c>
      <c r="AB139" s="233" t="str">
        <f t="shared" si="92"/>
        <v/>
      </c>
    </row>
    <row r="140" spans="1:28" ht="18" customHeight="1" x14ac:dyDescent="0.25">
      <c r="A140" s="11" t="s">
        <v>277</v>
      </c>
      <c r="C140" s="233">
        <f t="shared" si="73"/>
        <v>3.02886240386577E-4</v>
      </c>
      <c r="D140" s="233">
        <f t="shared" ref="D140:AB140" si="93">IFERROR((12.011*$AD71/$B39)*D71,"")</f>
        <v>0</v>
      </c>
      <c r="E140" s="233">
        <f t="shared" si="93"/>
        <v>1.315846456259396E-3</v>
      </c>
      <c r="F140" s="233">
        <f t="shared" si="93"/>
        <v>1.1400754635673004E-3</v>
      </c>
      <c r="G140" s="233">
        <f t="shared" si="93"/>
        <v>1.1787129648122277E-3</v>
      </c>
      <c r="H140" s="233">
        <f t="shared" si="93"/>
        <v>0</v>
      </c>
      <c r="I140" s="233">
        <f t="shared" si="93"/>
        <v>0</v>
      </c>
      <c r="J140" s="233">
        <f t="shared" si="93"/>
        <v>0</v>
      </c>
      <c r="K140" s="233">
        <f t="shared" si="93"/>
        <v>0</v>
      </c>
      <c r="L140" s="233">
        <f t="shared" si="93"/>
        <v>0</v>
      </c>
      <c r="M140" s="233">
        <f t="shared" si="93"/>
        <v>0</v>
      </c>
      <c r="N140" s="233">
        <f t="shared" si="93"/>
        <v>0</v>
      </c>
      <c r="O140" s="233">
        <f t="shared" si="93"/>
        <v>0</v>
      </c>
      <c r="P140" s="233" t="str">
        <f t="shared" si="93"/>
        <v/>
      </c>
      <c r="Q140" s="233" t="str">
        <f t="shared" si="93"/>
        <v/>
      </c>
      <c r="R140" s="233" t="str">
        <f t="shared" si="93"/>
        <v/>
      </c>
      <c r="S140" s="233" t="str">
        <f t="shared" si="93"/>
        <v/>
      </c>
      <c r="T140" s="233" t="str">
        <f t="shared" si="93"/>
        <v/>
      </c>
      <c r="U140" s="233" t="str">
        <f t="shared" si="93"/>
        <v/>
      </c>
      <c r="V140" s="233" t="str">
        <f t="shared" si="93"/>
        <v/>
      </c>
      <c r="W140" s="233" t="str">
        <f t="shared" si="93"/>
        <v/>
      </c>
      <c r="X140" s="233" t="str">
        <f t="shared" si="93"/>
        <v/>
      </c>
      <c r="Y140" s="233" t="str">
        <f t="shared" si="93"/>
        <v/>
      </c>
      <c r="Z140" s="233" t="str">
        <f t="shared" si="93"/>
        <v/>
      </c>
      <c r="AA140" s="233" t="str">
        <f t="shared" si="93"/>
        <v/>
      </c>
      <c r="AB140" s="233" t="str">
        <f t="shared" si="93"/>
        <v/>
      </c>
    </row>
    <row r="141" spans="1:28" ht="18" customHeight="1" x14ac:dyDescent="0.25">
      <c r="A141" s="11" t="s">
        <v>278</v>
      </c>
      <c r="C141" s="233">
        <f t="shared" si="73"/>
        <v>0</v>
      </c>
      <c r="D141" s="233">
        <f t="shared" ref="D141:AB141" si="94">IFERROR((12.011*$AD72/$B40)*D72,"")</f>
        <v>0</v>
      </c>
      <c r="E141" s="233">
        <f t="shared" si="94"/>
        <v>0</v>
      </c>
      <c r="F141" s="233">
        <f t="shared" si="94"/>
        <v>0</v>
      </c>
      <c r="G141" s="233">
        <f t="shared" si="94"/>
        <v>0</v>
      </c>
      <c r="H141" s="233">
        <f t="shared" si="94"/>
        <v>0</v>
      </c>
      <c r="I141" s="233">
        <f t="shared" si="94"/>
        <v>0</v>
      </c>
      <c r="J141" s="233">
        <f t="shared" si="94"/>
        <v>0</v>
      </c>
      <c r="K141" s="233">
        <f t="shared" si="94"/>
        <v>0</v>
      </c>
      <c r="L141" s="233">
        <f t="shared" si="94"/>
        <v>0</v>
      </c>
      <c r="M141" s="233">
        <f t="shared" si="94"/>
        <v>0</v>
      </c>
      <c r="N141" s="233">
        <f t="shared" si="94"/>
        <v>0</v>
      </c>
      <c r="O141" s="233">
        <f t="shared" si="94"/>
        <v>0</v>
      </c>
      <c r="P141" s="233" t="str">
        <f t="shared" si="94"/>
        <v/>
      </c>
      <c r="Q141" s="233" t="str">
        <f t="shared" si="94"/>
        <v/>
      </c>
      <c r="R141" s="233" t="str">
        <f t="shared" si="94"/>
        <v/>
      </c>
      <c r="S141" s="233" t="str">
        <f t="shared" si="94"/>
        <v/>
      </c>
      <c r="T141" s="233" t="str">
        <f t="shared" si="94"/>
        <v/>
      </c>
      <c r="U141" s="233" t="str">
        <f t="shared" si="94"/>
        <v/>
      </c>
      <c r="V141" s="233" t="str">
        <f t="shared" si="94"/>
        <v/>
      </c>
      <c r="W141" s="233" t="str">
        <f t="shared" si="94"/>
        <v/>
      </c>
      <c r="X141" s="233" t="str">
        <f t="shared" si="94"/>
        <v/>
      </c>
      <c r="Y141" s="233" t="str">
        <f t="shared" si="94"/>
        <v/>
      </c>
      <c r="Z141" s="233" t="str">
        <f t="shared" si="94"/>
        <v/>
      </c>
      <c r="AA141" s="233" t="str">
        <f t="shared" si="94"/>
        <v/>
      </c>
      <c r="AB141" s="233" t="str">
        <f t="shared" si="94"/>
        <v/>
      </c>
    </row>
    <row r="142" spans="1:28" ht="18" customHeight="1" x14ac:dyDescent="0.25">
      <c r="A142" s="11" t="s">
        <v>279</v>
      </c>
      <c r="C142" s="233">
        <f t="shared" si="73"/>
        <v>0</v>
      </c>
      <c r="D142" s="233">
        <f t="shared" ref="D142:AB142" si="95">IFERROR((12.011*$AD73/$B41)*D73,"")</f>
        <v>0</v>
      </c>
      <c r="E142" s="233">
        <f t="shared" si="95"/>
        <v>0</v>
      </c>
      <c r="F142" s="233">
        <f t="shared" si="95"/>
        <v>0</v>
      </c>
      <c r="G142" s="233">
        <f t="shared" si="95"/>
        <v>0</v>
      </c>
      <c r="H142" s="233">
        <f t="shared" si="95"/>
        <v>0</v>
      </c>
      <c r="I142" s="233">
        <f t="shared" si="95"/>
        <v>0</v>
      </c>
      <c r="J142" s="233">
        <f t="shared" si="95"/>
        <v>0</v>
      </c>
      <c r="K142" s="233">
        <f t="shared" si="95"/>
        <v>0</v>
      </c>
      <c r="L142" s="233">
        <f t="shared" si="95"/>
        <v>0</v>
      </c>
      <c r="M142" s="233">
        <f t="shared" si="95"/>
        <v>0</v>
      </c>
      <c r="N142" s="233">
        <f t="shared" si="95"/>
        <v>0</v>
      </c>
      <c r="O142" s="233">
        <f t="shared" si="95"/>
        <v>0</v>
      </c>
      <c r="P142" s="233" t="str">
        <f t="shared" si="95"/>
        <v/>
      </c>
      <c r="Q142" s="233" t="str">
        <f t="shared" si="95"/>
        <v/>
      </c>
      <c r="R142" s="233" t="str">
        <f t="shared" si="95"/>
        <v/>
      </c>
      <c r="S142" s="233" t="str">
        <f t="shared" si="95"/>
        <v/>
      </c>
      <c r="T142" s="233" t="str">
        <f t="shared" si="95"/>
        <v/>
      </c>
      <c r="U142" s="233" t="str">
        <f t="shared" si="95"/>
        <v/>
      </c>
      <c r="V142" s="233" t="str">
        <f t="shared" si="95"/>
        <v/>
      </c>
      <c r="W142" s="233" t="str">
        <f t="shared" si="95"/>
        <v/>
      </c>
      <c r="X142" s="233" t="str">
        <f t="shared" si="95"/>
        <v/>
      </c>
      <c r="Y142" s="233" t="str">
        <f t="shared" si="95"/>
        <v/>
      </c>
      <c r="Z142" s="233" t="str">
        <f t="shared" si="95"/>
        <v/>
      </c>
      <c r="AA142" s="233" t="str">
        <f t="shared" si="95"/>
        <v/>
      </c>
      <c r="AB142" s="233" t="str">
        <f t="shared" si="95"/>
        <v/>
      </c>
    </row>
    <row r="143" spans="1:28" ht="18" customHeight="1" x14ac:dyDescent="0.25">
      <c r="A143" s="11" t="s">
        <v>280</v>
      </c>
      <c r="C143" s="233">
        <f t="shared" si="73"/>
        <v>0</v>
      </c>
      <c r="D143" s="233">
        <f t="shared" ref="D143:AB143" si="96">IFERROR((12.011*$AD74/$B42)*D74,"")</f>
        <v>0</v>
      </c>
      <c r="E143" s="233">
        <f t="shared" si="96"/>
        <v>0</v>
      </c>
      <c r="F143" s="233">
        <f t="shared" si="96"/>
        <v>0</v>
      </c>
      <c r="G143" s="233">
        <f t="shared" si="96"/>
        <v>0</v>
      </c>
      <c r="H143" s="233">
        <f t="shared" si="96"/>
        <v>0</v>
      </c>
      <c r="I143" s="233">
        <f t="shared" si="96"/>
        <v>0</v>
      </c>
      <c r="J143" s="233">
        <f t="shared" si="96"/>
        <v>0</v>
      </c>
      <c r="K143" s="233">
        <f t="shared" si="96"/>
        <v>0</v>
      </c>
      <c r="L143" s="233">
        <f t="shared" si="96"/>
        <v>0</v>
      </c>
      <c r="M143" s="233">
        <f t="shared" si="96"/>
        <v>0</v>
      </c>
      <c r="N143" s="233">
        <f t="shared" si="96"/>
        <v>0</v>
      </c>
      <c r="O143" s="233">
        <f t="shared" si="96"/>
        <v>0</v>
      </c>
      <c r="P143" s="233" t="str">
        <f t="shared" si="96"/>
        <v/>
      </c>
      <c r="Q143" s="233" t="str">
        <f t="shared" si="96"/>
        <v/>
      </c>
      <c r="R143" s="233" t="str">
        <f t="shared" si="96"/>
        <v/>
      </c>
      <c r="S143" s="233" t="str">
        <f t="shared" si="96"/>
        <v/>
      </c>
      <c r="T143" s="233" t="str">
        <f t="shared" si="96"/>
        <v/>
      </c>
      <c r="U143" s="233" t="str">
        <f t="shared" si="96"/>
        <v/>
      </c>
      <c r="V143" s="233" t="str">
        <f t="shared" si="96"/>
        <v/>
      </c>
      <c r="W143" s="233" t="str">
        <f t="shared" si="96"/>
        <v/>
      </c>
      <c r="X143" s="233" t="str">
        <f t="shared" si="96"/>
        <v/>
      </c>
      <c r="Y143" s="233" t="str">
        <f t="shared" si="96"/>
        <v/>
      </c>
      <c r="Z143" s="233" t="str">
        <f t="shared" si="96"/>
        <v/>
      </c>
      <c r="AA143" s="233" t="str">
        <f t="shared" si="96"/>
        <v/>
      </c>
      <c r="AB143" s="233" t="str">
        <f t="shared" si="96"/>
        <v/>
      </c>
    </row>
    <row r="144" spans="1:28" ht="18" customHeight="1" x14ac:dyDescent="0.25">
      <c r="A144" s="11" t="s">
        <v>281</v>
      </c>
      <c r="C144" s="233">
        <f t="shared" si="73"/>
        <v>0</v>
      </c>
      <c r="D144" s="233">
        <f t="shared" ref="D144:AB144" si="97">IFERROR((12.011*$AD75/$B43)*D75,"")</f>
        <v>0</v>
      </c>
      <c r="E144" s="233">
        <f t="shared" si="97"/>
        <v>0</v>
      </c>
      <c r="F144" s="233">
        <f t="shared" si="97"/>
        <v>0</v>
      </c>
      <c r="G144" s="233">
        <f t="shared" si="97"/>
        <v>0</v>
      </c>
      <c r="H144" s="233">
        <f t="shared" si="97"/>
        <v>0</v>
      </c>
      <c r="I144" s="233">
        <f t="shared" si="97"/>
        <v>0</v>
      </c>
      <c r="J144" s="233">
        <f t="shared" si="97"/>
        <v>0</v>
      </c>
      <c r="K144" s="233">
        <f t="shared" si="97"/>
        <v>0</v>
      </c>
      <c r="L144" s="233">
        <f t="shared" si="97"/>
        <v>0</v>
      </c>
      <c r="M144" s="233">
        <f t="shared" si="97"/>
        <v>0</v>
      </c>
      <c r="N144" s="233">
        <f t="shared" si="97"/>
        <v>0</v>
      </c>
      <c r="O144" s="233">
        <f t="shared" si="97"/>
        <v>0</v>
      </c>
      <c r="P144" s="233" t="str">
        <f t="shared" si="97"/>
        <v/>
      </c>
      <c r="Q144" s="233" t="str">
        <f t="shared" si="97"/>
        <v/>
      </c>
      <c r="R144" s="233" t="str">
        <f t="shared" si="97"/>
        <v/>
      </c>
      <c r="S144" s="233" t="str">
        <f t="shared" si="97"/>
        <v/>
      </c>
      <c r="T144" s="233" t="str">
        <f t="shared" si="97"/>
        <v/>
      </c>
      <c r="U144" s="233" t="str">
        <f t="shared" si="97"/>
        <v/>
      </c>
      <c r="V144" s="233" t="str">
        <f t="shared" si="97"/>
        <v/>
      </c>
      <c r="W144" s="233" t="str">
        <f t="shared" si="97"/>
        <v/>
      </c>
      <c r="X144" s="233" t="str">
        <f t="shared" si="97"/>
        <v/>
      </c>
      <c r="Y144" s="233" t="str">
        <f t="shared" si="97"/>
        <v/>
      </c>
      <c r="Z144" s="233" t="str">
        <f t="shared" si="97"/>
        <v/>
      </c>
      <c r="AA144" s="233" t="str">
        <f t="shared" si="97"/>
        <v/>
      </c>
      <c r="AB144" s="233" t="str">
        <f t="shared" si="97"/>
        <v/>
      </c>
    </row>
    <row r="145" spans="1:28" ht="18" customHeight="1" x14ac:dyDescent="0.25">
      <c r="A145" s="11" t="s">
        <v>282</v>
      </c>
      <c r="C145" s="233">
        <f t="shared" si="73"/>
        <v>0</v>
      </c>
      <c r="D145" s="233">
        <f t="shared" ref="D145:AB145" si="98">IFERROR((12.011*$AD76/$B44)*D76,"")</f>
        <v>0</v>
      </c>
      <c r="E145" s="233">
        <f t="shared" si="98"/>
        <v>0</v>
      </c>
      <c r="F145" s="233">
        <f t="shared" si="98"/>
        <v>0</v>
      </c>
      <c r="G145" s="233">
        <f t="shared" si="98"/>
        <v>0</v>
      </c>
      <c r="H145" s="233">
        <f t="shared" si="98"/>
        <v>0</v>
      </c>
      <c r="I145" s="233">
        <f t="shared" si="98"/>
        <v>0</v>
      </c>
      <c r="J145" s="233">
        <f t="shared" si="98"/>
        <v>0</v>
      </c>
      <c r="K145" s="233">
        <f t="shared" si="98"/>
        <v>0</v>
      </c>
      <c r="L145" s="233">
        <f t="shared" si="98"/>
        <v>0</v>
      </c>
      <c r="M145" s="233">
        <f t="shared" si="98"/>
        <v>0</v>
      </c>
      <c r="N145" s="233">
        <f t="shared" si="98"/>
        <v>0</v>
      </c>
      <c r="O145" s="233">
        <f t="shared" si="98"/>
        <v>0</v>
      </c>
      <c r="P145" s="233" t="str">
        <f t="shared" si="98"/>
        <v/>
      </c>
      <c r="Q145" s="233" t="str">
        <f t="shared" si="98"/>
        <v/>
      </c>
      <c r="R145" s="233" t="str">
        <f t="shared" si="98"/>
        <v/>
      </c>
      <c r="S145" s="233" t="str">
        <f t="shared" si="98"/>
        <v/>
      </c>
      <c r="T145" s="233" t="str">
        <f t="shared" si="98"/>
        <v/>
      </c>
      <c r="U145" s="233" t="str">
        <f t="shared" si="98"/>
        <v/>
      </c>
      <c r="V145" s="233" t="str">
        <f t="shared" si="98"/>
        <v/>
      </c>
      <c r="W145" s="233" t="str">
        <f t="shared" si="98"/>
        <v/>
      </c>
      <c r="X145" s="233" t="str">
        <f t="shared" si="98"/>
        <v/>
      </c>
      <c r="Y145" s="233" t="str">
        <f t="shared" si="98"/>
        <v/>
      </c>
      <c r="Z145" s="233" t="str">
        <f t="shared" si="98"/>
        <v/>
      </c>
      <c r="AA145" s="233" t="str">
        <f t="shared" si="98"/>
        <v/>
      </c>
      <c r="AB145" s="233" t="str">
        <f t="shared" si="98"/>
        <v/>
      </c>
    </row>
    <row r="146" spans="1:28" ht="18" customHeight="1" x14ac:dyDescent="0.25">
      <c r="A146" s="11" t="s">
        <v>283</v>
      </c>
      <c r="C146" s="233">
        <f t="shared" si="73"/>
        <v>0</v>
      </c>
      <c r="D146" s="233">
        <f t="shared" ref="D146:AB146" si="99">IFERROR((12.011*$AD77/$B45)*D77,"")</f>
        <v>0</v>
      </c>
      <c r="E146" s="233">
        <f t="shared" si="99"/>
        <v>0</v>
      </c>
      <c r="F146" s="233">
        <f t="shared" si="99"/>
        <v>0</v>
      </c>
      <c r="G146" s="233">
        <f t="shared" si="99"/>
        <v>0</v>
      </c>
      <c r="H146" s="233">
        <f t="shared" si="99"/>
        <v>0</v>
      </c>
      <c r="I146" s="233">
        <f t="shared" si="99"/>
        <v>0</v>
      </c>
      <c r="J146" s="233">
        <f t="shared" si="99"/>
        <v>0</v>
      </c>
      <c r="K146" s="233">
        <f t="shared" si="99"/>
        <v>0</v>
      </c>
      <c r="L146" s="233">
        <f t="shared" si="99"/>
        <v>0</v>
      </c>
      <c r="M146" s="233">
        <f t="shared" si="99"/>
        <v>0</v>
      </c>
      <c r="N146" s="233">
        <f t="shared" si="99"/>
        <v>0</v>
      </c>
      <c r="O146" s="233">
        <f t="shared" si="99"/>
        <v>0</v>
      </c>
      <c r="P146" s="233" t="str">
        <f t="shared" si="99"/>
        <v/>
      </c>
      <c r="Q146" s="233" t="str">
        <f t="shared" si="99"/>
        <v/>
      </c>
      <c r="R146" s="233" t="str">
        <f t="shared" si="99"/>
        <v/>
      </c>
      <c r="S146" s="233" t="str">
        <f t="shared" si="99"/>
        <v/>
      </c>
      <c r="T146" s="233" t="str">
        <f t="shared" si="99"/>
        <v/>
      </c>
      <c r="U146" s="233" t="str">
        <f t="shared" si="99"/>
        <v/>
      </c>
      <c r="V146" s="233" t="str">
        <f t="shared" si="99"/>
        <v/>
      </c>
      <c r="W146" s="233" t="str">
        <f t="shared" si="99"/>
        <v/>
      </c>
      <c r="X146" s="233" t="str">
        <f t="shared" si="99"/>
        <v/>
      </c>
      <c r="Y146" s="233" t="str">
        <f t="shared" si="99"/>
        <v/>
      </c>
      <c r="Z146" s="233" t="str">
        <f t="shared" si="99"/>
        <v/>
      </c>
      <c r="AA146" s="233" t="str">
        <f t="shared" si="99"/>
        <v/>
      </c>
      <c r="AB146" s="233" t="str">
        <f t="shared" si="99"/>
        <v/>
      </c>
    </row>
    <row r="147" spans="1:28" ht="18" customHeight="1" x14ac:dyDescent="0.25">
      <c r="A147" s="11" t="s">
        <v>284</v>
      </c>
      <c r="C147" s="233">
        <f t="shared" si="73"/>
        <v>0.25731129525318314</v>
      </c>
      <c r="D147" s="233">
        <f t="shared" ref="D147:AB147" si="100">IFERROR((12.011*$AD78/$B46)*D78,"")</f>
        <v>0.1978047286164363</v>
      </c>
      <c r="E147" s="233">
        <f t="shared" si="100"/>
        <v>0.26416998956116594</v>
      </c>
      <c r="F147" s="233">
        <f t="shared" si="100"/>
        <v>0.2655334656538671</v>
      </c>
      <c r="G147" s="233">
        <f t="shared" si="100"/>
        <v>0.26467428828027711</v>
      </c>
      <c r="H147" s="233">
        <f t="shared" si="100"/>
        <v>0.27309163482365784</v>
      </c>
      <c r="I147" s="233">
        <f t="shared" si="100"/>
        <v>0.27121308532283295</v>
      </c>
      <c r="J147" s="233">
        <f t="shared" si="100"/>
        <v>0.27659020091130698</v>
      </c>
      <c r="K147" s="233">
        <f t="shared" si="100"/>
        <v>0.27459891243069684</v>
      </c>
      <c r="L147" s="233">
        <f t="shared" si="100"/>
        <v>0.24960260866875286</v>
      </c>
      <c r="M147" s="233">
        <f t="shared" si="100"/>
        <v>0.25093150555144855</v>
      </c>
      <c r="N147" s="233">
        <f t="shared" si="100"/>
        <v>0.24898267862922513</v>
      </c>
      <c r="O147" s="233">
        <f t="shared" si="100"/>
        <v>0.25054244458852964</v>
      </c>
      <c r="P147" s="233" t="str">
        <f t="shared" si="100"/>
        <v/>
      </c>
      <c r="Q147" s="233" t="str">
        <f t="shared" si="100"/>
        <v/>
      </c>
      <c r="R147" s="233" t="str">
        <f t="shared" si="100"/>
        <v/>
      </c>
      <c r="S147" s="233" t="str">
        <f t="shared" si="100"/>
        <v/>
      </c>
      <c r="T147" s="233" t="str">
        <f t="shared" si="100"/>
        <v/>
      </c>
      <c r="U147" s="233" t="str">
        <f t="shared" si="100"/>
        <v/>
      </c>
      <c r="V147" s="233" t="str">
        <f t="shared" si="100"/>
        <v/>
      </c>
      <c r="W147" s="233" t="str">
        <f t="shared" si="100"/>
        <v/>
      </c>
      <c r="X147" s="233" t="str">
        <f t="shared" si="100"/>
        <v/>
      </c>
      <c r="Y147" s="233" t="str">
        <f t="shared" si="100"/>
        <v/>
      </c>
      <c r="Z147" s="233" t="str">
        <f t="shared" si="100"/>
        <v/>
      </c>
      <c r="AA147" s="233" t="str">
        <f t="shared" si="100"/>
        <v/>
      </c>
      <c r="AB147" s="233" t="str">
        <f t="shared" si="100"/>
        <v/>
      </c>
    </row>
    <row r="148" spans="1:28" ht="18" customHeight="1" x14ac:dyDescent="0.25">
      <c r="A148" s="11" t="s">
        <v>285</v>
      </c>
      <c r="C148" s="233">
        <f t="shared" si="73"/>
        <v>0</v>
      </c>
      <c r="D148" s="233">
        <f t="shared" ref="D148:AB148" si="101">IFERROR((12.011*$AD79/$B47)*D79,"")</f>
        <v>0</v>
      </c>
      <c r="E148" s="233">
        <f t="shared" si="101"/>
        <v>0</v>
      </c>
      <c r="F148" s="233">
        <f t="shared" si="101"/>
        <v>0</v>
      </c>
      <c r="G148" s="233">
        <f t="shared" si="101"/>
        <v>0</v>
      </c>
      <c r="H148" s="233">
        <f t="shared" si="101"/>
        <v>0</v>
      </c>
      <c r="I148" s="233">
        <f t="shared" si="101"/>
        <v>0</v>
      </c>
      <c r="J148" s="233">
        <f t="shared" si="101"/>
        <v>0</v>
      </c>
      <c r="K148" s="233">
        <f t="shared" si="101"/>
        <v>0</v>
      </c>
      <c r="L148" s="233">
        <f t="shared" si="101"/>
        <v>0</v>
      </c>
      <c r="M148" s="233">
        <f t="shared" si="101"/>
        <v>0</v>
      </c>
      <c r="N148" s="233">
        <f t="shared" si="101"/>
        <v>0</v>
      </c>
      <c r="O148" s="233">
        <f t="shared" si="101"/>
        <v>0</v>
      </c>
      <c r="P148" s="233" t="str">
        <f t="shared" si="101"/>
        <v/>
      </c>
      <c r="Q148" s="233" t="str">
        <f t="shared" si="101"/>
        <v/>
      </c>
      <c r="R148" s="233" t="str">
        <f t="shared" si="101"/>
        <v/>
      </c>
      <c r="S148" s="233" t="str">
        <f t="shared" si="101"/>
        <v/>
      </c>
      <c r="T148" s="233" t="str">
        <f t="shared" si="101"/>
        <v/>
      </c>
      <c r="U148" s="233" t="str">
        <f t="shared" si="101"/>
        <v/>
      </c>
      <c r="V148" s="233" t="str">
        <f t="shared" si="101"/>
        <v/>
      </c>
      <c r="W148" s="233" t="str">
        <f t="shared" si="101"/>
        <v/>
      </c>
      <c r="X148" s="233" t="str">
        <f t="shared" si="101"/>
        <v/>
      </c>
      <c r="Y148" s="233" t="str">
        <f t="shared" si="101"/>
        <v/>
      </c>
      <c r="Z148" s="233" t="str">
        <f t="shared" si="101"/>
        <v/>
      </c>
      <c r="AA148" s="233" t="str">
        <f t="shared" si="101"/>
        <v/>
      </c>
      <c r="AB148" s="233" t="str">
        <f t="shared" si="101"/>
        <v/>
      </c>
    </row>
    <row r="149" spans="1:28" ht="18" customHeight="1" x14ac:dyDescent="0.25">
      <c r="A149" s="11" t="s">
        <v>286</v>
      </c>
      <c r="C149" s="233">
        <f t="shared" si="73"/>
        <v>0</v>
      </c>
      <c r="D149" s="233">
        <f t="shared" ref="D149:AB149" si="102">IFERROR((12.011*$AD80/$B48)*D80,"")</f>
        <v>0</v>
      </c>
      <c r="E149" s="233">
        <f t="shared" si="102"/>
        <v>0</v>
      </c>
      <c r="F149" s="233">
        <f t="shared" si="102"/>
        <v>0</v>
      </c>
      <c r="G149" s="233">
        <f t="shared" si="102"/>
        <v>0</v>
      </c>
      <c r="H149" s="233">
        <f t="shared" si="102"/>
        <v>0</v>
      </c>
      <c r="I149" s="233">
        <f t="shared" si="102"/>
        <v>0</v>
      </c>
      <c r="J149" s="233">
        <f t="shared" si="102"/>
        <v>0</v>
      </c>
      <c r="K149" s="233">
        <f t="shared" si="102"/>
        <v>0</v>
      </c>
      <c r="L149" s="233">
        <f t="shared" si="102"/>
        <v>0</v>
      </c>
      <c r="M149" s="233">
        <f t="shared" si="102"/>
        <v>0</v>
      </c>
      <c r="N149" s="233">
        <f t="shared" si="102"/>
        <v>0</v>
      </c>
      <c r="O149" s="233">
        <f t="shared" si="102"/>
        <v>0</v>
      </c>
      <c r="P149" s="233" t="str">
        <f t="shared" si="102"/>
        <v/>
      </c>
      <c r="Q149" s="233" t="str">
        <f t="shared" si="102"/>
        <v/>
      </c>
      <c r="R149" s="233" t="str">
        <f t="shared" si="102"/>
        <v/>
      </c>
      <c r="S149" s="233" t="str">
        <f t="shared" si="102"/>
        <v/>
      </c>
      <c r="T149" s="233" t="str">
        <f t="shared" si="102"/>
        <v/>
      </c>
      <c r="U149" s="233" t="str">
        <f t="shared" si="102"/>
        <v/>
      </c>
      <c r="V149" s="233" t="str">
        <f t="shared" si="102"/>
        <v/>
      </c>
      <c r="W149" s="233" t="str">
        <f t="shared" si="102"/>
        <v/>
      </c>
      <c r="X149" s="233" t="str">
        <f t="shared" si="102"/>
        <v/>
      </c>
      <c r="Y149" s="233" t="str">
        <f t="shared" si="102"/>
        <v/>
      </c>
      <c r="Z149" s="233" t="str">
        <f t="shared" si="102"/>
        <v/>
      </c>
      <c r="AA149" s="233" t="str">
        <f t="shared" si="102"/>
        <v/>
      </c>
      <c r="AB149" s="233" t="str">
        <f t="shared" si="102"/>
        <v/>
      </c>
    </row>
    <row r="150" spans="1:28" ht="18" customHeight="1" x14ac:dyDescent="0.25">
      <c r="A150" s="252" t="s">
        <v>44</v>
      </c>
      <c r="C150" s="253">
        <f>SUM(C121:C149)</f>
        <v>0.35150818691539942</v>
      </c>
      <c r="D150" s="253">
        <f t="shared" ref="D150:AB150" si="103">IF(SUM(D121:D149)=0,"",SUM(D121:D149))</f>
        <v>0.26980953557810827</v>
      </c>
      <c r="E150" s="253">
        <f t="shared" si="103"/>
        <v>0.36546646594370891</v>
      </c>
      <c r="F150" s="253">
        <f t="shared" si="103"/>
        <v>0.36586690575277697</v>
      </c>
      <c r="G150" s="253">
        <f t="shared" si="103"/>
        <v>0.36455625251602591</v>
      </c>
      <c r="H150" s="253">
        <f t="shared" si="103"/>
        <v>0.36815461870074861</v>
      </c>
      <c r="I150" s="253">
        <f t="shared" si="103"/>
        <v>0.36905545812441826</v>
      </c>
      <c r="J150" s="253">
        <f t="shared" si="103"/>
        <v>0.37316387991230671</v>
      </c>
      <c r="K150" s="253">
        <f t="shared" si="103"/>
        <v>0.37001720701592128</v>
      </c>
      <c r="L150" s="253">
        <f t="shared" si="103"/>
        <v>0.34236394157727112</v>
      </c>
      <c r="M150" s="253">
        <f t="shared" si="103"/>
        <v>0.34428893353532863</v>
      </c>
      <c r="N150" s="253">
        <f t="shared" si="103"/>
        <v>0.34154528497692088</v>
      </c>
      <c r="O150" s="253">
        <f t="shared" si="103"/>
        <v>0.34380975935125718</v>
      </c>
      <c r="P150" s="253" t="str">
        <f t="shared" si="103"/>
        <v/>
      </c>
      <c r="Q150" s="253" t="str">
        <f t="shared" si="103"/>
        <v/>
      </c>
      <c r="R150" s="253" t="str">
        <f t="shared" si="103"/>
        <v/>
      </c>
      <c r="S150" s="253" t="str">
        <f t="shared" si="103"/>
        <v/>
      </c>
      <c r="T150" s="253" t="str">
        <f t="shared" si="103"/>
        <v/>
      </c>
      <c r="U150" s="253" t="str">
        <f t="shared" si="103"/>
        <v/>
      </c>
      <c r="V150" s="253" t="str">
        <f t="shared" si="103"/>
        <v/>
      </c>
      <c r="W150" s="253" t="str">
        <f t="shared" si="103"/>
        <v/>
      </c>
      <c r="X150" s="253" t="str">
        <f t="shared" si="103"/>
        <v/>
      </c>
      <c r="Y150" s="253" t="str">
        <f t="shared" si="103"/>
        <v/>
      </c>
      <c r="Z150" s="253" t="str">
        <f t="shared" si="103"/>
        <v/>
      </c>
      <c r="AA150" s="253" t="str">
        <f t="shared" si="103"/>
        <v/>
      </c>
      <c r="AB150" s="253" t="str">
        <f t="shared" si="103"/>
        <v/>
      </c>
    </row>
  </sheetData>
  <sheetProtection sheet="1" objects="1" scenarios="1"/>
  <mergeCells count="1">
    <mergeCell ref="H5:K5"/>
  </mergeCells>
  <conditionalFormatting sqref="B52:C84 D83:AB84">
    <cfRule type="expression" dxfId="135" priority="19">
      <formula>NOT(B52="")</formula>
    </cfRule>
  </conditionalFormatting>
  <conditionalFormatting sqref="B88:AB118">
    <cfRule type="expression" dxfId="134" priority="4">
      <formula>NOT(B88="")</formula>
    </cfRule>
  </conditionalFormatting>
  <conditionalFormatting sqref="C121:C149">
    <cfRule type="expression" dxfId="133" priority="3">
      <formula>NOT(C121="")</formula>
    </cfRule>
  </conditionalFormatting>
  <conditionalFormatting sqref="D15:AB16">
    <cfRule type="expression" dxfId="132" priority="29">
      <formula>NOT(D15="")</formula>
    </cfRule>
  </conditionalFormatting>
  <conditionalFormatting sqref="D16:AB16">
    <cfRule type="expression" dxfId="131" priority="93">
      <formula>OR(D16&lt;$C$5, D16&gt;$C$6)</formula>
    </cfRule>
  </conditionalFormatting>
  <conditionalFormatting sqref="D17:AB18">
    <cfRule type="containsText" dxfId="130" priority="36" operator="containsText" text="ERROR">
      <formula>NOT(ISERROR(SEARCH("ERROR",D17)))</formula>
    </cfRule>
  </conditionalFormatting>
  <conditionalFormatting sqref="D20:AB48">
    <cfRule type="expression" dxfId="129" priority="10">
      <formula>D20&gt;$AE20</formula>
    </cfRule>
  </conditionalFormatting>
  <conditionalFormatting sqref="D20:AB49 B20:B49">
    <cfRule type="expression" dxfId="128" priority="23">
      <formula>NOT(B20="")</formula>
    </cfRule>
  </conditionalFormatting>
  <conditionalFormatting sqref="D120:AB149">
    <cfRule type="expression" dxfId="127" priority="2">
      <formula>NOT(D120="")</formula>
    </cfRule>
  </conditionalFormatting>
  <conditionalFormatting sqref="K6">
    <cfRule type="containsText" dxfId="126" priority="17" operator="containsText" text="Pass">
      <formula>NOT(ISERROR(SEARCH("Pass",K6)))</formula>
    </cfRule>
    <cfRule type="containsText" dxfId="125" priority="18" operator="containsText" text="Fail">
      <formula>NOT(ISERROR(SEARCH("Fail",K6)))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E150"/>
  <sheetViews>
    <sheetView showGridLines="0" zoomScaleNormal="100" workbookViewId="0">
      <selection activeCell="P38" sqref="P38"/>
    </sheetView>
  </sheetViews>
  <sheetFormatPr defaultColWidth="9.140625" defaultRowHeight="18" customHeight="1" outlineLevelRow="2" x14ac:dyDescent="0.25"/>
  <cols>
    <col min="1" max="1" width="38.42578125" style="1" customWidth="1"/>
    <col min="2" max="2" width="17.85546875" style="1" hidden="1" customWidth="1"/>
    <col min="3" max="4" width="17.85546875" style="1" customWidth="1"/>
    <col min="5" max="7" width="15.42578125" style="1" bestFit="1" customWidth="1"/>
    <col min="8" max="8" width="15.85546875" style="1" bestFit="1" customWidth="1"/>
    <col min="9" max="28" width="15.42578125" style="1" bestFit="1" customWidth="1"/>
    <col min="29" max="30" width="12.85546875" style="1" customWidth="1"/>
    <col min="31" max="32" width="9.140625" style="1" customWidth="1"/>
    <col min="33" max="16384" width="9.140625" style="1"/>
  </cols>
  <sheetData>
    <row r="1" spans="1:31" s="2" customFormat="1" ht="18" customHeight="1" x14ac:dyDescent="0.25">
      <c r="A1" s="9" t="s">
        <v>0</v>
      </c>
      <c r="B1" s="34"/>
      <c r="C1" s="34" t="str">
        <f>'R1_MB'!C1</f>
        <v>R6-C1-S1</v>
      </c>
    </row>
    <row r="2" spans="1:31" s="2" customFormat="1" ht="18" customHeight="1" x14ac:dyDescent="0.25">
      <c r="A2" s="9" t="s">
        <v>1</v>
      </c>
      <c r="B2" s="46"/>
      <c r="C2" s="46" t="str">
        <f>'R1_MB'!C2</f>
        <v/>
      </c>
      <c r="D2" s="45"/>
      <c r="E2" s="45"/>
      <c r="F2" s="45"/>
      <c r="G2" s="45"/>
      <c r="H2" s="45"/>
      <c r="I2" s="45"/>
      <c r="J2" s="44"/>
      <c r="K2" s="141"/>
      <c r="L2" s="141"/>
      <c r="M2" s="141"/>
      <c r="N2" s="141"/>
    </row>
    <row r="3" spans="1:31" s="2" customFormat="1" ht="18" customHeight="1" x14ac:dyDescent="0.25">
      <c r="A3" s="9" t="s">
        <v>3</v>
      </c>
      <c r="B3" s="43"/>
      <c r="C3" s="43">
        <f>Run_Plan!$B$3</f>
        <v>45425.583333333336</v>
      </c>
      <c r="D3" s="91"/>
      <c r="E3" s="9" t="s">
        <v>126</v>
      </c>
      <c r="F3" s="41">
        <f>(C6-C5)*1440</f>
        <v>5.9999999986030161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</row>
    <row r="4" spans="1:31" s="2" customFormat="1" ht="18" customHeight="1" x14ac:dyDescent="0.25">
      <c r="A4" s="9" t="s">
        <v>123</v>
      </c>
      <c r="B4" s="43"/>
      <c r="C4" s="43" t="str">
        <f>Liq!B4</f>
        <v>C1-S1</v>
      </c>
      <c r="D4" s="93"/>
      <c r="E4" s="12" t="s">
        <v>127</v>
      </c>
      <c r="F4" s="40">
        <f>24*((C5+C6)/2-C3)</f>
        <v>17.916666666569654</v>
      </c>
    </row>
    <row r="5" spans="1:31" s="2" customFormat="1" ht="18" customHeight="1" x14ac:dyDescent="0.25">
      <c r="A5" s="9" t="s">
        <v>124</v>
      </c>
      <c r="B5" s="92"/>
      <c r="C5" s="92">
        <f>Liq!B5</f>
        <v>45426.327777777777</v>
      </c>
      <c r="D5" s="91"/>
      <c r="E5" s="79" t="s">
        <v>212</v>
      </c>
      <c r="F5" s="158">
        <f>Gas!C20</f>
        <v>0.22890922011282697</v>
      </c>
      <c r="H5" s="257" t="s">
        <v>213</v>
      </c>
      <c r="I5" s="258"/>
      <c r="J5" s="258"/>
      <c r="K5" s="259"/>
    </row>
    <row r="6" spans="1:31" s="2" customFormat="1" ht="18" customHeight="1" x14ac:dyDescent="0.25">
      <c r="A6" s="9" t="s">
        <v>125</v>
      </c>
      <c r="B6" s="43"/>
      <c r="C6" s="43">
        <f>Liq!B6</f>
        <v>45426.331944444442</v>
      </c>
      <c r="D6" s="42"/>
      <c r="E6" s="42"/>
      <c r="H6" s="185">
        <f t="array" ref="H6">MIN(IF(D16:XFD16&lt;&gt;0,D16:XFD16))</f>
        <v>0</v>
      </c>
      <c r="I6" s="185">
        <f t="array" ref="I6">MAX(IF(D16:XFD16&lt;&gt;0,D16:XFD16))</f>
        <v>0</v>
      </c>
      <c r="J6" s="70"/>
      <c r="K6" s="186" t="str">
        <f>IF(AND(H7=TRUE,I7=TRUE),"Pass","Fail")</f>
        <v>Pass</v>
      </c>
    </row>
    <row r="7" spans="1:31" s="2" customFormat="1" ht="18" customHeight="1" x14ac:dyDescent="0.25">
      <c r="H7" s="70" t="b">
        <f>IF(Liq!C3&gt;'R1_MB'!H6,"NA",TRUE)</f>
        <v>1</v>
      </c>
      <c r="I7" s="70" t="b">
        <f>IF(Liq!C6&lt;'R1_MB'!I6,"NA",TRUE)</f>
        <v>1</v>
      </c>
    </row>
    <row r="8" spans="1:31" s="2" customFormat="1" ht="18" customHeight="1" x14ac:dyDescent="0.25">
      <c r="A8" s="9" t="s">
        <v>214</v>
      </c>
      <c r="B8" s="43"/>
      <c r="C8" s="94">
        <f>Liq!C13</f>
        <v>0.50000000002910383</v>
      </c>
      <c r="D8" s="42"/>
      <c r="E8" s="42"/>
    </row>
    <row r="9" spans="1:31" s="2" customFormat="1" ht="18" customHeight="1" x14ac:dyDescent="0.25">
      <c r="A9" s="9" t="s">
        <v>215</v>
      </c>
      <c r="B9" s="43"/>
      <c r="C9" s="94">
        <f>IFERROR(Gas!C12-Gas!C20,"")</f>
        <v>2.5568050656014587</v>
      </c>
      <c r="D9" s="142" t="s">
        <v>216</v>
      </c>
      <c r="E9" s="42"/>
    </row>
    <row r="10" spans="1:31" s="2" customFormat="1" ht="18" customHeight="1" x14ac:dyDescent="0.25">
      <c r="A10" s="9" t="s">
        <v>217</v>
      </c>
      <c r="B10" s="43"/>
      <c r="C10" s="94">
        <f>Liq!C40</f>
        <v>0</v>
      </c>
      <c r="D10" s="42"/>
      <c r="E10" s="42"/>
    </row>
    <row r="11" spans="1:31" s="2" customFormat="1" ht="18" customHeight="1" x14ac:dyDescent="0.25">
      <c r="A11" s="9" t="s">
        <v>218</v>
      </c>
      <c r="B11" s="43"/>
      <c r="C11" s="94">
        <f>Liq!C41</f>
        <v>0</v>
      </c>
      <c r="D11" s="42"/>
      <c r="E11" s="42"/>
    </row>
    <row r="12" spans="1:31" s="2" customFormat="1" ht="18" customHeight="1" x14ac:dyDescent="0.25">
      <c r="A12" s="9" t="s">
        <v>219</v>
      </c>
      <c r="B12" s="43"/>
      <c r="C12" s="94">
        <f>SUM(C52:C74,C76:C80)</f>
        <v>2.6335058753265237</v>
      </c>
      <c r="D12" s="142" t="s">
        <v>216</v>
      </c>
      <c r="E12" s="42"/>
    </row>
    <row r="13" spans="1:31" s="2" customFormat="1" ht="18" customHeight="1" x14ac:dyDescent="0.25">
      <c r="A13" s="9" t="s">
        <v>220</v>
      </c>
      <c r="B13" s="43"/>
      <c r="C13" s="36">
        <f>IFERROR(100*(C12+C11+C10)/(C9+C8),"")</f>
        <v>86.152234728231832</v>
      </c>
      <c r="D13" s="142"/>
      <c r="E13" s="42"/>
    </row>
    <row r="14" spans="1:31" s="2" customFormat="1" ht="18" customHeight="1" x14ac:dyDescent="0.25"/>
    <row r="15" spans="1:31" ht="18" customHeight="1" outlineLevel="1" x14ac:dyDescent="0.25">
      <c r="A15" s="9" t="s">
        <v>221</v>
      </c>
      <c r="B15" s="143"/>
      <c r="C15" s="151"/>
      <c r="D15" s="130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89"/>
      <c r="AD15" s="189"/>
      <c r="AE15" s="189"/>
    </row>
    <row r="16" spans="1:31" s="134" customFormat="1" ht="18" customHeight="1" outlineLevel="1" x14ac:dyDescent="0.25">
      <c r="A16" s="139" t="s">
        <v>222</v>
      </c>
      <c r="B16" s="144"/>
      <c r="C16" s="152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90"/>
      <c r="AD16" s="190"/>
      <c r="AE16" s="190"/>
    </row>
    <row r="17" spans="1:31" ht="18" customHeight="1" outlineLevel="1" x14ac:dyDescent="0.25">
      <c r="A17" s="9" t="s">
        <v>223</v>
      </c>
      <c r="B17" s="145"/>
      <c r="C17" s="153"/>
      <c r="D17" s="148" t="str">
        <f t="shared" ref="D17:AB17" si="0">IF(D15="", "", (D16-$D$16)*1440)</f>
        <v/>
      </c>
      <c r="E17" s="140" t="str">
        <f t="shared" si="0"/>
        <v/>
      </c>
      <c r="F17" s="140" t="str">
        <f t="shared" si="0"/>
        <v/>
      </c>
      <c r="G17" s="140" t="str">
        <f t="shared" si="0"/>
        <v/>
      </c>
      <c r="H17" s="140" t="str">
        <f t="shared" si="0"/>
        <v/>
      </c>
      <c r="I17" s="140" t="str">
        <f t="shared" si="0"/>
        <v/>
      </c>
      <c r="J17" s="140" t="str">
        <f t="shared" si="0"/>
        <v/>
      </c>
      <c r="K17" s="140" t="str">
        <f t="shared" si="0"/>
        <v/>
      </c>
      <c r="L17" s="140" t="str">
        <f t="shared" si="0"/>
        <v/>
      </c>
      <c r="M17" s="140" t="str">
        <f t="shared" si="0"/>
        <v/>
      </c>
      <c r="N17" s="140" t="str">
        <f t="shared" si="0"/>
        <v/>
      </c>
      <c r="O17" s="140" t="str">
        <f t="shared" si="0"/>
        <v/>
      </c>
      <c r="P17" s="140" t="str">
        <f t="shared" si="0"/>
        <v/>
      </c>
      <c r="Q17" s="140" t="str">
        <f t="shared" si="0"/>
        <v/>
      </c>
      <c r="R17" s="140" t="str">
        <f t="shared" si="0"/>
        <v/>
      </c>
      <c r="S17" s="140" t="str">
        <f t="shared" si="0"/>
        <v/>
      </c>
      <c r="T17" s="140" t="str">
        <f t="shared" si="0"/>
        <v/>
      </c>
      <c r="U17" s="140" t="str">
        <f t="shared" si="0"/>
        <v/>
      </c>
      <c r="V17" s="140" t="str">
        <f t="shared" si="0"/>
        <v/>
      </c>
      <c r="W17" s="140" t="str">
        <f t="shared" si="0"/>
        <v/>
      </c>
      <c r="X17" s="140" t="str">
        <f t="shared" si="0"/>
        <v/>
      </c>
      <c r="Y17" s="140" t="str">
        <f t="shared" si="0"/>
        <v/>
      </c>
      <c r="Z17" s="140" t="str">
        <f t="shared" si="0"/>
        <v/>
      </c>
      <c r="AA17" s="140" t="str">
        <f t="shared" si="0"/>
        <v/>
      </c>
      <c r="AB17" s="140" t="str">
        <f t="shared" si="0"/>
        <v/>
      </c>
      <c r="AC17" s="189"/>
      <c r="AD17" s="189"/>
      <c r="AE17" s="189"/>
    </row>
    <row r="18" spans="1:31" ht="18" customHeight="1" outlineLevel="1" x14ac:dyDescent="0.25">
      <c r="A18" s="9" t="s">
        <v>224</v>
      </c>
      <c r="B18" s="146"/>
      <c r="C18" s="154"/>
      <c r="D18" s="149"/>
      <c r="E18" s="140" t="str">
        <f t="shared" ref="E18:AB18" si="1">IF(E17="", "", E17-D17)</f>
        <v/>
      </c>
      <c r="F18" s="140" t="str">
        <f t="shared" si="1"/>
        <v/>
      </c>
      <c r="G18" s="140" t="str">
        <f t="shared" si="1"/>
        <v/>
      </c>
      <c r="H18" s="140" t="str">
        <f t="shared" si="1"/>
        <v/>
      </c>
      <c r="I18" s="140" t="str">
        <f t="shared" si="1"/>
        <v/>
      </c>
      <c r="J18" s="140" t="str">
        <f t="shared" si="1"/>
        <v/>
      </c>
      <c r="K18" s="140" t="str">
        <f t="shared" si="1"/>
        <v/>
      </c>
      <c r="L18" s="140" t="str">
        <f t="shared" si="1"/>
        <v/>
      </c>
      <c r="M18" s="140" t="str">
        <f t="shared" si="1"/>
        <v/>
      </c>
      <c r="N18" s="140" t="str">
        <f t="shared" si="1"/>
        <v/>
      </c>
      <c r="O18" s="140" t="str">
        <f t="shared" si="1"/>
        <v/>
      </c>
      <c r="P18" s="140" t="str">
        <f t="shared" si="1"/>
        <v/>
      </c>
      <c r="Q18" s="140" t="str">
        <f t="shared" si="1"/>
        <v/>
      </c>
      <c r="R18" s="140" t="str">
        <f t="shared" si="1"/>
        <v/>
      </c>
      <c r="S18" s="140" t="str">
        <f t="shared" si="1"/>
        <v/>
      </c>
      <c r="T18" s="140" t="str">
        <f t="shared" si="1"/>
        <v/>
      </c>
      <c r="U18" s="140" t="str">
        <f t="shared" si="1"/>
        <v/>
      </c>
      <c r="V18" s="140" t="str">
        <f t="shared" si="1"/>
        <v/>
      </c>
      <c r="W18" s="140" t="str">
        <f t="shared" si="1"/>
        <v/>
      </c>
      <c r="X18" s="140" t="str">
        <f t="shared" si="1"/>
        <v/>
      </c>
      <c r="Y18" s="140" t="str">
        <f t="shared" si="1"/>
        <v/>
      </c>
      <c r="Z18" s="140" t="str">
        <f t="shared" si="1"/>
        <v/>
      </c>
      <c r="AA18" s="140" t="str">
        <f t="shared" si="1"/>
        <v/>
      </c>
      <c r="AB18" s="140" t="str">
        <f t="shared" si="1"/>
        <v/>
      </c>
      <c r="AC18" s="70"/>
      <c r="AD18" s="191"/>
      <c r="AE18" s="189"/>
    </row>
    <row r="19" spans="1:31" ht="18" customHeight="1" outlineLevel="1" x14ac:dyDescent="0.25">
      <c r="A19" s="9" t="s">
        <v>225</v>
      </c>
      <c r="B19" s="147" t="s">
        <v>60</v>
      </c>
      <c r="C19" s="155"/>
      <c r="D19" s="16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89"/>
      <c r="AD19" s="189"/>
      <c r="AE19" s="189"/>
    </row>
    <row r="20" spans="1:31" ht="18" customHeight="1" outlineLevel="1" x14ac:dyDescent="0.25">
      <c r="A20" s="9" t="s">
        <v>34</v>
      </c>
      <c r="B20" s="127">
        <v>16.04</v>
      </c>
      <c r="C20" s="156"/>
      <c r="D20" s="188">
        <v>2.5743390000000002</v>
      </c>
      <c r="E20" s="188">
        <v>2.5872169999999999</v>
      </c>
      <c r="F20" s="188">
        <v>2.5955439999999999</v>
      </c>
      <c r="G20" s="188">
        <v>2.638684</v>
      </c>
      <c r="H20" s="188">
        <v>2.6475559999999998</v>
      </c>
      <c r="I20" s="110">
        <v>2.6383580000000002</v>
      </c>
      <c r="J20" s="110">
        <v>2.634007</v>
      </c>
      <c r="K20" s="110">
        <v>2.6400190000000001</v>
      </c>
      <c r="L20" s="110">
        <v>2.6021200000000002</v>
      </c>
      <c r="M20" s="110">
        <v>2.6064189999999998</v>
      </c>
      <c r="N20" s="110">
        <v>2.6003590000000001</v>
      </c>
      <c r="O20" s="110">
        <v>2.6050230000000001</v>
      </c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92">
        <f t="shared" ref="AC20:AC48" si="2">IFERROR(_xlfn.STDEV.S(E20:AB20),"")</f>
        <v>2.1849485524627572E-2</v>
      </c>
      <c r="AD20" s="192">
        <f t="shared" ref="AD20:AD48" si="3">IFERROR(AVERAGE(E20:AB20),"")</f>
        <v>2.6177550909090908</v>
      </c>
      <c r="AE20" s="189">
        <f t="shared" ref="AE20:AE48" si="4">IFERROR(AD20+(2*AC20),"")</f>
        <v>2.661454061958346</v>
      </c>
    </row>
    <row r="21" spans="1:31" ht="18" customHeight="1" outlineLevel="1" x14ac:dyDescent="0.25">
      <c r="A21" s="9" t="s">
        <v>35</v>
      </c>
      <c r="B21" s="127">
        <v>30.07</v>
      </c>
      <c r="C21" s="156"/>
      <c r="D21" s="188">
        <v>5.5710000000000004E-3</v>
      </c>
      <c r="E21" s="188">
        <v>3.8709999999999999E-3</v>
      </c>
      <c r="F21" s="188">
        <v>3.555E-3</v>
      </c>
      <c r="G21" s="188">
        <v>3.4250000000000001E-3</v>
      </c>
      <c r="H21" s="188">
        <v>6.5079999999999999E-3</v>
      </c>
      <c r="I21" s="110">
        <v>1.957E-3</v>
      </c>
      <c r="J21" s="110">
        <v>1.7650000000000001E-3</v>
      </c>
      <c r="K21" s="110">
        <v>1.5070000000000001E-3</v>
      </c>
      <c r="L21" s="110">
        <v>1.8600000000000001E-3</v>
      </c>
      <c r="M21" s="110">
        <v>1.7390000000000001E-3</v>
      </c>
      <c r="N21" s="110">
        <v>1.7080000000000001E-3</v>
      </c>
      <c r="O21" s="110">
        <v>1.776E-3</v>
      </c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92">
        <f t="shared" si="2"/>
        <v>1.5311813264749065E-3</v>
      </c>
      <c r="AD21" s="192">
        <f t="shared" si="3"/>
        <v>2.6973636363636366E-3</v>
      </c>
      <c r="AE21" s="189">
        <f t="shared" si="4"/>
        <v>5.7597262893134497E-3</v>
      </c>
    </row>
    <row r="22" spans="1:31" ht="18" customHeight="1" outlineLevel="1" x14ac:dyDescent="0.25">
      <c r="A22" s="9" t="s">
        <v>33</v>
      </c>
      <c r="B22" s="127">
        <v>28.05</v>
      </c>
      <c r="C22" s="156"/>
      <c r="D22" s="188">
        <v>1.6319440000000001</v>
      </c>
      <c r="E22" s="188">
        <v>1.632676</v>
      </c>
      <c r="F22" s="188">
        <v>1.6393200000000001</v>
      </c>
      <c r="G22" s="188">
        <v>1.6693260000000001</v>
      </c>
      <c r="H22" s="188">
        <v>1.6707529999999999</v>
      </c>
      <c r="I22" s="110">
        <v>1.657297</v>
      </c>
      <c r="J22" s="110">
        <v>1.65821</v>
      </c>
      <c r="K22" s="110">
        <v>1.652863</v>
      </c>
      <c r="L22" s="110">
        <v>1.6304810000000001</v>
      </c>
      <c r="M22" s="110">
        <v>1.642331</v>
      </c>
      <c r="N22" s="110">
        <v>1.635397</v>
      </c>
      <c r="O22" s="110">
        <v>1.641103</v>
      </c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92">
        <f t="shared" si="2"/>
        <v>1.4290445193141514E-2</v>
      </c>
      <c r="AD22" s="192">
        <f t="shared" si="3"/>
        <v>1.6481597272727273</v>
      </c>
      <c r="AE22" s="189">
        <f t="shared" si="4"/>
        <v>1.6767406176590103</v>
      </c>
    </row>
    <row r="23" spans="1:31" ht="18" customHeight="1" outlineLevel="1" x14ac:dyDescent="0.25">
      <c r="A23" s="9" t="s">
        <v>57</v>
      </c>
      <c r="B23" s="127">
        <v>44.1</v>
      </c>
      <c r="C23" s="156"/>
      <c r="D23" s="188">
        <v>0</v>
      </c>
      <c r="E23" s="188">
        <v>0</v>
      </c>
      <c r="F23" s="188">
        <v>0</v>
      </c>
      <c r="G23" s="188">
        <v>0</v>
      </c>
      <c r="H23" s="188">
        <v>0</v>
      </c>
      <c r="I23" s="110">
        <v>0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92">
        <f t="shared" si="2"/>
        <v>0</v>
      </c>
      <c r="AD23" s="192">
        <f t="shared" si="3"/>
        <v>0</v>
      </c>
      <c r="AE23" s="189">
        <f t="shared" si="4"/>
        <v>0</v>
      </c>
    </row>
    <row r="24" spans="1:31" ht="18" customHeight="1" outlineLevel="1" x14ac:dyDescent="0.25">
      <c r="A24" s="9" t="s">
        <v>56</v>
      </c>
      <c r="B24" s="127">
        <v>42.08</v>
      </c>
      <c r="C24" s="156"/>
      <c r="D24" s="188">
        <v>2.2209999999999999E-3</v>
      </c>
      <c r="E24" s="188">
        <v>1.668E-3</v>
      </c>
      <c r="F24" s="188">
        <v>1.127E-3</v>
      </c>
      <c r="G24" s="188">
        <v>8.4800000000000001E-4</v>
      </c>
      <c r="H24" s="188">
        <v>1.7459999999999999E-3</v>
      </c>
      <c r="I24" s="110">
        <v>3.68E-4</v>
      </c>
      <c r="J24" s="110">
        <v>3.0800000000000001E-4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92">
        <f t="shared" si="2"/>
        <v>6.8602044761468617E-4</v>
      </c>
      <c r="AD24" s="192">
        <f t="shared" si="3"/>
        <v>5.513636363636364E-4</v>
      </c>
      <c r="AE24" s="189">
        <f t="shared" si="4"/>
        <v>1.9234045315930088E-3</v>
      </c>
    </row>
    <row r="25" spans="1:31" ht="18" customHeight="1" outlineLevel="1" x14ac:dyDescent="0.25">
      <c r="A25" s="9" t="s">
        <v>226</v>
      </c>
      <c r="B25" s="127">
        <v>58.12</v>
      </c>
      <c r="C25" s="156"/>
      <c r="D25" s="188">
        <v>4.3100000000000001E-4</v>
      </c>
      <c r="E25" s="188">
        <v>2.8499999999999999E-4</v>
      </c>
      <c r="F25" s="188">
        <v>0</v>
      </c>
      <c r="G25" s="188">
        <v>0</v>
      </c>
      <c r="H25" s="188">
        <v>3.86E-4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2.4800000000000001E-4</v>
      </c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92">
        <f t="shared" si="2"/>
        <v>1.4661061601150421E-4</v>
      </c>
      <c r="AD25" s="192">
        <f t="shared" si="3"/>
        <v>8.354545454545454E-5</v>
      </c>
      <c r="AE25" s="189">
        <f t="shared" si="4"/>
        <v>3.7676668656846295E-4</v>
      </c>
    </row>
    <row r="26" spans="1:31" ht="18" customHeight="1" outlineLevel="1" x14ac:dyDescent="0.25">
      <c r="A26" s="9" t="s">
        <v>227</v>
      </c>
      <c r="B26" s="127">
        <v>72.150000000000006</v>
      </c>
      <c r="C26" s="156"/>
      <c r="D26" s="188">
        <v>0</v>
      </c>
      <c r="E26" s="188">
        <v>0</v>
      </c>
      <c r="F26" s="188">
        <v>0</v>
      </c>
      <c r="G26" s="188">
        <v>0</v>
      </c>
      <c r="H26" s="188">
        <v>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92">
        <f t="shared" si="2"/>
        <v>0</v>
      </c>
      <c r="AD26" s="192">
        <f t="shared" si="3"/>
        <v>0</v>
      </c>
      <c r="AE26" s="189">
        <f t="shared" si="4"/>
        <v>0</v>
      </c>
    </row>
    <row r="27" spans="1:31" ht="18" customHeight="1" outlineLevel="1" x14ac:dyDescent="0.25">
      <c r="A27" s="9" t="s">
        <v>228</v>
      </c>
      <c r="B27" s="127">
        <v>86.18</v>
      </c>
      <c r="C27" s="156"/>
      <c r="D27" s="188">
        <v>0</v>
      </c>
      <c r="E27" s="188">
        <v>0</v>
      </c>
      <c r="F27" s="188">
        <v>0</v>
      </c>
      <c r="G27" s="188">
        <v>0</v>
      </c>
      <c r="H27" s="188">
        <v>0</v>
      </c>
      <c r="I27" s="110">
        <v>0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92">
        <f t="shared" si="2"/>
        <v>0</v>
      </c>
      <c r="AD27" s="192">
        <f t="shared" si="3"/>
        <v>0</v>
      </c>
      <c r="AE27" s="189">
        <f t="shared" si="4"/>
        <v>0</v>
      </c>
    </row>
    <row r="28" spans="1:31" ht="18" customHeight="1" outlineLevel="1" x14ac:dyDescent="0.25">
      <c r="A28" s="9" t="s">
        <v>229</v>
      </c>
      <c r="B28" s="127">
        <v>86.18</v>
      </c>
      <c r="C28" s="156"/>
      <c r="D28" s="188">
        <v>0</v>
      </c>
      <c r="E28" s="188">
        <v>0</v>
      </c>
      <c r="F28" s="188">
        <v>0</v>
      </c>
      <c r="G28" s="188">
        <v>0</v>
      </c>
      <c r="H28" s="188">
        <v>0</v>
      </c>
      <c r="I28" s="110">
        <v>0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92">
        <f t="shared" si="2"/>
        <v>0</v>
      </c>
      <c r="AD28" s="192">
        <f t="shared" si="3"/>
        <v>0</v>
      </c>
      <c r="AE28" s="189">
        <f t="shared" si="4"/>
        <v>0</v>
      </c>
    </row>
    <row r="29" spans="1:31" ht="18" customHeight="1" outlineLevel="1" x14ac:dyDescent="0.25">
      <c r="A29" s="9" t="s">
        <v>230</v>
      </c>
      <c r="B29" s="127">
        <v>58.12</v>
      </c>
      <c r="C29" s="156"/>
      <c r="D29" s="188">
        <v>5.5400000000000002E-4</v>
      </c>
      <c r="E29" s="188">
        <v>6.1840000000000003E-3</v>
      </c>
      <c r="F29" s="188">
        <v>5.7400000000000003E-3</v>
      </c>
      <c r="G29" s="188">
        <v>6.4840000000000002E-3</v>
      </c>
      <c r="H29" s="188">
        <v>1.4515E-2</v>
      </c>
      <c r="I29" s="110">
        <v>6.7650000000000002E-3</v>
      </c>
      <c r="J29" s="110">
        <v>1.083E-3</v>
      </c>
      <c r="K29" s="110">
        <v>4.9799999999999996E-4</v>
      </c>
      <c r="L29" s="110">
        <v>5.3799999999999996E-4</v>
      </c>
      <c r="M29" s="110">
        <v>3.88E-4</v>
      </c>
      <c r="N29" s="110">
        <v>0</v>
      </c>
      <c r="O29" s="110">
        <v>3.2400000000000001E-4</v>
      </c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92">
        <f t="shared" si="2"/>
        <v>4.5529838847227933E-3</v>
      </c>
      <c r="AD29" s="192">
        <f t="shared" si="3"/>
        <v>3.865363636363636E-3</v>
      </c>
      <c r="AE29" s="189">
        <f t="shared" si="4"/>
        <v>1.2971331405809222E-2</v>
      </c>
    </row>
    <row r="30" spans="1:31" ht="18" customHeight="1" outlineLevel="1" x14ac:dyDescent="0.25">
      <c r="A30" s="9" t="s">
        <v>231</v>
      </c>
      <c r="B30" s="127">
        <v>72.150000000000006</v>
      </c>
      <c r="C30" s="156"/>
      <c r="D30" s="188">
        <v>0</v>
      </c>
      <c r="E30" s="188">
        <v>0</v>
      </c>
      <c r="F30" s="188">
        <v>0</v>
      </c>
      <c r="G30" s="188">
        <v>0</v>
      </c>
      <c r="H30" s="188">
        <v>0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92">
        <f t="shared" si="2"/>
        <v>0</v>
      </c>
      <c r="AD30" s="192">
        <f t="shared" si="3"/>
        <v>0</v>
      </c>
      <c r="AE30" s="189">
        <f t="shared" si="4"/>
        <v>0</v>
      </c>
    </row>
    <row r="31" spans="1:31" ht="18" customHeight="1" outlineLevel="1" x14ac:dyDescent="0.25">
      <c r="A31" s="9" t="s">
        <v>232</v>
      </c>
      <c r="B31" s="127">
        <v>86.18</v>
      </c>
      <c r="C31" s="156"/>
      <c r="D31" s="188">
        <v>0</v>
      </c>
      <c r="E31" s="188">
        <v>4.06E-4</v>
      </c>
      <c r="F31" s="188">
        <v>0</v>
      </c>
      <c r="G31" s="188">
        <v>0</v>
      </c>
      <c r="H31" s="188">
        <v>0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92">
        <f t="shared" si="2"/>
        <v>1.2241360589857207E-4</v>
      </c>
      <c r="AD31" s="192">
        <f t="shared" si="3"/>
        <v>3.6909090909090912E-5</v>
      </c>
      <c r="AE31" s="189">
        <f t="shared" si="4"/>
        <v>2.8173630270623507E-4</v>
      </c>
    </row>
    <row r="32" spans="1:31" ht="18" customHeight="1" outlineLevel="1" x14ac:dyDescent="0.25">
      <c r="A32" s="9" t="s">
        <v>233</v>
      </c>
      <c r="B32" s="127">
        <v>100.21</v>
      </c>
      <c r="C32" s="156"/>
      <c r="D32" s="188">
        <v>6.0439999999999999E-3</v>
      </c>
      <c r="E32" s="188">
        <v>2.9437999999999999E-2</v>
      </c>
      <c r="F32" s="188">
        <v>2.3904000000000002E-2</v>
      </c>
      <c r="G32" s="188">
        <v>2.7456999999999999E-2</v>
      </c>
      <c r="H32" s="188">
        <v>3.9307000000000002E-2</v>
      </c>
      <c r="I32" s="110">
        <v>2.3005999999999999E-2</v>
      </c>
      <c r="J32" s="110">
        <v>1.3502E-2</v>
      </c>
      <c r="K32" s="110">
        <v>3.581E-3</v>
      </c>
      <c r="L32" s="110">
        <v>1.4170000000000001E-3</v>
      </c>
      <c r="M32" s="110">
        <v>1.4369999999999999E-3</v>
      </c>
      <c r="N32" s="110">
        <v>1.4239999999999999E-3</v>
      </c>
      <c r="O32" s="110">
        <v>1.7329999999999999E-3</v>
      </c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92">
        <f t="shared" si="2"/>
        <v>1.3996854862952091E-2</v>
      </c>
      <c r="AD32" s="192">
        <f t="shared" si="3"/>
        <v>1.5109636363636363E-2</v>
      </c>
      <c r="AE32" s="189">
        <f t="shared" si="4"/>
        <v>4.3103346089540542E-2</v>
      </c>
    </row>
    <row r="33" spans="1:31" ht="18" customHeight="1" outlineLevel="1" x14ac:dyDescent="0.25">
      <c r="A33" s="9" t="s">
        <v>234</v>
      </c>
      <c r="B33" s="127">
        <v>78.11</v>
      </c>
      <c r="C33" s="156"/>
      <c r="D33" s="188">
        <v>0</v>
      </c>
      <c r="E33" s="188">
        <v>0</v>
      </c>
      <c r="F33" s="188">
        <v>0</v>
      </c>
      <c r="G33" s="188">
        <v>0</v>
      </c>
      <c r="H33" s="188">
        <v>0</v>
      </c>
      <c r="I33" s="110">
        <v>0</v>
      </c>
      <c r="J33" s="110">
        <v>0</v>
      </c>
      <c r="K33" s="110">
        <v>0</v>
      </c>
      <c r="L33" s="110">
        <v>0</v>
      </c>
      <c r="M33" s="110">
        <v>0</v>
      </c>
      <c r="N33" s="110">
        <v>0</v>
      </c>
      <c r="O33" s="110">
        <v>0</v>
      </c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92">
        <f t="shared" si="2"/>
        <v>0</v>
      </c>
      <c r="AD33" s="192">
        <f t="shared" si="3"/>
        <v>0</v>
      </c>
      <c r="AE33" s="189">
        <f t="shared" si="4"/>
        <v>0</v>
      </c>
    </row>
    <row r="34" spans="1:31" ht="18" customHeight="1" outlineLevel="1" x14ac:dyDescent="0.25">
      <c r="A34" s="9" t="s">
        <v>235</v>
      </c>
      <c r="B34" s="127">
        <v>92.14</v>
      </c>
      <c r="C34" s="156"/>
      <c r="D34" s="188">
        <v>0</v>
      </c>
      <c r="E34" s="188">
        <v>0</v>
      </c>
      <c r="F34" s="188">
        <v>0</v>
      </c>
      <c r="G34" s="188">
        <v>0</v>
      </c>
      <c r="H34" s="188">
        <v>0</v>
      </c>
      <c r="I34" s="110">
        <v>0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0</v>
      </c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92">
        <f t="shared" si="2"/>
        <v>0</v>
      </c>
      <c r="AD34" s="192">
        <f t="shared" si="3"/>
        <v>0</v>
      </c>
      <c r="AE34" s="189">
        <f t="shared" si="4"/>
        <v>0</v>
      </c>
    </row>
    <row r="35" spans="1:31" ht="18" customHeight="1" outlineLevel="1" x14ac:dyDescent="0.25">
      <c r="A35" s="9" t="s">
        <v>236</v>
      </c>
      <c r="B35" s="127">
        <v>106.167</v>
      </c>
      <c r="C35" s="156"/>
      <c r="D35" s="188">
        <v>0</v>
      </c>
      <c r="E35" s="188">
        <v>0</v>
      </c>
      <c r="F35" s="188">
        <v>0</v>
      </c>
      <c r="G35" s="188">
        <v>0</v>
      </c>
      <c r="H35" s="188">
        <v>0</v>
      </c>
      <c r="I35" s="110">
        <v>0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0</v>
      </c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92">
        <f t="shared" si="2"/>
        <v>0</v>
      </c>
      <c r="AD35" s="192">
        <f t="shared" si="3"/>
        <v>0</v>
      </c>
      <c r="AE35" s="189">
        <f t="shared" si="4"/>
        <v>0</v>
      </c>
    </row>
    <row r="36" spans="1:31" ht="18" customHeight="1" outlineLevel="1" x14ac:dyDescent="0.25">
      <c r="A36" s="9" t="s">
        <v>237</v>
      </c>
      <c r="B36" s="127">
        <v>106.167</v>
      </c>
      <c r="C36" s="156"/>
      <c r="D36" s="188">
        <v>0</v>
      </c>
      <c r="E36" s="188">
        <v>0</v>
      </c>
      <c r="F36" s="188">
        <v>0</v>
      </c>
      <c r="G36" s="188">
        <v>0</v>
      </c>
      <c r="H36" s="188">
        <v>0</v>
      </c>
      <c r="I36" s="110">
        <v>0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92">
        <f t="shared" si="2"/>
        <v>0</v>
      </c>
      <c r="AD36" s="192">
        <f t="shared" si="3"/>
        <v>0</v>
      </c>
      <c r="AE36" s="189">
        <f t="shared" si="4"/>
        <v>0</v>
      </c>
    </row>
    <row r="37" spans="1:31" ht="18" customHeight="1" outlineLevel="1" x14ac:dyDescent="0.25">
      <c r="A37" s="9" t="s">
        <v>238</v>
      </c>
      <c r="B37" s="127">
        <v>106.167</v>
      </c>
      <c r="C37" s="156"/>
      <c r="D37" s="188">
        <v>2.1900000000000001E-3</v>
      </c>
      <c r="E37" s="188">
        <v>4.5909999999999996E-3</v>
      </c>
      <c r="F37" s="188">
        <v>2.8860000000000001E-3</v>
      </c>
      <c r="G37" s="188">
        <v>1.377E-3</v>
      </c>
      <c r="H37" s="188">
        <v>1.377E-3</v>
      </c>
      <c r="I37" s="110">
        <v>1.6739999999999999E-3</v>
      </c>
      <c r="J37" s="110">
        <v>4.0870000000000004E-3</v>
      </c>
      <c r="K37" s="110">
        <v>3.86E-4</v>
      </c>
      <c r="L37" s="110">
        <v>0</v>
      </c>
      <c r="M37" s="110">
        <v>0</v>
      </c>
      <c r="N37" s="110">
        <v>0</v>
      </c>
      <c r="O37" s="110">
        <v>2.9E-4</v>
      </c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92">
        <f t="shared" si="2"/>
        <v>1.6637581008613657E-3</v>
      </c>
      <c r="AD37" s="192">
        <f t="shared" si="3"/>
        <v>1.5152727272727271E-3</v>
      </c>
      <c r="AE37" s="189">
        <f t="shared" si="4"/>
        <v>4.8427889289954585E-3</v>
      </c>
    </row>
    <row r="38" spans="1:31" ht="18" customHeight="1" outlineLevel="1" x14ac:dyDescent="0.25">
      <c r="A38" s="9" t="s">
        <v>239</v>
      </c>
      <c r="B38" s="127">
        <v>106.167</v>
      </c>
      <c r="C38" s="156"/>
      <c r="D38" s="188">
        <v>0</v>
      </c>
      <c r="E38" s="188">
        <v>0</v>
      </c>
      <c r="F38" s="188">
        <v>0</v>
      </c>
      <c r="G38" s="188">
        <v>0</v>
      </c>
      <c r="H38" s="188">
        <v>0</v>
      </c>
      <c r="I38" s="110">
        <v>0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92">
        <f t="shared" si="2"/>
        <v>0</v>
      </c>
      <c r="AD38" s="192">
        <f t="shared" si="3"/>
        <v>0</v>
      </c>
      <c r="AE38" s="189">
        <f t="shared" si="4"/>
        <v>0</v>
      </c>
    </row>
    <row r="39" spans="1:31" ht="18" customHeight="1" outlineLevel="1" x14ac:dyDescent="0.25">
      <c r="A39" s="9" t="s">
        <v>240</v>
      </c>
      <c r="B39" s="127">
        <v>86.18</v>
      </c>
      <c r="C39" s="156"/>
      <c r="D39" s="188">
        <v>5.5400000000000002E-4</v>
      </c>
      <c r="E39" s="188">
        <v>6.1840000000000003E-3</v>
      </c>
      <c r="F39" s="188">
        <v>5.7400000000000003E-3</v>
      </c>
      <c r="G39" s="188">
        <v>6.4840000000000002E-3</v>
      </c>
      <c r="H39" s="188">
        <v>1.4515E-2</v>
      </c>
      <c r="I39" s="110">
        <v>6.7650000000000002E-3</v>
      </c>
      <c r="J39" s="110">
        <v>1.083E-3</v>
      </c>
      <c r="K39" s="110">
        <v>4.9799999999999996E-4</v>
      </c>
      <c r="L39" s="110">
        <v>5.3799999999999996E-4</v>
      </c>
      <c r="M39" s="110">
        <v>3.88E-4</v>
      </c>
      <c r="N39" s="110">
        <v>0</v>
      </c>
      <c r="O39" s="110">
        <v>3.2400000000000001E-4</v>
      </c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92">
        <f t="shared" si="2"/>
        <v>4.5529838847227933E-3</v>
      </c>
      <c r="AD39" s="192">
        <f t="shared" si="3"/>
        <v>3.865363636363636E-3</v>
      </c>
      <c r="AE39" s="189">
        <f t="shared" si="4"/>
        <v>1.2971331405809222E-2</v>
      </c>
    </row>
    <row r="40" spans="1:31" ht="18" customHeight="1" outlineLevel="1" x14ac:dyDescent="0.25">
      <c r="A40" s="9" t="s">
        <v>241</v>
      </c>
      <c r="B40" s="127">
        <v>114.23</v>
      </c>
      <c r="C40" s="156"/>
      <c r="D40" s="188">
        <v>0</v>
      </c>
      <c r="E40" s="188">
        <v>0</v>
      </c>
      <c r="F40" s="188">
        <v>0</v>
      </c>
      <c r="G40" s="188">
        <v>0</v>
      </c>
      <c r="H40" s="188">
        <v>0</v>
      </c>
      <c r="I40" s="110">
        <v>0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92">
        <f t="shared" si="2"/>
        <v>0</v>
      </c>
      <c r="AD40" s="192">
        <f t="shared" si="3"/>
        <v>0</v>
      </c>
      <c r="AE40" s="189">
        <f t="shared" si="4"/>
        <v>0</v>
      </c>
    </row>
    <row r="41" spans="1:31" ht="18" customHeight="1" outlineLevel="1" x14ac:dyDescent="0.25">
      <c r="A41" s="9" t="s">
        <v>242</v>
      </c>
      <c r="B41" s="127">
        <v>100.21</v>
      </c>
      <c r="C41" s="156"/>
      <c r="D41" s="188">
        <v>0</v>
      </c>
      <c r="E41" s="188">
        <v>0</v>
      </c>
      <c r="F41" s="188">
        <v>0</v>
      </c>
      <c r="G41" s="188">
        <v>0</v>
      </c>
      <c r="H41" s="188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92">
        <f t="shared" si="2"/>
        <v>0</v>
      </c>
      <c r="AD41" s="192">
        <f t="shared" si="3"/>
        <v>0</v>
      </c>
      <c r="AE41" s="189">
        <f t="shared" si="4"/>
        <v>0</v>
      </c>
    </row>
    <row r="42" spans="1:31" ht="18" customHeight="1" outlineLevel="1" x14ac:dyDescent="0.25">
      <c r="A42" s="9" t="s">
        <v>37</v>
      </c>
      <c r="B42" s="127">
        <v>44.01</v>
      </c>
      <c r="C42" s="156"/>
      <c r="D42" s="188">
        <v>0</v>
      </c>
      <c r="E42" s="188">
        <v>0</v>
      </c>
      <c r="F42" s="188">
        <v>0</v>
      </c>
      <c r="G42" s="188">
        <v>0</v>
      </c>
      <c r="H42" s="188">
        <v>0</v>
      </c>
      <c r="I42" s="110">
        <v>0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92">
        <f t="shared" si="2"/>
        <v>0</v>
      </c>
      <c r="AD42" s="192">
        <f t="shared" si="3"/>
        <v>0</v>
      </c>
      <c r="AE42" s="189">
        <f t="shared" si="4"/>
        <v>0</v>
      </c>
    </row>
    <row r="43" spans="1:31" ht="18" customHeight="1" outlineLevel="1" x14ac:dyDescent="0.25">
      <c r="A43" s="9" t="s">
        <v>39</v>
      </c>
      <c r="B43" s="127">
        <v>39.948</v>
      </c>
      <c r="C43" s="156"/>
      <c r="D43" s="188">
        <v>4.815048</v>
      </c>
      <c r="E43" s="188">
        <v>4.3125540000000004</v>
      </c>
      <c r="F43" s="188">
        <v>4.3104370000000003</v>
      </c>
      <c r="G43" s="188">
        <v>4.3242370000000001</v>
      </c>
      <c r="H43" s="188">
        <v>4.317329</v>
      </c>
      <c r="I43" s="110">
        <v>4.3277700000000001</v>
      </c>
      <c r="J43" s="110">
        <v>4.300198</v>
      </c>
      <c r="K43" s="110">
        <v>4.2987109999999999</v>
      </c>
      <c r="L43" s="110">
        <v>4.3139269999999996</v>
      </c>
      <c r="M43" s="110">
        <v>4.3236210000000002</v>
      </c>
      <c r="N43" s="110">
        <v>4.3116669999999999</v>
      </c>
      <c r="O43" s="110">
        <v>4.3184930000000001</v>
      </c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92">
        <f t="shared" si="2"/>
        <v>9.2763286095700666E-3</v>
      </c>
      <c r="AD43" s="192">
        <f t="shared" si="3"/>
        <v>4.3144494545454544</v>
      </c>
      <c r="AE43" s="189">
        <f t="shared" si="4"/>
        <v>4.3330021117645945</v>
      </c>
    </row>
    <row r="44" spans="1:31" ht="18" customHeight="1" outlineLevel="1" x14ac:dyDescent="0.25">
      <c r="A44" s="9" t="s">
        <v>38</v>
      </c>
      <c r="B44" s="127">
        <v>28.01</v>
      </c>
      <c r="C44" s="156"/>
      <c r="D44" s="188">
        <v>0</v>
      </c>
      <c r="E44" s="188">
        <v>0</v>
      </c>
      <c r="F44" s="188">
        <v>0</v>
      </c>
      <c r="G44" s="188">
        <v>0</v>
      </c>
      <c r="H44" s="188">
        <v>0</v>
      </c>
      <c r="I44" s="110">
        <v>0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92">
        <f t="shared" si="2"/>
        <v>0</v>
      </c>
      <c r="AD44" s="192">
        <f t="shared" si="3"/>
        <v>0</v>
      </c>
      <c r="AE44" s="189">
        <f t="shared" si="4"/>
        <v>0</v>
      </c>
    </row>
    <row r="45" spans="1:31" ht="18" customHeight="1" outlineLevel="1" x14ac:dyDescent="0.25">
      <c r="A45" s="9" t="s">
        <v>243</v>
      </c>
      <c r="B45" s="127">
        <v>2.016</v>
      </c>
      <c r="C45" s="156"/>
      <c r="D45" s="188">
        <v>21.383147999999998</v>
      </c>
      <c r="E45" s="188">
        <v>21.533913999999999</v>
      </c>
      <c r="F45" s="188">
        <v>21.878039999999999</v>
      </c>
      <c r="G45" s="188">
        <v>21.793243</v>
      </c>
      <c r="H45" s="188">
        <v>21.800253999999999</v>
      </c>
      <c r="I45" s="110">
        <v>21.709341999999999</v>
      </c>
      <c r="J45" s="110">
        <v>21.873007000000001</v>
      </c>
      <c r="K45" s="110">
        <v>21.741810999999998</v>
      </c>
      <c r="L45" s="110">
        <v>21.739568999999999</v>
      </c>
      <c r="M45" s="110">
        <v>21.744081999999999</v>
      </c>
      <c r="N45" s="110">
        <v>21.570871</v>
      </c>
      <c r="O45" s="110">
        <v>21.640436000000001</v>
      </c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92">
        <f t="shared" si="2"/>
        <v>0.11133240906590566</v>
      </c>
      <c r="AD45" s="192">
        <f t="shared" si="3"/>
        <v>21.729506272727271</v>
      </c>
      <c r="AE45" s="189">
        <f t="shared" si="4"/>
        <v>21.952171090859082</v>
      </c>
    </row>
    <row r="46" spans="1:31" ht="18" customHeight="1" outlineLevel="1" x14ac:dyDescent="0.25">
      <c r="A46" s="9" t="s">
        <v>55</v>
      </c>
      <c r="B46" s="127">
        <v>26.04</v>
      </c>
      <c r="C46" s="156"/>
      <c r="D46" s="188">
        <v>8.0617370000000008</v>
      </c>
      <c r="E46" s="188">
        <v>8.2572069999999993</v>
      </c>
      <c r="F46" s="188">
        <v>8.3121639999999992</v>
      </c>
      <c r="G46" s="188">
        <v>8.4924599999999995</v>
      </c>
      <c r="H46" s="188">
        <v>8.5167210000000004</v>
      </c>
      <c r="I46" s="110">
        <v>8.5093540000000001</v>
      </c>
      <c r="J46" s="110">
        <v>8.5393319999999999</v>
      </c>
      <c r="K46" s="110">
        <v>8.5344090000000001</v>
      </c>
      <c r="L46" s="110">
        <v>7.8646820000000002</v>
      </c>
      <c r="M46" s="110">
        <v>7.9125269999999999</v>
      </c>
      <c r="N46" s="110">
        <v>7.8839399999999999</v>
      </c>
      <c r="O46" s="110">
        <v>7.9002829999999999</v>
      </c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92">
        <f t="shared" si="2"/>
        <v>0.29737236506988096</v>
      </c>
      <c r="AD46" s="192">
        <f t="shared" si="3"/>
        <v>8.2475526363636362</v>
      </c>
      <c r="AE46" s="189">
        <f t="shared" si="4"/>
        <v>8.8422973665033986</v>
      </c>
    </row>
    <row r="47" spans="1:31" ht="18" customHeight="1" outlineLevel="1" x14ac:dyDescent="0.25">
      <c r="A47" s="9" t="s">
        <v>244</v>
      </c>
      <c r="B47" s="127">
        <v>58.12</v>
      </c>
      <c r="C47" s="156"/>
      <c r="D47" s="188">
        <v>0</v>
      </c>
      <c r="E47" s="188">
        <v>0</v>
      </c>
      <c r="F47" s="188">
        <v>0</v>
      </c>
      <c r="G47" s="188">
        <v>0</v>
      </c>
      <c r="H47" s="188">
        <v>0</v>
      </c>
      <c r="I47" s="110">
        <v>0</v>
      </c>
      <c r="J47" s="110">
        <v>0</v>
      </c>
      <c r="K47" s="110">
        <v>0</v>
      </c>
      <c r="L47" s="110">
        <v>0</v>
      </c>
      <c r="M47" s="110">
        <v>0</v>
      </c>
      <c r="N47" s="110">
        <v>0</v>
      </c>
      <c r="O47" s="110">
        <v>0</v>
      </c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92">
        <f t="shared" si="2"/>
        <v>0</v>
      </c>
      <c r="AD47" s="192">
        <f t="shared" si="3"/>
        <v>0</v>
      </c>
      <c r="AE47" s="189">
        <f t="shared" si="4"/>
        <v>0</v>
      </c>
    </row>
    <row r="48" spans="1:31" ht="18" customHeight="1" outlineLevel="1" x14ac:dyDescent="0.25">
      <c r="A48" s="9" t="s">
        <v>245</v>
      </c>
      <c r="B48" s="127">
        <v>28.013400000000001</v>
      </c>
      <c r="C48" s="156"/>
      <c r="D48" s="188">
        <v>58.459293000000002</v>
      </c>
      <c r="E48" s="188">
        <v>58.673375999999998</v>
      </c>
      <c r="F48" s="188">
        <v>58.795352999999999</v>
      </c>
      <c r="G48" s="188">
        <v>58.744627000000001</v>
      </c>
      <c r="H48" s="188">
        <v>58.681742</v>
      </c>
      <c r="I48" s="110">
        <v>59.088476999999997</v>
      </c>
      <c r="J48" s="110">
        <v>58.615516999999997</v>
      </c>
      <c r="K48" s="110">
        <v>58.46575</v>
      </c>
      <c r="L48" s="110">
        <v>59.488698999999997</v>
      </c>
      <c r="M48" s="110">
        <v>59.378946999999997</v>
      </c>
      <c r="N48" s="110">
        <v>59.471499999999999</v>
      </c>
      <c r="O48" s="110">
        <v>59.591121000000001</v>
      </c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92">
        <f t="shared" si="2"/>
        <v>0.41355860870383826</v>
      </c>
      <c r="AD48" s="192">
        <f t="shared" si="3"/>
        <v>58.999555363636368</v>
      </c>
      <c r="AE48" s="189">
        <f t="shared" si="4"/>
        <v>59.826672581044043</v>
      </c>
    </row>
    <row r="49" spans="1:30" ht="18" customHeight="1" outlineLevel="1" x14ac:dyDescent="0.25">
      <c r="A49" s="9"/>
      <c r="B49" s="127"/>
      <c r="C49" s="157"/>
      <c r="D49" s="150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</row>
    <row r="51" spans="1:30" ht="18" customHeight="1" outlineLevel="1" x14ac:dyDescent="0.25">
      <c r="A51" s="9" t="s">
        <v>246</v>
      </c>
      <c r="B51" s="7"/>
      <c r="C51" s="7" t="s">
        <v>247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208" t="s">
        <v>248</v>
      </c>
      <c r="AD51" s="189" t="s">
        <v>249</v>
      </c>
    </row>
    <row r="52" spans="1:30" ht="18" customHeight="1" outlineLevel="1" x14ac:dyDescent="0.25">
      <c r="A52" s="9" t="str">
        <f t="shared" ref="A52:A81" si="5">IF(A20="", "", CONCATENATE(A20, " [g/h]"))</f>
        <v>Methane [g/h]</v>
      </c>
      <c r="B52" s="102"/>
      <c r="C52" s="103">
        <f t="shared" ref="C52:C84" si="6">IFERROR(AVERAGE(D52:AB52), "")</f>
        <v>5.52148544863812E-2</v>
      </c>
      <c r="D52" s="103">
        <f t="shared" ref="D52:AB52" si="7">IF(SUM(D20:D48)=0, "", (D20*$B20/(D$43*$B$43))*$F$5)</f>
        <v>4.9140290972989172E-2</v>
      </c>
      <c r="E52" s="103">
        <f t="shared" si="7"/>
        <v>5.5140527764623283E-2</v>
      </c>
      <c r="F52" s="103">
        <f t="shared" si="7"/>
        <v>5.5345166972247652E-2</v>
      </c>
      <c r="G52" s="103">
        <f t="shared" si="7"/>
        <v>5.6085488086757083E-2</v>
      </c>
      <c r="H52" s="103">
        <f t="shared" si="7"/>
        <v>5.6364105387370668E-2</v>
      </c>
      <c r="I52" s="103">
        <f t="shared" si="7"/>
        <v>5.6032778869663818E-2</v>
      </c>
      <c r="J52" s="103">
        <f t="shared" si="7"/>
        <v>5.6299051796161244E-2</v>
      </c>
      <c r="K52" s="103">
        <f t="shared" si="7"/>
        <v>5.6447071082141448E-2</v>
      </c>
      <c r="L52" s="103">
        <f t="shared" si="7"/>
        <v>5.5440499884672485E-2</v>
      </c>
      <c r="M52" s="103">
        <f t="shared" si="7"/>
        <v>5.5407585306549038E-2</v>
      </c>
      <c r="N52" s="103">
        <f t="shared" si="7"/>
        <v>5.5432020183346691E-2</v>
      </c>
      <c r="O52" s="103">
        <f t="shared" si="7"/>
        <v>5.54436675300519E-2</v>
      </c>
      <c r="P52" s="103" t="str">
        <f t="shared" si="7"/>
        <v/>
      </c>
      <c r="Q52" s="103" t="str">
        <f t="shared" si="7"/>
        <v/>
      </c>
      <c r="R52" s="103" t="str">
        <f t="shared" si="7"/>
        <v/>
      </c>
      <c r="S52" s="103" t="str">
        <f t="shared" si="7"/>
        <v/>
      </c>
      <c r="T52" s="103" t="str">
        <f t="shared" si="7"/>
        <v/>
      </c>
      <c r="U52" s="103" t="str">
        <f t="shared" si="7"/>
        <v/>
      </c>
      <c r="V52" s="103" t="str">
        <f t="shared" si="7"/>
        <v/>
      </c>
      <c r="W52" s="103" t="str">
        <f t="shared" si="7"/>
        <v/>
      </c>
      <c r="X52" s="103" t="str">
        <f t="shared" si="7"/>
        <v/>
      </c>
      <c r="Y52" s="103" t="str">
        <f t="shared" si="7"/>
        <v/>
      </c>
      <c r="Z52" s="103" t="str">
        <f t="shared" si="7"/>
        <v/>
      </c>
      <c r="AA52" s="103" t="str">
        <f t="shared" si="7"/>
        <v/>
      </c>
      <c r="AB52" s="103" t="str">
        <f t="shared" si="7"/>
        <v/>
      </c>
      <c r="AC52" s="192">
        <f t="shared" ref="AC52:AC80" si="8">(12.011*$AD52/$B20)*$C52</f>
        <v>4.1345736735406771E-2</v>
      </c>
      <c r="AD52" s="191">
        <v>1</v>
      </c>
    </row>
    <row r="53" spans="1:30" ht="18" customHeight="1" outlineLevel="1" x14ac:dyDescent="0.25">
      <c r="A53" s="9" t="str">
        <f t="shared" si="5"/>
        <v>Ethane [g/h]</v>
      </c>
      <c r="B53" s="102"/>
      <c r="C53" s="103">
        <f t="shared" si="6"/>
        <v>1.1534176068095424E-4</v>
      </c>
      <c r="D53" s="103">
        <f t="shared" ref="D53:AB53" si="9">IF(SUM(D21:D49)=0, "", (D21*$B21/(D$43*$B$43))*$F$5)</f>
        <v>1.9935824887922586E-4</v>
      </c>
      <c r="E53" s="103">
        <f t="shared" si="9"/>
        <v>1.5466437744324931E-4</v>
      </c>
      <c r="F53" s="103">
        <f t="shared" si="9"/>
        <v>1.4210847394888532E-4</v>
      </c>
      <c r="G53" s="103">
        <f t="shared" si="9"/>
        <v>1.3647489222143582E-4</v>
      </c>
      <c r="H53" s="103">
        <f t="shared" si="9"/>
        <v>2.5973715054625982E-4</v>
      </c>
      <c r="I53" s="103">
        <f t="shared" si="9"/>
        <v>7.7916300924200954E-5</v>
      </c>
      <c r="J53" s="103">
        <f t="shared" si="9"/>
        <v>7.0722552950575076E-5</v>
      </c>
      <c r="K53" s="103">
        <f t="shared" si="9"/>
        <v>6.0405526807123297E-5</v>
      </c>
      <c r="L53" s="103">
        <f t="shared" si="9"/>
        <v>7.4291961523031616E-5</v>
      </c>
      <c r="M53" s="103">
        <f t="shared" si="9"/>
        <v>6.9303255681148668E-5</v>
      </c>
      <c r="N53" s="103">
        <f t="shared" si="9"/>
        <v>6.825654902997634E-5</v>
      </c>
      <c r="O53" s="103">
        <f t="shared" si="9"/>
        <v>7.0861838216338866E-5</v>
      </c>
      <c r="P53" s="103" t="str">
        <f t="shared" si="9"/>
        <v/>
      </c>
      <c r="Q53" s="103" t="str">
        <f t="shared" si="9"/>
        <v/>
      </c>
      <c r="R53" s="103" t="str">
        <f t="shared" si="9"/>
        <v/>
      </c>
      <c r="S53" s="103" t="str">
        <f t="shared" si="9"/>
        <v/>
      </c>
      <c r="T53" s="103" t="str">
        <f t="shared" si="9"/>
        <v/>
      </c>
      <c r="U53" s="103" t="str">
        <f t="shared" si="9"/>
        <v/>
      </c>
      <c r="V53" s="103" t="str">
        <f t="shared" si="9"/>
        <v/>
      </c>
      <c r="W53" s="103" t="str">
        <f t="shared" si="9"/>
        <v/>
      </c>
      <c r="X53" s="103" t="str">
        <f t="shared" si="9"/>
        <v/>
      </c>
      <c r="Y53" s="103" t="str">
        <f t="shared" si="9"/>
        <v/>
      </c>
      <c r="Z53" s="103" t="str">
        <f t="shared" si="9"/>
        <v/>
      </c>
      <c r="AA53" s="103" t="str">
        <f t="shared" si="9"/>
        <v/>
      </c>
      <c r="AB53" s="103" t="str">
        <f t="shared" si="9"/>
        <v/>
      </c>
      <c r="AC53" s="192">
        <f t="shared" si="8"/>
        <v>9.2142992187491929E-5</v>
      </c>
      <c r="AD53" s="189">
        <v>2</v>
      </c>
    </row>
    <row r="54" spans="1:30" ht="18" customHeight="1" outlineLevel="1" x14ac:dyDescent="0.25">
      <c r="A54" s="9" t="str">
        <f t="shared" si="5"/>
        <v>Ethylene [g/h]</v>
      </c>
      <c r="B54" s="102"/>
      <c r="C54" s="103">
        <f t="shared" si="6"/>
        <v>6.0823958323408256E-2</v>
      </c>
      <c r="D54" s="103">
        <f t="shared" ref="D54:AB54" si="10">IF(SUM(D22:D50)=0, "", (D22*$B22/(D$43*$B$43))*$F$5)</f>
        <v>5.4476066477067236E-2</v>
      </c>
      <c r="E54" s="103">
        <f t="shared" si="10"/>
        <v>6.0850839300035847E-2</v>
      </c>
      <c r="F54" s="103">
        <f t="shared" si="10"/>
        <v>6.1128472771826099E-2</v>
      </c>
      <c r="G54" s="103">
        <f t="shared" si="10"/>
        <v>6.2048713201119113E-2</v>
      </c>
      <c r="H54" s="103">
        <f t="shared" si="10"/>
        <v>6.2201121419410615E-2</v>
      </c>
      <c r="I54" s="103">
        <f t="shared" si="10"/>
        <v>6.155130741990969E-2</v>
      </c>
      <c r="J54" s="103">
        <f t="shared" si="10"/>
        <v>6.1980087802968813E-2</v>
      </c>
      <c r="K54" s="103">
        <f t="shared" si="10"/>
        <v>6.1801600074341302E-2</v>
      </c>
      <c r="L54" s="103">
        <f t="shared" si="10"/>
        <v>6.0749689249006034E-2</v>
      </c>
      <c r="M54" s="103">
        <f t="shared" si="10"/>
        <v>6.1054008540747225E-2</v>
      </c>
      <c r="N54" s="103">
        <f t="shared" si="10"/>
        <v>6.0964791796639863E-2</v>
      </c>
      <c r="O54" s="103">
        <f t="shared" si="10"/>
        <v>6.1080801827827255E-2</v>
      </c>
      <c r="P54" s="103" t="str">
        <f t="shared" si="10"/>
        <v/>
      </c>
      <c r="Q54" s="103" t="str">
        <f t="shared" si="10"/>
        <v/>
      </c>
      <c r="R54" s="103" t="str">
        <f t="shared" si="10"/>
        <v/>
      </c>
      <c r="S54" s="103" t="str">
        <f t="shared" si="10"/>
        <v/>
      </c>
      <c r="T54" s="103" t="str">
        <f t="shared" si="10"/>
        <v/>
      </c>
      <c r="U54" s="103" t="str">
        <f t="shared" si="10"/>
        <v/>
      </c>
      <c r="V54" s="103" t="str">
        <f t="shared" si="10"/>
        <v/>
      </c>
      <c r="W54" s="103" t="str">
        <f t="shared" si="10"/>
        <v/>
      </c>
      <c r="X54" s="103" t="str">
        <f t="shared" si="10"/>
        <v/>
      </c>
      <c r="Y54" s="103" t="str">
        <f t="shared" si="10"/>
        <v/>
      </c>
      <c r="Z54" s="103" t="str">
        <f t="shared" si="10"/>
        <v/>
      </c>
      <c r="AA54" s="103" t="str">
        <f t="shared" si="10"/>
        <v/>
      </c>
      <c r="AB54" s="103" t="str">
        <f t="shared" si="10"/>
        <v/>
      </c>
      <c r="AC54" s="192">
        <f t="shared" si="8"/>
        <v>5.20895945399256E-2</v>
      </c>
      <c r="AD54" s="189">
        <v>2</v>
      </c>
    </row>
    <row r="55" spans="1:30" ht="18" customHeight="1" outlineLevel="1" x14ac:dyDescent="0.25">
      <c r="A55" s="9" t="str">
        <f t="shared" si="5"/>
        <v>Propane [g/h]</v>
      </c>
      <c r="B55" s="102"/>
      <c r="C55" s="103">
        <f t="shared" si="6"/>
        <v>0</v>
      </c>
      <c r="D55" s="103">
        <f t="shared" ref="D55:AB55" si="11">IF(SUM(D23:D51)=0, "", (D23*$B23/(D$43*$B$43))*$F$5)</f>
        <v>0</v>
      </c>
      <c r="E55" s="103">
        <f t="shared" si="11"/>
        <v>0</v>
      </c>
      <c r="F55" s="103">
        <f t="shared" si="11"/>
        <v>0</v>
      </c>
      <c r="G55" s="103">
        <f t="shared" si="11"/>
        <v>0</v>
      </c>
      <c r="H55" s="103">
        <f t="shared" si="11"/>
        <v>0</v>
      </c>
      <c r="I55" s="103">
        <f t="shared" si="11"/>
        <v>0</v>
      </c>
      <c r="J55" s="103">
        <f t="shared" si="11"/>
        <v>0</v>
      </c>
      <c r="K55" s="103">
        <f t="shared" si="11"/>
        <v>0</v>
      </c>
      <c r="L55" s="103">
        <f t="shared" si="11"/>
        <v>0</v>
      </c>
      <c r="M55" s="103">
        <f t="shared" si="11"/>
        <v>0</v>
      </c>
      <c r="N55" s="103">
        <f t="shared" si="11"/>
        <v>0</v>
      </c>
      <c r="O55" s="103">
        <f t="shared" si="11"/>
        <v>0</v>
      </c>
      <c r="P55" s="103" t="str">
        <f t="shared" si="11"/>
        <v/>
      </c>
      <c r="Q55" s="103" t="str">
        <f t="shared" si="11"/>
        <v/>
      </c>
      <c r="R55" s="103" t="str">
        <f t="shared" si="11"/>
        <v/>
      </c>
      <c r="S55" s="103" t="str">
        <f t="shared" si="11"/>
        <v/>
      </c>
      <c r="T55" s="103" t="str">
        <f t="shared" si="11"/>
        <v/>
      </c>
      <c r="U55" s="103" t="str">
        <f t="shared" si="11"/>
        <v/>
      </c>
      <c r="V55" s="103" t="str">
        <f t="shared" si="11"/>
        <v/>
      </c>
      <c r="W55" s="103" t="str">
        <f t="shared" si="11"/>
        <v/>
      </c>
      <c r="X55" s="103" t="str">
        <f t="shared" si="11"/>
        <v/>
      </c>
      <c r="Y55" s="103" t="str">
        <f t="shared" si="11"/>
        <v/>
      </c>
      <c r="Z55" s="103" t="str">
        <f t="shared" si="11"/>
        <v/>
      </c>
      <c r="AA55" s="103" t="str">
        <f t="shared" si="11"/>
        <v/>
      </c>
      <c r="AB55" s="103" t="str">
        <f t="shared" si="11"/>
        <v/>
      </c>
      <c r="AC55" s="192">
        <f t="shared" si="8"/>
        <v>0</v>
      </c>
      <c r="AD55" s="189">
        <v>3</v>
      </c>
    </row>
    <row r="56" spans="1:30" ht="18" customHeight="1" outlineLevel="1" x14ac:dyDescent="0.25">
      <c r="A56" s="9" t="str">
        <f t="shared" si="5"/>
        <v>Propylene [g/h]</v>
      </c>
      <c r="B56" s="102"/>
      <c r="C56" s="103">
        <f t="shared" si="6"/>
        <v>3.7508670264897039E-5</v>
      </c>
      <c r="D56" s="103">
        <f t="shared" ref="D56:AB56" si="12">IF(SUM(D24:D52)=0, "", (D24*$B24/(D$43*$B$43))*$F$5)</f>
        <v>1.1122231066309768E-4</v>
      </c>
      <c r="E56" s="103">
        <f t="shared" si="12"/>
        <v>9.3262161309225352E-5</v>
      </c>
      <c r="F56" s="103">
        <f t="shared" si="12"/>
        <v>6.3044410729467799E-5</v>
      </c>
      <c r="G56" s="103">
        <f t="shared" si="12"/>
        <v>4.7285756282027677E-5</v>
      </c>
      <c r="H56" s="103">
        <f t="shared" si="12"/>
        <v>9.7515369326961867E-5</v>
      </c>
      <c r="I56" s="103">
        <f t="shared" si="12"/>
        <v>2.0503482046977394E-5</v>
      </c>
      <c r="J56" s="103">
        <f t="shared" si="12"/>
        <v>1.7270552821006721E-5</v>
      </c>
      <c r="K56" s="103">
        <f t="shared" si="12"/>
        <v>0</v>
      </c>
      <c r="L56" s="103">
        <f t="shared" si="12"/>
        <v>0</v>
      </c>
      <c r="M56" s="103">
        <f t="shared" si="12"/>
        <v>0</v>
      </c>
      <c r="N56" s="103">
        <f t="shared" si="12"/>
        <v>0</v>
      </c>
      <c r="O56" s="103">
        <f t="shared" si="12"/>
        <v>0</v>
      </c>
      <c r="P56" s="103" t="str">
        <f t="shared" si="12"/>
        <v/>
      </c>
      <c r="Q56" s="103" t="str">
        <f t="shared" si="12"/>
        <v/>
      </c>
      <c r="R56" s="103" t="str">
        <f t="shared" si="12"/>
        <v/>
      </c>
      <c r="S56" s="103" t="str">
        <f t="shared" si="12"/>
        <v/>
      </c>
      <c r="T56" s="103" t="str">
        <f t="shared" si="12"/>
        <v/>
      </c>
      <c r="U56" s="103" t="str">
        <f t="shared" si="12"/>
        <v/>
      </c>
      <c r="V56" s="103" t="str">
        <f t="shared" si="12"/>
        <v/>
      </c>
      <c r="W56" s="103" t="str">
        <f t="shared" si="12"/>
        <v/>
      </c>
      <c r="X56" s="103" t="str">
        <f t="shared" si="12"/>
        <v/>
      </c>
      <c r="Y56" s="103" t="str">
        <f t="shared" si="12"/>
        <v/>
      </c>
      <c r="Z56" s="103" t="str">
        <f t="shared" si="12"/>
        <v/>
      </c>
      <c r="AA56" s="103" t="str">
        <f t="shared" si="12"/>
        <v/>
      </c>
      <c r="AB56" s="103" t="str">
        <f t="shared" si="12"/>
        <v/>
      </c>
      <c r="AC56" s="192">
        <f t="shared" si="8"/>
        <v>3.2118581645794564E-5</v>
      </c>
      <c r="AD56" s="189">
        <v>3</v>
      </c>
    </row>
    <row r="57" spans="1:30" ht="18" customHeight="1" outlineLevel="1" x14ac:dyDescent="0.25">
      <c r="A57" s="9" t="str">
        <f t="shared" si="5"/>
        <v>Butane [g/h]</v>
      </c>
      <c r="B57" s="102"/>
      <c r="C57" s="103">
        <f t="shared" si="6"/>
        <v>8.3934399351178059E-6</v>
      </c>
      <c r="D57" s="103">
        <f t="shared" ref="D57:AB57" si="13">IF(SUM(D25:D53)=0, "", (D25*$B25/(D$43*$B$43))*$F$5)</f>
        <v>2.9810585055112661E-5</v>
      </c>
      <c r="E57" s="103">
        <f t="shared" si="13"/>
        <v>2.20091952914608E-5</v>
      </c>
      <c r="F57" s="103">
        <f t="shared" si="13"/>
        <v>0</v>
      </c>
      <c r="G57" s="103">
        <f t="shared" si="13"/>
        <v>0</v>
      </c>
      <c r="H57" s="103">
        <f t="shared" si="13"/>
        <v>2.9775976272752268E-5</v>
      </c>
      <c r="I57" s="103">
        <f t="shared" si="13"/>
        <v>0</v>
      </c>
      <c r="J57" s="103">
        <f t="shared" si="13"/>
        <v>0</v>
      </c>
      <c r="K57" s="103">
        <f t="shared" si="13"/>
        <v>0</v>
      </c>
      <c r="L57" s="103">
        <f t="shared" si="13"/>
        <v>0</v>
      </c>
      <c r="M57" s="103">
        <f t="shared" si="13"/>
        <v>0</v>
      </c>
      <c r="N57" s="103">
        <f t="shared" si="13"/>
        <v>0</v>
      </c>
      <c r="O57" s="103">
        <f t="shared" si="13"/>
        <v>1.9125522602087931E-5</v>
      </c>
      <c r="P57" s="103" t="str">
        <f t="shared" si="13"/>
        <v/>
      </c>
      <c r="Q57" s="103" t="str">
        <f t="shared" si="13"/>
        <v/>
      </c>
      <c r="R57" s="103" t="str">
        <f t="shared" si="13"/>
        <v/>
      </c>
      <c r="S57" s="103" t="str">
        <f t="shared" si="13"/>
        <v/>
      </c>
      <c r="T57" s="103" t="str">
        <f t="shared" si="13"/>
        <v/>
      </c>
      <c r="U57" s="103" t="str">
        <f t="shared" si="13"/>
        <v/>
      </c>
      <c r="V57" s="103" t="str">
        <f t="shared" si="13"/>
        <v/>
      </c>
      <c r="W57" s="103" t="str">
        <f t="shared" si="13"/>
        <v/>
      </c>
      <c r="X57" s="103" t="str">
        <f t="shared" si="13"/>
        <v/>
      </c>
      <c r="Y57" s="103" t="str">
        <f t="shared" si="13"/>
        <v/>
      </c>
      <c r="Z57" s="103" t="str">
        <f t="shared" si="13"/>
        <v/>
      </c>
      <c r="AA57" s="103" t="str">
        <f t="shared" si="13"/>
        <v/>
      </c>
      <c r="AB57" s="103" t="str">
        <f t="shared" si="13"/>
        <v/>
      </c>
      <c r="AC57" s="192">
        <f t="shared" si="8"/>
        <v>6.9383074370750148E-6</v>
      </c>
      <c r="AD57" s="189">
        <v>4</v>
      </c>
    </row>
    <row r="58" spans="1:30" ht="18" customHeight="1" outlineLevel="1" x14ac:dyDescent="0.25">
      <c r="A58" s="9" t="str">
        <f t="shared" si="5"/>
        <v>Pentane [g/h]</v>
      </c>
      <c r="B58" s="102"/>
      <c r="C58" s="103">
        <f t="shared" si="6"/>
        <v>0</v>
      </c>
      <c r="D58" s="103">
        <f t="shared" ref="D58:AB58" si="14">IF(SUM(D26:D54)=0, "", (D26*$B26/(D$43*$B$43))*$F$5)</f>
        <v>0</v>
      </c>
      <c r="E58" s="103">
        <f t="shared" si="14"/>
        <v>0</v>
      </c>
      <c r="F58" s="103">
        <f t="shared" si="14"/>
        <v>0</v>
      </c>
      <c r="G58" s="103">
        <f t="shared" si="14"/>
        <v>0</v>
      </c>
      <c r="H58" s="103">
        <f t="shared" si="14"/>
        <v>0</v>
      </c>
      <c r="I58" s="103">
        <f t="shared" si="14"/>
        <v>0</v>
      </c>
      <c r="J58" s="103">
        <f t="shared" si="14"/>
        <v>0</v>
      </c>
      <c r="K58" s="103">
        <f t="shared" si="14"/>
        <v>0</v>
      </c>
      <c r="L58" s="103">
        <f t="shared" si="14"/>
        <v>0</v>
      </c>
      <c r="M58" s="103">
        <f t="shared" si="14"/>
        <v>0</v>
      </c>
      <c r="N58" s="103">
        <f t="shared" si="14"/>
        <v>0</v>
      </c>
      <c r="O58" s="103">
        <f t="shared" si="14"/>
        <v>0</v>
      </c>
      <c r="P58" s="103" t="str">
        <f t="shared" si="14"/>
        <v/>
      </c>
      <c r="Q58" s="103" t="str">
        <f t="shared" si="14"/>
        <v/>
      </c>
      <c r="R58" s="103" t="str">
        <f t="shared" si="14"/>
        <v/>
      </c>
      <c r="S58" s="103" t="str">
        <f t="shared" si="14"/>
        <v/>
      </c>
      <c r="T58" s="103" t="str">
        <f t="shared" si="14"/>
        <v/>
      </c>
      <c r="U58" s="103" t="str">
        <f t="shared" si="14"/>
        <v/>
      </c>
      <c r="V58" s="103" t="str">
        <f t="shared" si="14"/>
        <v/>
      </c>
      <c r="W58" s="103" t="str">
        <f t="shared" si="14"/>
        <v/>
      </c>
      <c r="X58" s="103" t="str">
        <f t="shared" si="14"/>
        <v/>
      </c>
      <c r="Y58" s="103" t="str">
        <f t="shared" si="14"/>
        <v/>
      </c>
      <c r="Z58" s="103" t="str">
        <f t="shared" si="14"/>
        <v/>
      </c>
      <c r="AA58" s="103" t="str">
        <f t="shared" si="14"/>
        <v/>
      </c>
      <c r="AB58" s="103" t="str">
        <f t="shared" si="14"/>
        <v/>
      </c>
      <c r="AC58" s="192">
        <f t="shared" si="8"/>
        <v>0</v>
      </c>
      <c r="AD58" s="189">
        <v>5</v>
      </c>
    </row>
    <row r="59" spans="1:30" ht="18" customHeight="1" outlineLevel="1" x14ac:dyDescent="0.25">
      <c r="A59" s="9" t="str">
        <f t="shared" si="5"/>
        <v>C6s (Isomers of hexane?) [g/h]</v>
      </c>
      <c r="B59" s="102"/>
      <c r="C59" s="103">
        <f t="shared" si="6"/>
        <v>0</v>
      </c>
      <c r="D59" s="103">
        <f t="shared" ref="D59:AB59" si="15">IF(SUM(D27:D55)=0, "", (D27*$B27/(D$43*$B$43))*$F$5)</f>
        <v>0</v>
      </c>
      <c r="E59" s="103">
        <f t="shared" si="15"/>
        <v>0</v>
      </c>
      <c r="F59" s="103">
        <f t="shared" si="15"/>
        <v>0</v>
      </c>
      <c r="G59" s="103">
        <f t="shared" si="15"/>
        <v>0</v>
      </c>
      <c r="H59" s="103">
        <f t="shared" si="15"/>
        <v>0</v>
      </c>
      <c r="I59" s="103">
        <f t="shared" si="15"/>
        <v>0</v>
      </c>
      <c r="J59" s="103">
        <f t="shared" si="15"/>
        <v>0</v>
      </c>
      <c r="K59" s="103">
        <f t="shared" si="15"/>
        <v>0</v>
      </c>
      <c r="L59" s="103">
        <f t="shared" si="15"/>
        <v>0</v>
      </c>
      <c r="M59" s="103">
        <f t="shared" si="15"/>
        <v>0</v>
      </c>
      <c r="N59" s="103">
        <f t="shared" si="15"/>
        <v>0</v>
      </c>
      <c r="O59" s="103">
        <f t="shared" si="15"/>
        <v>0</v>
      </c>
      <c r="P59" s="103" t="str">
        <f t="shared" si="15"/>
        <v/>
      </c>
      <c r="Q59" s="103" t="str">
        <f t="shared" si="15"/>
        <v/>
      </c>
      <c r="R59" s="103" t="str">
        <f t="shared" si="15"/>
        <v/>
      </c>
      <c r="S59" s="103" t="str">
        <f t="shared" si="15"/>
        <v/>
      </c>
      <c r="T59" s="103" t="str">
        <f t="shared" si="15"/>
        <v/>
      </c>
      <c r="U59" s="103" t="str">
        <f t="shared" si="15"/>
        <v/>
      </c>
      <c r="V59" s="103" t="str">
        <f t="shared" si="15"/>
        <v/>
      </c>
      <c r="W59" s="103" t="str">
        <f t="shared" si="15"/>
        <v/>
      </c>
      <c r="X59" s="103" t="str">
        <f t="shared" si="15"/>
        <v/>
      </c>
      <c r="Y59" s="103" t="str">
        <f t="shared" si="15"/>
        <v/>
      </c>
      <c r="Z59" s="103" t="str">
        <f t="shared" si="15"/>
        <v/>
      </c>
      <c r="AA59" s="103" t="str">
        <f t="shared" si="15"/>
        <v/>
      </c>
      <c r="AB59" s="103" t="str">
        <f t="shared" si="15"/>
        <v/>
      </c>
      <c r="AC59" s="192">
        <f t="shared" si="8"/>
        <v>0</v>
      </c>
      <c r="AD59" s="189">
        <v>6</v>
      </c>
    </row>
    <row r="60" spans="1:30" ht="18" customHeight="1" outlineLevel="1" x14ac:dyDescent="0.25">
      <c r="A60" s="9" t="str">
        <f t="shared" si="5"/>
        <v>Hexane [g/h]</v>
      </c>
      <c r="B60" s="102"/>
      <c r="C60" s="103">
        <f t="shared" si="6"/>
        <v>0</v>
      </c>
      <c r="D60" s="103">
        <f t="shared" ref="D60:AB60" si="16">IF(SUM(D28:D56)=0, "", (D28*$B28/(D$43*$B$43))*$F$5)</f>
        <v>0</v>
      </c>
      <c r="E60" s="103">
        <f t="shared" si="16"/>
        <v>0</v>
      </c>
      <c r="F60" s="103">
        <f t="shared" si="16"/>
        <v>0</v>
      </c>
      <c r="G60" s="103">
        <f t="shared" si="16"/>
        <v>0</v>
      </c>
      <c r="H60" s="103">
        <f t="shared" si="16"/>
        <v>0</v>
      </c>
      <c r="I60" s="103">
        <f t="shared" si="16"/>
        <v>0</v>
      </c>
      <c r="J60" s="103">
        <f t="shared" si="16"/>
        <v>0</v>
      </c>
      <c r="K60" s="103">
        <f t="shared" si="16"/>
        <v>0</v>
      </c>
      <c r="L60" s="103">
        <f t="shared" si="16"/>
        <v>0</v>
      </c>
      <c r="M60" s="103">
        <f t="shared" si="16"/>
        <v>0</v>
      </c>
      <c r="N60" s="103">
        <f t="shared" si="16"/>
        <v>0</v>
      </c>
      <c r="O60" s="103">
        <f t="shared" si="16"/>
        <v>0</v>
      </c>
      <c r="P60" s="103" t="str">
        <f t="shared" si="16"/>
        <v/>
      </c>
      <c r="Q60" s="103" t="str">
        <f t="shared" si="16"/>
        <v/>
      </c>
      <c r="R60" s="103" t="str">
        <f t="shared" si="16"/>
        <v/>
      </c>
      <c r="S60" s="103" t="str">
        <f t="shared" si="16"/>
        <v/>
      </c>
      <c r="T60" s="103" t="str">
        <f t="shared" si="16"/>
        <v/>
      </c>
      <c r="U60" s="103" t="str">
        <f t="shared" si="16"/>
        <v/>
      </c>
      <c r="V60" s="103" t="str">
        <f t="shared" si="16"/>
        <v/>
      </c>
      <c r="W60" s="103" t="str">
        <f t="shared" si="16"/>
        <v/>
      </c>
      <c r="X60" s="103" t="str">
        <f t="shared" si="16"/>
        <v/>
      </c>
      <c r="Y60" s="103" t="str">
        <f t="shared" si="16"/>
        <v/>
      </c>
      <c r="Z60" s="103" t="str">
        <f t="shared" si="16"/>
        <v/>
      </c>
      <c r="AA60" s="103" t="str">
        <f t="shared" si="16"/>
        <v/>
      </c>
      <c r="AB60" s="103" t="str">
        <f t="shared" si="16"/>
        <v/>
      </c>
      <c r="AC60" s="192">
        <f t="shared" si="8"/>
        <v>0</v>
      </c>
      <c r="AD60" s="189">
        <v>6</v>
      </c>
    </row>
    <row r="61" spans="1:30" ht="18" customHeight="1" outlineLevel="1" x14ac:dyDescent="0.25">
      <c r="A61" s="9" t="str">
        <f t="shared" si="5"/>
        <v>C4 [g/h]</v>
      </c>
      <c r="B61" s="102"/>
      <c r="C61" s="103">
        <f t="shared" si="6"/>
        <v>2.7649053424697316E-4</v>
      </c>
      <c r="D61" s="103">
        <f t="shared" ref="D61:AB61" si="17">IF(SUM(D29:D57)=0, "", (D29*$B29/(D$43*$B$43))*$F$5)</f>
        <v>3.8318014200771264E-5</v>
      </c>
      <c r="E61" s="103">
        <f t="shared" si="17"/>
        <v>4.7756092520138119E-4</v>
      </c>
      <c r="F61" s="103">
        <f t="shared" si="17"/>
        <v>4.4349062187216135E-4</v>
      </c>
      <c r="G61" s="103">
        <f t="shared" si="17"/>
        <v>4.9937565681671683E-4</v>
      </c>
      <c r="H61" s="103">
        <f t="shared" si="17"/>
        <v>1.1196847036243501E-3</v>
      </c>
      <c r="I61" s="103">
        <f t="shared" si="17"/>
        <v>5.2059198689209055E-4</v>
      </c>
      <c r="J61" s="103">
        <f t="shared" si="17"/>
        <v>8.3875255075623891E-5</v>
      </c>
      <c r="K61" s="103">
        <f t="shared" si="17"/>
        <v>3.8582018435173992E-5</v>
      </c>
      <c r="L61" s="103">
        <f t="shared" si="17"/>
        <v>4.1533959406556835E-5</v>
      </c>
      <c r="M61" s="103">
        <f t="shared" si="17"/>
        <v>2.9886699587737562E-5</v>
      </c>
      <c r="N61" s="103">
        <f t="shared" si="17"/>
        <v>0</v>
      </c>
      <c r="O61" s="103">
        <f t="shared" si="17"/>
        <v>2.4986569851114878E-5</v>
      </c>
      <c r="P61" s="103" t="str">
        <f t="shared" si="17"/>
        <v/>
      </c>
      <c r="Q61" s="103" t="str">
        <f t="shared" si="17"/>
        <v/>
      </c>
      <c r="R61" s="103" t="str">
        <f t="shared" si="17"/>
        <v/>
      </c>
      <c r="S61" s="103" t="str">
        <f t="shared" si="17"/>
        <v/>
      </c>
      <c r="T61" s="103" t="str">
        <f t="shared" si="17"/>
        <v/>
      </c>
      <c r="U61" s="103" t="str">
        <f t="shared" si="17"/>
        <v/>
      </c>
      <c r="V61" s="103" t="str">
        <f t="shared" si="17"/>
        <v/>
      </c>
      <c r="W61" s="103" t="str">
        <f t="shared" si="17"/>
        <v/>
      </c>
      <c r="X61" s="103" t="str">
        <f t="shared" si="17"/>
        <v/>
      </c>
      <c r="Y61" s="103" t="str">
        <f t="shared" si="17"/>
        <v/>
      </c>
      <c r="Z61" s="103" t="str">
        <f t="shared" si="17"/>
        <v/>
      </c>
      <c r="AA61" s="103" t="str">
        <f t="shared" si="17"/>
        <v/>
      </c>
      <c r="AB61" s="103" t="str">
        <f t="shared" si="17"/>
        <v/>
      </c>
      <c r="AC61" s="192">
        <f t="shared" si="8"/>
        <v>2.2855662813767342E-4</v>
      </c>
      <c r="AD61" s="189">
        <v>4</v>
      </c>
    </row>
    <row r="62" spans="1:30" ht="18" customHeight="1" outlineLevel="1" x14ac:dyDescent="0.25">
      <c r="A62" s="9" t="str">
        <f t="shared" si="5"/>
        <v>C5 [g/h]</v>
      </c>
      <c r="B62" s="102"/>
      <c r="C62" s="103">
        <f t="shared" si="6"/>
        <v>0</v>
      </c>
      <c r="D62" s="103">
        <f t="shared" ref="D62:AB62" si="18">IF(SUM(D30:D58)=0, "", (D30*$B30/(D$43*$B$43))*$F$5)</f>
        <v>0</v>
      </c>
      <c r="E62" s="103">
        <f t="shared" si="18"/>
        <v>0</v>
      </c>
      <c r="F62" s="103">
        <f t="shared" si="18"/>
        <v>0</v>
      </c>
      <c r="G62" s="103">
        <f t="shared" si="18"/>
        <v>0</v>
      </c>
      <c r="H62" s="103">
        <f t="shared" si="18"/>
        <v>0</v>
      </c>
      <c r="I62" s="103">
        <f t="shared" si="18"/>
        <v>0</v>
      </c>
      <c r="J62" s="103">
        <f t="shared" si="18"/>
        <v>0</v>
      </c>
      <c r="K62" s="103">
        <f t="shared" si="18"/>
        <v>0</v>
      </c>
      <c r="L62" s="103">
        <f t="shared" si="18"/>
        <v>0</v>
      </c>
      <c r="M62" s="103">
        <f t="shared" si="18"/>
        <v>0</v>
      </c>
      <c r="N62" s="103">
        <f t="shared" si="18"/>
        <v>0</v>
      </c>
      <c r="O62" s="103">
        <f t="shared" si="18"/>
        <v>0</v>
      </c>
      <c r="P62" s="103" t="str">
        <f t="shared" si="18"/>
        <v/>
      </c>
      <c r="Q62" s="103" t="str">
        <f t="shared" si="18"/>
        <v/>
      </c>
      <c r="R62" s="103" t="str">
        <f t="shared" si="18"/>
        <v/>
      </c>
      <c r="S62" s="103" t="str">
        <f t="shared" si="18"/>
        <v/>
      </c>
      <c r="T62" s="103" t="str">
        <f t="shared" si="18"/>
        <v/>
      </c>
      <c r="U62" s="103" t="str">
        <f t="shared" si="18"/>
        <v/>
      </c>
      <c r="V62" s="103" t="str">
        <f t="shared" si="18"/>
        <v/>
      </c>
      <c r="W62" s="103" t="str">
        <f t="shared" si="18"/>
        <v/>
      </c>
      <c r="X62" s="103" t="str">
        <f t="shared" si="18"/>
        <v/>
      </c>
      <c r="Y62" s="103" t="str">
        <f t="shared" si="18"/>
        <v/>
      </c>
      <c r="Z62" s="103" t="str">
        <f t="shared" si="18"/>
        <v/>
      </c>
      <c r="AA62" s="103" t="str">
        <f t="shared" si="18"/>
        <v/>
      </c>
      <c r="AB62" s="103" t="str">
        <f t="shared" si="18"/>
        <v/>
      </c>
      <c r="AC62" s="192">
        <f t="shared" si="8"/>
        <v>0</v>
      </c>
      <c r="AD62" s="189">
        <v>5</v>
      </c>
    </row>
    <row r="63" spans="1:30" ht="18" customHeight="1" outlineLevel="1" x14ac:dyDescent="0.25">
      <c r="A63" s="9" t="str">
        <f t="shared" si="5"/>
        <v>C6 [g/h]</v>
      </c>
      <c r="B63" s="102"/>
      <c r="C63" s="103">
        <f t="shared" si="6"/>
        <v>3.874226216723142E-6</v>
      </c>
      <c r="D63" s="103">
        <f t="shared" ref="D63:AB63" si="19">IF(SUM(D31:D59)=0, "", (D31*$B31/(D$43*$B$43))*$F$5)</f>
        <v>0</v>
      </c>
      <c r="E63" s="103">
        <f t="shared" si="19"/>
        <v>4.6490714600677701E-5</v>
      </c>
      <c r="F63" s="103">
        <f t="shared" si="19"/>
        <v>0</v>
      </c>
      <c r="G63" s="103">
        <f t="shared" si="19"/>
        <v>0</v>
      </c>
      <c r="H63" s="103">
        <f t="shared" si="19"/>
        <v>0</v>
      </c>
      <c r="I63" s="103">
        <f t="shared" si="19"/>
        <v>0</v>
      </c>
      <c r="J63" s="103">
        <f t="shared" si="19"/>
        <v>0</v>
      </c>
      <c r="K63" s="103">
        <f t="shared" si="19"/>
        <v>0</v>
      </c>
      <c r="L63" s="103">
        <f t="shared" si="19"/>
        <v>0</v>
      </c>
      <c r="M63" s="103">
        <f t="shared" si="19"/>
        <v>0</v>
      </c>
      <c r="N63" s="103">
        <f t="shared" si="19"/>
        <v>0</v>
      </c>
      <c r="O63" s="103">
        <f t="shared" si="19"/>
        <v>0</v>
      </c>
      <c r="P63" s="103" t="str">
        <f t="shared" si="19"/>
        <v/>
      </c>
      <c r="Q63" s="103" t="str">
        <f t="shared" si="19"/>
        <v/>
      </c>
      <c r="R63" s="103" t="str">
        <f t="shared" si="19"/>
        <v/>
      </c>
      <c r="S63" s="103" t="str">
        <f t="shared" si="19"/>
        <v/>
      </c>
      <c r="T63" s="103" t="str">
        <f t="shared" si="19"/>
        <v/>
      </c>
      <c r="U63" s="103" t="str">
        <f t="shared" si="19"/>
        <v/>
      </c>
      <c r="V63" s="103" t="str">
        <f t="shared" si="19"/>
        <v/>
      </c>
      <c r="W63" s="103" t="str">
        <f t="shared" si="19"/>
        <v/>
      </c>
      <c r="X63" s="103" t="str">
        <f t="shared" si="19"/>
        <v/>
      </c>
      <c r="Y63" s="103" t="str">
        <f t="shared" si="19"/>
        <v/>
      </c>
      <c r="Z63" s="103" t="str">
        <f t="shared" si="19"/>
        <v/>
      </c>
      <c r="AA63" s="103" t="str">
        <f t="shared" si="19"/>
        <v/>
      </c>
      <c r="AB63" s="103" t="str">
        <f t="shared" si="19"/>
        <v/>
      </c>
      <c r="AC63" s="192">
        <f t="shared" si="8"/>
        <v>3.239730639758296E-6</v>
      </c>
      <c r="AD63" s="189">
        <v>6</v>
      </c>
    </row>
    <row r="64" spans="1:30" ht="18" customHeight="1" outlineLevel="1" x14ac:dyDescent="0.25">
      <c r="A64" s="9" t="str">
        <f t="shared" si="5"/>
        <v>C6 Above [g/h]</v>
      </c>
      <c r="B64" s="102"/>
      <c r="C64" s="103">
        <f t="shared" si="6"/>
        <v>1.90269105152379E-3</v>
      </c>
      <c r="D64" s="103">
        <f t="shared" ref="D64:AB64" si="20">IF(SUM(D32:D60)=0, "", (D32*$B32/(D$43*$B$43))*$F$5)</f>
        <v>7.2078068714083194E-4</v>
      </c>
      <c r="E64" s="103">
        <f t="shared" si="20"/>
        <v>3.919702098749726E-3</v>
      </c>
      <c r="F64" s="103">
        <f t="shared" si="20"/>
        <v>3.1844071094243114E-3</v>
      </c>
      <c r="G64" s="103">
        <f t="shared" si="20"/>
        <v>3.6460523664413034E-3</v>
      </c>
      <c r="H64" s="103">
        <f t="shared" si="20"/>
        <v>5.2279817189989034E-3</v>
      </c>
      <c r="I64" s="103">
        <f t="shared" si="20"/>
        <v>3.0525040586480245E-3</v>
      </c>
      <c r="J64" s="103">
        <f t="shared" si="20"/>
        <v>1.8029718972059261E-3</v>
      </c>
      <c r="K64" s="103">
        <f t="shared" si="20"/>
        <v>4.7834956015801826E-4</v>
      </c>
      <c r="L64" s="103">
        <f t="shared" si="20"/>
        <v>1.8861505960650931E-4</v>
      </c>
      <c r="M64" s="103">
        <f t="shared" si="20"/>
        <v>1.9084837095364722E-4</v>
      </c>
      <c r="N64" s="103">
        <f t="shared" si="20"/>
        <v>1.8964617337630135E-4</v>
      </c>
      <c r="O64" s="103">
        <f t="shared" si="20"/>
        <v>2.3043351758197833E-4</v>
      </c>
      <c r="P64" s="103" t="str">
        <f t="shared" si="20"/>
        <v/>
      </c>
      <c r="Q64" s="103" t="str">
        <f t="shared" si="20"/>
        <v/>
      </c>
      <c r="R64" s="103" t="str">
        <f t="shared" si="20"/>
        <v/>
      </c>
      <c r="S64" s="103" t="str">
        <f t="shared" si="20"/>
        <v/>
      </c>
      <c r="T64" s="103" t="str">
        <f t="shared" si="20"/>
        <v/>
      </c>
      <c r="U64" s="103" t="str">
        <f t="shared" si="20"/>
        <v/>
      </c>
      <c r="V64" s="103" t="str">
        <f t="shared" si="20"/>
        <v/>
      </c>
      <c r="W64" s="103" t="str">
        <f t="shared" si="20"/>
        <v/>
      </c>
      <c r="X64" s="103" t="str">
        <f t="shared" si="20"/>
        <v/>
      </c>
      <c r="Y64" s="103" t="str">
        <f t="shared" si="20"/>
        <v/>
      </c>
      <c r="Z64" s="103" t="str">
        <f t="shared" si="20"/>
        <v/>
      </c>
      <c r="AA64" s="103" t="str">
        <f t="shared" si="20"/>
        <v/>
      </c>
      <c r="AB64" s="103" t="str">
        <f t="shared" si="20"/>
        <v/>
      </c>
      <c r="AC64" s="192">
        <f t="shared" si="8"/>
        <v>1.3683198614820222E-3</v>
      </c>
      <c r="AD64" s="189">
        <v>6</v>
      </c>
    </row>
    <row r="65" spans="1:30" ht="18" customHeight="1" outlineLevel="1" x14ac:dyDescent="0.25">
      <c r="A65" s="9" t="str">
        <f t="shared" si="5"/>
        <v>Benzene [g/h]</v>
      </c>
      <c r="B65" s="102"/>
      <c r="C65" s="103">
        <f t="shared" si="6"/>
        <v>0</v>
      </c>
      <c r="D65" s="103">
        <f t="shared" ref="D65:AB65" si="21">IF(SUM(D33:D61)=0, "", (D33*$B33/(D$43*$B$43))*$F$5)</f>
        <v>0</v>
      </c>
      <c r="E65" s="103">
        <f t="shared" si="21"/>
        <v>0</v>
      </c>
      <c r="F65" s="103">
        <f t="shared" si="21"/>
        <v>0</v>
      </c>
      <c r="G65" s="103">
        <f t="shared" si="21"/>
        <v>0</v>
      </c>
      <c r="H65" s="103">
        <f t="shared" si="21"/>
        <v>0</v>
      </c>
      <c r="I65" s="103">
        <f t="shared" si="21"/>
        <v>0</v>
      </c>
      <c r="J65" s="103">
        <f t="shared" si="21"/>
        <v>0</v>
      </c>
      <c r="K65" s="103">
        <f t="shared" si="21"/>
        <v>0</v>
      </c>
      <c r="L65" s="103">
        <f t="shared" si="21"/>
        <v>0</v>
      </c>
      <c r="M65" s="103">
        <f t="shared" si="21"/>
        <v>0</v>
      </c>
      <c r="N65" s="103">
        <f t="shared" si="21"/>
        <v>0</v>
      </c>
      <c r="O65" s="103">
        <f t="shared" si="21"/>
        <v>0</v>
      </c>
      <c r="P65" s="103" t="str">
        <f t="shared" si="21"/>
        <v/>
      </c>
      <c r="Q65" s="103" t="str">
        <f t="shared" si="21"/>
        <v/>
      </c>
      <c r="R65" s="103" t="str">
        <f t="shared" si="21"/>
        <v/>
      </c>
      <c r="S65" s="103" t="str">
        <f t="shared" si="21"/>
        <v/>
      </c>
      <c r="T65" s="103" t="str">
        <f t="shared" si="21"/>
        <v/>
      </c>
      <c r="U65" s="103" t="str">
        <f t="shared" si="21"/>
        <v/>
      </c>
      <c r="V65" s="103" t="str">
        <f t="shared" si="21"/>
        <v/>
      </c>
      <c r="W65" s="103" t="str">
        <f t="shared" si="21"/>
        <v/>
      </c>
      <c r="X65" s="103" t="str">
        <f t="shared" si="21"/>
        <v/>
      </c>
      <c r="Y65" s="103" t="str">
        <f t="shared" si="21"/>
        <v/>
      </c>
      <c r="Z65" s="103" t="str">
        <f t="shared" si="21"/>
        <v/>
      </c>
      <c r="AA65" s="103" t="str">
        <f t="shared" si="21"/>
        <v/>
      </c>
      <c r="AB65" s="103" t="str">
        <f t="shared" si="21"/>
        <v/>
      </c>
      <c r="AC65" s="192">
        <f t="shared" si="8"/>
        <v>0</v>
      </c>
      <c r="AD65" s="189">
        <v>6</v>
      </c>
    </row>
    <row r="66" spans="1:30" ht="18" customHeight="1" outlineLevel="1" x14ac:dyDescent="0.25">
      <c r="A66" s="9" t="str">
        <f t="shared" si="5"/>
        <v>Toluene [g/h]</v>
      </c>
      <c r="B66" s="102"/>
      <c r="C66" s="103">
        <f t="shared" si="6"/>
        <v>0</v>
      </c>
      <c r="D66" s="103">
        <f t="shared" ref="D66:AB66" si="22">IF(SUM(D34:D62)=0, "", (D34*$B34/(D$43*$B$43))*$F$5)</f>
        <v>0</v>
      </c>
      <c r="E66" s="103">
        <f t="shared" si="22"/>
        <v>0</v>
      </c>
      <c r="F66" s="103">
        <f t="shared" si="22"/>
        <v>0</v>
      </c>
      <c r="G66" s="103">
        <f t="shared" si="22"/>
        <v>0</v>
      </c>
      <c r="H66" s="103">
        <f t="shared" si="22"/>
        <v>0</v>
      </c>
      <c r="I66" s="103">
        <f t="shared" si="22"/>
        <v>0</v>
      </c>
      <c r="J66" s="103">
        <f t="shared" si="22"/>
        <v>0</v>
      </c>
      <c r="K66" s="103">
        <f t="shared" si="22"/>
        <v>0</v>
      </c>
      <c r="L66" s="103">
        <f t="shared" si="22"/>
        <v>0</v>
      </c>
      <c r="M66" s="103">
        <f t="shared" si="22"/>
        <v>0</v>
      </c>
      <c r="N66" s="103">
        <f t="shared" si="22"/>
        <v>0</v>
      </c>
      <c r="O66" s="103">
        <f t="shared" si="22"/>
        <v>0</v>
      </c>
      <c r="P66" s="103" t="str">
        <f t="shared" si="22"/>
        <v/>
      </c>
      <c r="Q66" s="103" t="str">
        <f t="shared" si="22"/>
        <v/>
      </c>
      <c r="R66" s="103" t="str">
        <f t="shared" si="22"/>
        <v/>
      </c>
      <c r="S66" s="103" t="str">
        <f t="shared" si="22"/>
        <v/>
      </c>
      <c r="T66" s="103" t="str">
        <f t="shared" si="22"/>
        <v/>
      </c>
      <c r="U66" s="103" t="str">
        <f t="shared" si="22"/>
        <v/>
      </c>
      <c r="V66" s="103" t="str">
        <f t="shared" si="22"/>
        <v/>
      </c>
      <c r="W66" s="103" t="str">
        <f t="shared" si="22"/>
        <v/>
      </c>
      <c r="X66" s="103" t="str">
        <f t="shared" si="22"/>
        <v/>
      </c>
      <c r="Y66" s="103" t="str">
        <f t="shared" si="22"/>
        <v/>
      </c>
      <c r="Z66" s="103" t="str">
        <f t="shared" si="22"/>
        <v/>
      </c>
      <c r="AA66" s="103" t="str">
        <f t="shared" si="22"/>
        <v/>
      </c>
      <c r="AB66" s="103" t="str">
        <f t="shared" si="22"/>
        <v/>
      </c>
      <c r="AC66" s="192">
        <f t="shared" si="8"/>
        <v>0</v>
      </c>
      <c r="AD66" s="189">
        <v>7</v>
      </c>
    </row>
    <row r="67" spans="1:30" ht="18" customHeight="1" outlineLevel="1" x14ac:dyDescent="0.25">
      <c r="A67" s="9" t="str">
        <f t="shared" si="5"/>
        <v>Ethylbenzene [g/h]</v>
      </c>
      <c r="B67" s="102"/>
      <c r="C67" s="103">
        <f t="shared" si="6"/>
        <v>0</v>
      </c>
      <c r="D67" s="103">
        <f t="shared" ref="D67:AB67" si="23">IF(SUM(D35:D63)=0, "", (D35*$B35/(D$43*$B$43))*$F$5)</f>
        <v>0</v>
      </c>
      <c r="E67" s="103">
        <f t="shared" si="23"/>
        <v>0</v>
      </c>
      <c r="F67" s="103">
        <f t="shared" si="23"/>
        <v>0</v>
      </c>
      <c r="G67" s="103">
        <f t="shared" si="23"/>
        <v>0</v>
      </c>
      <c r="H67" s="103">
        <f t="shared" si="23"/>
        <v>0</v>
      </c>
      <c r="I67" s="103">
        <f t="shared" si="23"/>
        <v>0</v>
      </c>
      <c r="J67" s="103">
        <f t="shared" si="23"/>
        <v>0</v>
      </c>
      <c r="K67" s="103">
        <f t="shared" si="23"/>
        <v>0</v>
      </c>
      <c r="L67" s="103">
        <f t="shared" si="23"/>
        <v>0</v>
      </c>
      <c r="M67" s="103">
        <f t="shared" si="23"/>
        <v>0</v>
      </c>
      <c r="N67" s="103">
        <f t="shared" si="23"/>
        <v>0</v>
      </c>
      <c r="O67" s="103">
        <f t="shared" si="23"/>
        <v>0</v>
      </c>
      <c r="P67" s="103" t="str">
        <f t="shared" si="23"/>
        <v/>
      </c>
      <c r="Q67" s="103" t="str">
        <f t="shared" si="23"/>
        <v/>
      </c>
      <c r="R67" s="103" t="str">
        <f t="shared" si="23"/>
        <v/>
      </c>
      <c r="S67" s="103" t="str">
        <f t="shared" si="23"/>
        <v/>
      </c>
      <c r="T67" s="103" t="str">
        <f t="shared" si="23"/>
        <v/>
      </c>
      <c r="U67" s="103" t="str">
        <f t="shared" si="23"/>
        <v/>
      </c>
      <c r="V67" s="103" t="str">
        <f t="shared" si="23"/>
        <v/>
      </c>
      <c r="W67" s="103" t="str">
        <f t="shared" si="23"/>
        <v/>
      </c>
      <c r="X67" s="103" t="str">
        <f t="shared" si="23"/>
        <v/>
      </c>
      <c r="Y67" s="103" t="str">
        <f t="shared" si="23"/>
        <v/>
      </c>
      <c r="Z67" s="103" t="str">
        <f t="shared" si="23"/>
        <v/>
      </c>
      <c r="AA67" s="103" t="str">
        <f t="shared" si="23"/>
        <v/>
      </c>
      <c r="AB67" s="103" t="str">
        <f t="shared" si="23"/>
        <v/>
      </c>
      <c r="AC67" s="192">
        <f t="shared" si="8"/>
        <v>0</v>
      </c>
      <c r="AD67" s="189">
        <v>8</v>
      </c>
    </row>
    <row r="68" spans="1:30" ht="18" customHeight="1" outlineLevel="1" x14ac:dyDescent="0.25">
      <c r="A68" s="9" t="str">
        <f t="shared" si="5"/>
        <v>p-Xylene [g/h]</v>
      </c>
      <c r="B68" s="102"/>
      <c r="C68" s="103">
        <f t="shared" si="6"/>
        <v>0</v>
      </c>
      <c r="D68" s="103">
        <f t="shared" ref="D68:AB68" si="24">IF(SUM(D36:D64)=0, "", (D36*$B36/(D$43*$B$43))*$F$5)</f>
        <v>0</v>
      </c>
      <c r="E68" s="103">
        <f t="shared" si="24"/>
        <v>0</v>
      </c>
      <c r="F68" s="103">
        <f t="shared" si="24"/>
        <v>0</v>
      </c>
      <c r="G68" s="103">
        <f t="shared" si="24"/>
        <v>0</v>
      </c>
      <c r="H68" s="103">
        <f t="shared" si="24"/>
        <v>0</v>
      </c>
      <c r="I68" s="103">
        <f t="shared" si="24"/>
        <v>0</v>
      </c>
      <c r="J68" s="103">
        <f t="shared" si="24"/>
        <v>0</v>
      </c>
      <c r="K68" s="103">
        <f t="shared" si="24"/>
        <v>0</v>
      </c>
      <c r="L68" s="103">
        <f t="shared" si="24"/>
        <v>0</v>
      </c>
      <c r="M68" s="103">
        <f t="shared" si="24"/>
        <v>0</v>
      </c>
      <c r="N68" s="103">
        <f t="shared" si="24"/>
        <v>0</v>
      </c>
      <c r="O68" s="103">
        <f t="shared" si="24"/>
        <v>0</v>
      </c>
      <c r="P68" s="103" t="str">
        <f t="shared" si="24"/>
        <v/>
      </c>
      <c r="Q68" s="103" t="str">
        <f t="shared" si="24"/>
        <v/>
      </c>
      <c r="R68" s="103" t="str">
        <f t="shared" si="24"/>
        <v/>
      </c>
      <c r="S68" s="103" t="str">
        <f t="shared" si="24"/>
        <v/>
      </c>
      <c r="T68" s="103" t="str">
        <f t="shared" si="24"/>
        <v/>
      </c>
      <c r="U68" s="103" t="str">
        <f t="shared" si="24"/>
        <v/>
      </c>
      <c r="V68" s="103" t="str">
        <f t="shared" si="24"/>
        <v/>
      </c>
      <c r="W68" s="103" t="str">
        <f t="shared" si="24"/>
        <v/>
      </c>
      <c r="X68" s="103" t="str">
        <f t="shared" si="24"/>
        <v/>
      </c>
      <c r="Y68" s="103" t="str">
        <f t="shared" si="24"/>
        <v/>
      </c>
      <c r="Z68" s="103" t="str">
        <f t="shared" si="24"/>
        <v/>
      </c>
      <c r="AA68" s="103" t="str">
        <f t="shared" si="24"/>
        <v/>
      </c>
      <c r="AB68" s="103" t="str">
        <f t="shared" si="24"/>
        <v/>
      </c>
      <c r="AC68" s="192">
        <f t="shared" si="8"/>
        <v>0</v>
      </c>
      <c r="AD68" s="189">
        <v>8</v>
      </c>
    </row>
    <row r="69" spans="1:30" ht="18" customHeight="1" outlineLevel="1" x14ac:dyDescent="0.25">
      <c r="A69" s="9" t="str">
        <f t="shared" si="5"/>
        <v>m-Xylene [g/h]</v>
      </c>
      <c r="B69" s="102"/>
      <c r="C69" s="103">
        <f t="shared" si="6"/>
        <v>2.1903280201717628E-4</v>
      </c>
      <c r="D69" s="103">
        <f t="shared" ref="D69:AB69" si="25">IF(SUM(D37:D65)=0, "", (D37*$B37/(D$43*$B$43))*$F$5)</f>
        <v>2.7669498261721325E-4</v>
      </c>
      <c r="E69" s="103">
        <f t="shared" si="25"/>
        <v>6.4763533619556697E-4</v>
      </c>
      <c r="F69" s="103">
        <f t="shared" si="25"/>
        <v>4.0731726113862367E-4</v>
      </c>
      <c r="G69" s="103">
        <f t="shared" si="25"/>
        <v>1.9372347100721736E-4</v>
      </c>
      <c r="H69" s="103">
        <f t="shared" si="25"/>
        <v>1.9403344083757261E-4</v>
      </c>
      <c r="I69" s="103">
        <f t="shared" si="25"/>
        <v>2.3531470728490412E-4</v>
      </c>
      <c r="J69" s="103">
        <f t="shared" si="25"/>
        <v>5.7819452491300919E-4</v>
      </c>
      <c r="K69" s="103">
        <f t="shared" si="25"/>
        <v>5.4626936526765964E-5</v>
      </c>
      <c r="L69" s="103">
        <f t="shared" si="25"/>
        <v>0</v>
      </c>
      <c r="M69" s="103">
        <f t="shared" si="25"/>
        <v>0</v>
      </c>
      <c r="N69" s="103">
        <f t="shared" si="25"/>
        <v>0</v>
      </c>
      <c r="O69" s="103">
        <f t="shared" si="25"/>
        <v>4.0852963685242582E-5</v>
      </c>
      <c r="P69" s="103" t="str">
        <f t="shared" si="25"/>
        <v/>
      </c>
      <c r="Q69" s="103" t="str">
        <f t="shared" si="25"/>
        <v/>
      </c>
      <c r="R69" s="103" t="str">
        <f t="shared" si="25"/>
        <v/>
      </c>
      <c r="S69" s="103" t="str">
        <f t="shared" si="25"/>
        <v/>
      </c>
      <c r="T69" s="103" t="str">
        <f t="shared" si="25"/>
        <v/>
      </c>
      <c r="U69" s="103" t="str">
        <f t="shared" si="25"/>
        <v/>
      </c>
      <c r="V69" s="103" t="str">
        <f t="shared" si="25"/>
        <v/>
      </c>
      <c r="W69" s="103" t="str">
        <f t="shared" si="25"/>
        <v/>
      </c>
      <c r="X69" s="103" t="str">
        <f t="shared" si="25"/>
        <v/>
      </c>
      <c r="Y69" s="103" t="str">
        <f t="shared" si="25"/>
        <v/>
      </c>
      <c r="Z69" s="103" t="str">
        <f t="shared" si="25"/>
        <v/>
      </c>
      <c r="AA69" s="103" t="str">
        <f t="shared" si="25"/>
        <v/>
      </c>
      <c r="AB69" s="103" t="str">
        <f t="shared" si="25"/>
        <v/>
      </c>
      <c r="AC69" s="192">
        <f t="shared" si="8"/>
        <v>1.9823884898533849E-4</v>
      </c>
      <c r="AD69" s="189">
        <v>8</v>
      </c>
    </row>
    <row r="70" spans="1:30" ht="18" customHeight="1" outlineLevel="1" x14ac:dyDescent="0.25">
      <c r="A70" s="9" t="str">
        <f t="shared" si="5"/>
        <v>o-Xylene [g/h]</v>
      </c>
      <c r="B70" s="102"/>
      <c r="C70" s="103">
        <f t="shared" si="6"/>
        <v>0</v>
      </c>
      <c r="D70" s="103">
        <f t="shared" ref="D70:AB70" si="26">IF(SUM(D38:D66)=0, "", (D38*$B38/(D$43*$B$43))*$F$5)</f>
        <v>0</v>
      </c>
      <c r="E70" s="103">
        <f t="shared" si="26"/>
        <v>0</v>
      </c>
      <c r="F70" s="103">
        <f t="shared" si="26"/>
        <v>0</v>
      </c>
      <c r="G70" s="103">
        <f t="shared" si="26"/>
        <v>0</v>
      </c>
      <c r="H70" s="103">
        <f t="shared" si="26"/>
        <v>0</v>
      </c>
      <c r="I70" s="103">
        <f t="shared" si="26"/>
        <v>0</v>
      </c>
      <c r="J70" s="103">
        <f t="shared" si="26"/>
        <v>0</v>
      </c>
      <c r="K70" s="103">
        <f t="shared" si="26"/>
        <v>0</v>
      </c>
      <c r="L70" s="103">
        <f t="shared" si="26"/>
        <v>0</v>
      </c>
      <c r="M70" s="103">
        <f t="shared" si="26"/>
        <v>0</v>
      </c>
      <c r="N70" s="103">
        <f t="shared" si="26"/>
        <v>0</v>
      </c>
      <c r="O70" s="103">
        <f t="shared" si="26"/>
        <v>0</v>
      </c>
      <c r="P70" s="103" t="str">
        <f t="shared" si="26"/>
        <v/>
      </c>
      <c r="Q70" s="103" t="str">
        <f t="shared" si="26"/>
        <v/>
      </c>
      <c r="R70" s="103" t="str">
        <f t="shared" si="26"/>
        <v/>
      </c>
      <c r="S70" s="103" t="str">
        <f t="shared" si="26"/>
        <v/>
      </c>
      <c r="T70" s="103" t="str">
        <f t="shared" si="26"/>
        <v/>
      </c>
      <c r="U70" s="103" t="str">
        <f t="shared" si="26"/>
        <v/>
      </c>
      <c r="V70" s="103" t="str">
        <f t="shared" si="26"/>
        <v/>
      </c>
      <c r="W70" s="103" t="str">
        <f t="shared" si="26"/>
        <v/>
      </c>
      <c r="X70" s="103" t="str">
        <f t="shared" si="26"/>
        <v/>
      </c>
      <c r="Y70" s="103" t="str">
        <f t="shared" si="26"/>
        <v/>
      </c>
      <c r="Z70" s="103" t="str">
        <f t="shared" si="26"/>
        <v/>
      </c>
      <c r="AA70" s="103" t="str">
        <f t="shared" si="26"/>
        <v/>
      </c>
      <c r="AB70" s="103" t="str">
        <f t="shared" si="26"/>
        <v/>
      </c>
      <c r="AC70" s="192">
        <f t="shared" si="8"/>
        <v>0</v>
      </c>
      <c r="AD70" s="189">
        <v>8</v>
      </c>
    </row>
    <row r="71" spans="1:30" ht="18" customHeight="1" outlineLevel="1" x14ac:dyDescent="0.25">
      <c r="A71" s="9" t="str">
        <f t="shared" si="5"/>
        <v>C6 Unknowns [g/h]</v>
      </c>
      <c r="B71" s="102"/>
      <c r="C71" s="103">
        <f t="shared" si="6"/>
        <v>4.0997856575024361E-4</v>
      </c>
      <c r="D71" s="103">
        <f t="shared" ref="D71:AB71" si="27">IF(SUM(D39:D67)=0, "", (D39*$B39/(D$43*$B$43))*$F$5)</f>
        <v>5.6817729935004592E-5</v>
      </c>
      <c r="E71" s="103">
        <f t="shared" si="27"/>
        <v>7.0812457904086427E-4</v>
      </c>
      <c r="F71" s="103">
        <f t="shared" si="27"/>
        <v>6.576053302295745E-4</v>
      </c>
      <c r="G71" s="103">
        <f t="shared" si="27"/>
        <v>7.4047133696601274E-4</v>
      </c>
      <c r="H71" s="103">
        <f t="shared" si="27"/>
        <v>1.6602620054774002E-3</v>
      </c>
      <c r="I71" s="103">
        <f t="shared" si="27"/>
        <v>7.7193078854715031E-4</v>
      </c>
      <c r="J71" s="103">
        <f t="shared" si="27"/>
        <v>1.2436974333133636E-4</v>
      </c>
      <c r="K71" s="103">
        <f t="shared" si="27"/>
        <v>5.7209193887530889E-5</v>
      </c>
      <c r="L71" s="103">
        <f t="shared" si="27"/>
        <v>6.1586314894306054E-5</v>
      </c>
      <c r="M71" s="103">
        <f t="shared" si="27"/>
        <v>4.4315825369429173E-5</v>
      </c>
      <c r="N71" s="103">
        <f t="shared" si="27"/>
        <v>0</v>
      </c>
      <c r="O71" s="103">
        <f t="shared" si="27"/>
        <v>3.7049941324313152E-5</v>
      </c>
      <c r="P71" s="103" t="str">
        <f t="shared" si="27"/>
        <v/>
      </c>
      <c r="Q71" s="103" t="str">
        <f t="shared" si="27"/>
        <v/>
      </c>
      <c r="R71" s="103" t="str">
        <f t="shared" si="27"/>
        <v/>
      </c>
      <c r="S71" s="103" t="str">
        <f t="shared" si="27"/>
        <v/>
      </c>
      <c r="T71" s="103" t="str">
        <f t="shared" si="27"/>
        <v/>
      </c>
      <c r="U71" s="103" t="str">
        <f t="shared" si="27"/>
        <v/>
      </c>
      <c r="V71" s="103" t="str">
        <f t="shared" si="27"/>
        <v/>
      </c>
      <c r="W71" s="103" t="str">
        <f t="shared" si="27"/>
        <v/>
      </c>
      <c r="X71" s="103" t="str">
        <f t="shared" si="27"/>
        <v/>
      </c>
      <c r="Y71" s="103" t="str">
        <f t="shared" si="27"/>
        <v/>
      </c>
      <c r="Z71" s="103" t="str">
        <f t="shared" si="27"/>
        <v/>
      </c>
      <c r="AA71" s="103" t="str">
        <f t="shared" si="27"/>
        <v/>
      </c>
      <c r="AB71" s="103" t="str">
        <f t="shared" si="27"/>
        <v/>
      </c>
      <c r="AC71" s="192">
        <f t="shared" si="8"/>
        <v>3.4283494220651027E-4</v>
      </c>
      <c r="AD71" s="189">
        <v>6</v>
      </c>
    </row>
    <row r="72" spans="1:30" ht="18" customHeight="1" outlineLevel="1" x14ac:dyDescent="0.25">
      <c r="A72" s="9" t="str">
        <f t="shared" si="5"/>
        <v>C8 Unknowns [g/h]</v>
      </c>
      <c r="B72" s="102"/>
      <c r="C72" s="103">
        <f t="shared" si="6"/>
        <v>0</v>
      </c>
      <c r="D72" s="103">
        <f t="shared" ref="D72:AB72" si="28">IF(SUM(D40:D68)=0, "", (D40*$B40/(D$43*$B$43))*$F$5)</f>
        <v>0</v>
      </c>
      <c r="E72" s="103">
        <f t="shared" si="28"/>
        <v>0</v>
      </c>
      <c r="F72" s="103">
        <f t="shared" si="28"/>
        <v>0</v>
      </c>
      <c r="G72" s="103">
        <f t="shared" si="28"/>
        <v>0</v>
      </c>
      <c r="H72" s="103">
        <f t="shared" si="28"/>
        <v>0</v>
      </c>
      <c r="I72" s="103">
        <f t="shared" si="28"/>
        <v>0</v>
      </c>
      <c r="J72" s="103">
        <f t="shared" si="28"/>
        <v>0</v>
      </c>
      <c r="K72" s="103">
        <f t="shared" si="28"/>
        <v>0</v>
      </c>
      <c r="L72" s="103">
        <f t="shared" si="28"/>
        <v>0</v>
      </c>
      <c r="M72" s="103">
        <f t="shared" si="28"/>
        <v>0</v>
      </c>
      <c r="N72" s="103">
        <f t="shared" si="28"/>
        <v>0</v>
      </c>
      <c r="O72" s="103">
        <f t="shared" si="28"/>
        <v>0</v>
      </c>
      <c r="P72" s="103" t="str">
        <f t="shared" si="28"/>
        <v/>
      </c>
      <c r="Q72" s="103" t="str">
        <f t="shared" si="28"/>
        <v/>
      </c>
      <c r="R72" s="103" t="str">
        <f t="shared" si="28"/>
        <v/>
      </c>
      <c r="S72" s="103" t="str">
        <f t="shared" si="28"/>
        <v/>
      </c>
      <c r="T72" s="103" t="str">
        <f t="shared" si="28"/>
        <v/>
      </c>
      <c r="U72" s="103" t="str">
        <f t="shared" si="28"/>
        <v/>
      </c>
      <c r="V72" s="103" t="str">
        <f t="shared" si="28"/>
        <v/>
      </c>
      <c r="W72" s="103" t="str">
        <f t="shared" si="28"/>
        <v/>
      </c>
      <c r="X72" s="103" t="str">
        <f t="shared" si="28"/>
        <v/>
      </c>
      <c r="Y72" s="103" t="str">
        <f t="shared" si="28"/>
        <v/>
      </c>
      <c r="Z72" s="103" t="str">
        <f t="shared" si="28"/>
        <v/>
      </c>
      <c r="AA72" s="103" t="str">
        <f t="shared" si="28"/>
        <v/>
      </c>
      <c r="AB72" s="103" t="str">
        <f t="shared" si="28"/>
        <v/>
      </c>
      <c r="AC72" s="192">
        <f t="shared" si="8"/>
        <v>0</v>
      </c>
      <c r="AD72" s="189">
        <v>8</v>
      </c>
    </row>
    <row r="73" spans="1:30" ht="18" customHeight="1" outlineLevel="1" x14ac:dyDescent="0.25">
      <c r="A73" s="9" t="str">
        <f t="shared" si="5"/>
        <v>C7 Unknowns [g/h]</v>
      </c>
      <c r="B73" s="102"/>
      <c r="C73" s="103">
        <f t="shared" si="6"/>
        <v>0</v>
      </c>
      <c r="D73" s="103">
        <f t="shared" ref="D73:AB73" si="29">IF(SUM(D41:D69)=0, "", (D41*$B41/(D$43*$B$43))*$F$5)</f>
        <v>0</v>
      </c>
      <c r="E73" s="103">
        <f t="shared" si="29"/>
        <v>0</v>
      </c>
      <c r="F73" s="103">
        <f t="shared" si="29"/>
        <v>0</v>
      </c>
      <c r="G73" s="103">
        <f t="shared" si="29"/>
        <v>0</v>
      </c>
      <c r="H73" s="103">
        <f t="shared" si="29"/>
        <v>0</v>
      </c>
      <c r="I73" s="103">
        <f t="shared" si="29"/>
        <v>0</v>
      </c>
      <c r="J73" s="103">
        <f t="shared" si="29"/>
        <v>0</v>
      </c>
      <c r="K73" s="103">
        <f t="shared" si="29"/>
        <v>0</v>
      </c>
      <c r="L73" s="103">
        <f t="shared" si="29"/>
        <v>0</v>
      </c>
      <c r="M73" s="103">
        <f t="shared" si="29"/>
        <v>0</v>
      </c>
      <c r="N73" s="103">
        <f t="shared" si="29"/>
        <v>0</v>
      </c>
      <c r="O73" s="103">
        <f t="shared" si="29"/>
        <v>0</v>
      </c>
      <c r="P73" s="103" t="str">
        <f t="shared" si="29"/>
        <v/>
      </c>
      <c r="Q73" s="103" t="str">
        <f t="shared" si="29"/>
        <v/>
      </c>
      <c r="R73" s="103" t="str">
        <f t="shared" si="29"/>
        <v/>
      </c>
      <c r="S73" s="103" t="str">
        <f t="shared" si="29"/>
        <v/>
      </c>
      <c r="T73" s="103" t="str">
        <f t="shared" si="29"/>
        <v/>
      </c>
      <c r="U73" s="103" t="str">
        <f t="shared" si="29"/>
        <v/>
      </c>
      <c r="V73" s="103" t="str">
        <f t="shared" si="29"/>
        <v/>
      </c>
      <c r="W73" s="103" t="str">
        <f t="shared" si="29"/>
        <v/>
      </c>
      <c r="X73" s="103" t="str">
        <f t="shared" si="29"/>
        <v/>
      </c>
      <c r="Y73" s="103" t="str">
        <f t="shared" si="29"/>
        <v/>
      </c>
      <c r="Z73" s="103" t="str">
        <f t="shared" si="29"/>
        <v/>
      </c>
      <c r="AA73" s="103" t="str">
        <f t="shared" si="29"/>
        <v/>
      </c>
      <c r="AB73" s="103" t="str">
        <f t="shared" si="29"/>
        <v/>
      </c>
      <c r="AC73" s="192">
        <f t="shared" si="8"/>
        <v>0</v>
      </c>
      <c r="AD73" s="189">
        <v>7</v>
      </c>
    </row>
    <row r="74" spans="1:30" ht="18" customHeight="1" outlineLevel="1" x14ac:dyDescent="0.25">
      <c r="A74" s="9" t="str">
        <f t="shared" si="5"/>
        <v>CO2 [g/h]</v>
      </c>
      <c r="B74" s="102"/>
      <c r="C74" s="103">
        <f t="shared" si="6"/>
        <v>0</v>
      </c>
      <c r="D74" s="103">
        <f t="shared" ref="D74:AB74" si="30">IF(SUM(D42:D70)=0, "", (D42*$B42/(D$43*$B$43))*$F$5)</f>
        <v>0</v>
      </c>
      <c r="E74" s="103">
        <f t="shared" si="30"/>
        <v>0</v>
      </c>
      <c r="F74" s="103">
        <f t="shared" si="30"/>
        <v>0</v>
      </c>
      <c r="G74" s="103">
        <f t="shared" si="30"/>
        <v>0</v>
      </c>
      <c r="H74" s="103">
        <f t="shared" si="30"/>
        <v>0</v>
      </c>
      <c r="I74" s="103">
        <f t="shared" si="30"/>
        <v>0</v>
      </c>
      <c r="J74" s="103">
        <f t="shared" si="30"/>
        <v>0</v>
      </c>
      <c r="K74" s="103">
        <f t="shared" si="30"/>
        <v>0</v>
      </c>
      <c r="L74" s="103">
        <f t="shared" si="30"/>
        <v>0</v>
      </c>
      <c r="M74" s="103">
        <f t="shared" si="30"/>
        <v>0</v>
      </c>
      <c r="N74" s="103">
        <f t="shared" si="30"/>
        <v>0</v>
      </c>
      <c r="O74" s="103">
        <f t="shared" si="30"/>
        <v>0</v>
      </c>
      <c r="P74" s="103" t="str">
        <f t="shared" si="30"/>
        <v/>
      </c>
      <c r="Q74" s="103" t="str">
        <f t="shared" si="30"/>
        <v/>
      </c>
      <c r="R74" s="103" t="str">
        <f t="shared" si="30"/>
        <v/>
      </c>
      <c r="S74" s="103" t="str">
        <f t="shared" si="30"/>
        <v/>
      </c>
      <c r="T74" s="103" t="str">
        <f t="shared" si="30"/>
        <v/>
      </c>
      <c r="U74" s="103" t="str">
        <f t="shared" si="30"/>
        <v/>
      </c>
      <c r="V74" s="103" t="str">
        <f t="shared" si="30"/>
        <v/>
      </c>
      <c r="W74" s="103" t="str">
        <f t="shared" si="30"/>
        <v/>
      </c>
      <c r="X74" s="103" t="str">
        <f t="shared" si="30"/>
        <v/>
      </c>
      <c r="Y74" s="103" t="str">
        <f t="shared" si="30"/>
        <v/>
      </c>
      <c r="Z74" s="103" t="str">
        <f t="shared" si="30"/>
        <v/>
      </c>
      <c r="AA74" s="103" t="str">
        <f t="shared" si="30"/>
        <v/>
      </c>
      <c r="AB74" s="103" t="str">
        <f t="shared" si="30"/>
        <v/>
      </c>
      <c r="AC74" s="192">
        <f t="shared" si="8"/>
        <v>0</v>
      </c>
      <c r="AD74" s="189">
        <v>1</v>
      </c>
    </row>
    <row r="75" spans="1:30" ht="18" customHeight="1" outlineLevel="1" x14ac:dyDescent="0.25">
      <c r="A75" s="9" t="str">
        <f t="shared" si="5"/>
        <v>Argon [g/h]</v>
      </c>
      <c r="B75" s="102"/>
      <c r="C75" s="103">
        <f t="shared" si="6"/>
        <v>0.22890922011282691</v>
      </c>
      <c r="D75" s="103">
        <f t="shared" ref="D75:AB75" si="31">IF(SUM(D43:D71)=0, "", (D43*$B43/(D$43*$B$43))*$F$5)</f>
        <v>0.22890922011282697</v>
      </c>
      <c r="E75" s="103">
        <f t="shared" si="31"/>
        <v>0.22890922011282697</v>
      </c>
      <c r="F75" s="103">
        <f t="shared" si="31"/>
        <v>0.22890922011282697</v>
      </c>
      <c r="G75" s="103">
        <f t="shared" si="31"/>
        <v>0.22890922011282697</v>
      </c>
      <c r="H75" s="103">
        <f t="shared" si="31"/>
        <v>0.22890922011282697</v>
      </c>
      <c r="I75" s="103">
        <f t="shared" si="31"/>
        <v>0.22890922011282697</v>
      </c>
      <c r="J75" s="103">
        <f t="shared" si="31"/>
        <v>0.22890922011282697</v>
      </c>
      <c r="K75" s="103">
        <f t="shared" si="31"/>
        <v>0.22890922011282697</v>
      </c>
      <c r="L75" s="103">
        <f t="shared" si="31"/>
        <v>0.22890922011282697</v>
      </c>
      <c r="M75" s="103">
        <f t="shared" si="31"/>
        <v>0.22890922011282697</v>
      </c>
      <c r="N75" s="103">
        <f t="shared" si="31"/>
        <v>0.22890922011282697</v>
      </c>
      <c r="O75" s="103">
        <f t="shared" si="31"/>
        <v>0.22890922011282697</v>
      </c>
      <c r="P75" s="103" t="str">
        <f t="shared" si="31"/>
        <v/>
      </c>
      <c r="Q75" s="103" t="str">
        <f t="shared" si="31"/>
        <v/>
      </c>
      <c r="R75" s="103" t="str">
        <f t="shared" si="31"/>
        <v/>
      </c>
      <c r="S75" s="103" t="str">
        <f t="shared" si="31"/>
        <v/>
      </c>
      <c r="T75" s="103" t="str">
        <f t="shared" si="31"/>
        <v/>
      </c>
      <c r="U75" s="103" t="str">
        <f t="shared" si="31"/>
        <v/>
      </c>
      <c r="V75" s="103" t="str">
        <f t="shared" si="31"/>
        <v/>
      </c>
      <c r="W75" s="103" t="str">
        <f t="shared" si="31"/>
        <v/>
      </c>
      <c r="X75" s="103" t="str">
        <f t="shared" si="31"/>
        <v/>
      </c>
      <c r="Y75" s="103" t="str">
        <f t="shared" si="31"/>
        <v/>
      </c>
      <c r="Z75" s="103" t="str">
        <f t="shared" si="31"/>
        <v/>
      </c>
      <c r="AA75" s="103" t="str">
        <f t="shared" si="31"/>
        <v/>
      </c>
      <c r="AB75" s="103" t="str">
        <f t="shared" si="31"/>
        <v/>
      </c>
      <c r="AC75" s="192">
        <f t="shared" si="8"/>
        <v>0</v>
      </c>
      <c r="AD75" s="189">
        <v>0</v>
      </c>
    </row>
    <row r="76" spans="1:30" ht="18" customHeight="1" outlineLevel="1" x14ac:dyDescent="0.25">
      <c r="A76" s="9" t="str">
        <f t="shared" si="5"/>
        <v>CO [g/h]</v>
      </c>
      <c r="B76" s="102"/>
      <c r="C76" s="103">
        <f t="shared" si="6"/>
        <v>0</v>
      </c>
      <c r="D76" s="103">
        <f t="shared" ref="D76:AB76" si="32">IF(SUM(D44:D72)=0, "", (D44*$B44/(D$43*$B$43))*$F$5)</f>
        <v>0</v>
      </c>
      <c r="E76" s="103">
        <f t="shared" si="32"/>
        <v>0</v>
      </c>
      <c r="F76" s="103">
        <f t="shared" si="32"/>
        <v>0</v>
      </c>
      <c r="G76" s="103">
        <f t="shared" si="32"/>
        <v>0</v>
      </c>
      <c r="H76" s="103">
        <f t="shared" si="32"/>
        <v>0</v>
      </c>
      <c r="I76" s="103">
        <f t="shared" si="32"/>
        <v>0</v>
      </c>
      <c r="J76" s="103">
        <f t="shared" si="32"/>
        <v>0</v>
      </c>
      <c r="K76" s="103">
        <f t="shared" si="32"/>
        <v>0</v>
      </c>
      <c r="L76" s="103">
        <f t="shared" si="32"/>
        <v>0</v>
      </c>
      <c r="M76" s="103">
        <f t="shared" si="32"/>
        <v>0</v>
      </c>
      <c r="N76" s="103">
        <f t="shared" si="32"/>
        <v>0</v>
      </c>
      <c r="O76" s="103">
        <f t="shared" si="32"/>
        <v>0</v>
      </c>
      <c r="P76" s="103" t="str">
        <f t="shared" si="32"/>
        <v/>
      </c>
      <c r="Q76" s="103" t="str">
        <f t="shared" si="32"/>
        <v/>
      </c>
      <c r="R76" s="103" t="str">
        <f t="shared" si="32"/>
        <v/>
      </c>
      <c r="S76" s="103" t="str">
        <f t="shared" si="32"/>
        <v/>
      </c>
      <c r="T76" s="103" t="str">
        <f t="shared" si="32"/>
        <v/>
      </c>
      <c r="U76" s="103" t="str">
        <f t="shared" si="32"/>
        <v/>
      </c>
      <c r="V76" s="103" t="str">
        <f t="shared" si="32"/>
        <v/>
      </c>
      <c r="W76" s="103" t="str">
        <f t="shared" si="32"/>
        <v/>
      </c>
      <c r="X76" s="103" t="str">
        <f t="shared" si="32"/>
        <v/>
      </c>
      <c r="Y76" s="103" t="str">
        <f t="shared" si="32"/>
        <v/>
      </c>
      <c r="Z76" s="103" t="str">
        <f t="shared" si="32"/>
        <v/>
      </c>
      <c r="AA76" s="103" t="str">
        <f t="shared" si="32"/>
        <v/>
      </c>
      <c r="AB76" s="103" t="str">
        <f t="shared" si="32"/>
        <v/>
      </c>
      <c r="AC76" s="192">
        <f t="shared" si="8"/>
        <v>0</v>
      </c>
      <c r="AD76" s="189">
        <v>1</v>
      </c>
    </row>
    <row r="77" spans="1:30" ht="18" customHeight="1" outlineLevel="1" x14ac:dyDescent="0.25">
      <c r="A77" s="9" t="str">
        <f t="shared" si="5"/>
        <v>H2 [g/h]</v>
      </c>
      <c r="B77" s="102"/>
      <c r="C77" s="103">
        <f t="shared" si="6"/>
        <v>5.7608271540129846E-2</v>
      </c>
      <c r="D77" s="103">
        <f t="shared" ref="D77:AB77" si="33">IF(SUM(D45:D73)=0, "", (D45*$B45/(D$43*$B$43))*$F$5)</f>
        <v>5.1301468073708008E-2</v>
      </c>
      <c r="E77" s="103">
        <f t="shared" si="33"/>
        <v>5.7682915150076196E-2</v>
      </c>
      <c r="F77" s="103">
        <f t="shared" si="33"/>
        <v>5.8633508525336095E-2</v>
      </c>
      <c r="G77" s="103">
        <f t="shared" si="33"/>
        <v>5.821985845187904E-2</v>
      </c>
      <c r="H77" s="103">
        <f t="shared" si="33"/>
        <v>5.8331773515820799E-2</v>
      </c>
      <c r="I77" s="103">
        <f t="shared" si="33"/>
        <v>5.7948374832136745E-2</v>
      </c>
      <c r="J77" s="103">
        <f t="shared" si="33"/>
        <v>5.8759597385581543E-2</v>
      </c>
      <c r="K77" s="103">
        <f t="shared" si="33"/>
        <v>5.8427356807726254E-2</v>
      </c>
      <c r="L77" s="103">
        <f t="shared" si="33"/>
        <v>5.8215269227168624E-2</v>
      </c>
      <c r="M77" s="103">
        <f t="shared" si="33"/>
        <v>5.8096802679622403E-2</v>
      </c>
      <c r="N77" s="103">
        <f t="shared" si="33"/>
        <v>5.7793798846525982E-2</v>
      </c>
      <c r="O77" s="103">
        <f t="shared" si="33"/>
        <v>5.788853498597641E-2</v>
      </c>
      <c r="P77" s="103" t="str">
        <f t="shared" si="33"/>
        <v/>
      </c>
      <c r="Q77" s="103" t="str">
        <f t="shared" si="33"/>
        <v/>
      </c>
      <c r="R77" s="103" t="str">
        <f t="shared" si="33"/>
        <v/>
      </c>
      <c r="S77" s="103" t="str">
        <f t="shared" si="33"/>
        <v/>
      </c>
      <c r="T77" s="103" t="str">
        <f t="shared" si="33"/>
        <v/>
      </c>
      <c r="U77" s="103" t="str">
        <f t="shared" si="33"/>
        <v/>
      </c>
      <c r="V77" s="103" t="str">
        <f t="shared" si="33"/>
        <v/>
      </c>
      <c r="W77" s="103" t="str">
        <f t="shared" si="33"/>
        <v/>
      </c>
      <c r="X77" s="103" t="str">
        <f t="shared" si="33"/>
        <v/>
      </c>
      <c r="Y77" s="103" t="str">
        <f t="shared" si="33"/>
        <v/>
      </c>
      <c r="Z77" s="103" t="str">
        <f t="shared" si="33"/>
        <v/>
      </c>
      <c r="AA77" s="103" t="str">
        <f t="shared" si="33"/>
        <v/>
      </c>
      <c r="AB77" s="103" t="str">
        <f t="shared" si="33"/>
        <v/>
      </c>
      <c r="AC77" s="192">
        <f t="shared" si="8"/>
        <v>0</v>
      </c>
      <c r="AD77" s="189">
        <v>0</v>
      </c>
    </row>
    <row r="78" spans="1:30" ht="18" customHeight="1" outlineLevel="1" x14ac:dyDescent="0.25">
      <c r="A78" s="9" t="str">
        <f t="shared" si="5"/>
        <v>Acetylene [g/h]</v>
      </c>
      <c r="B78" s="102"/>
      <c r="C78" s="103">
        <f t="shared" si="6"/>
        <v>0.28229275219036004</v>
      </c>
      <c r="D78" s="103">
        <f t="shared" ref="D78:AB78" si="34">IF(SUM(D46:D74)=0, "", (D46*$B46/(D$43*$B$43))*$F$5)</f>
        <v>0.24982576706058529</v>
      </c>
      <c r="E78" s="103">
        <f t="shared" si="34"/>
        <v>0.28569842771202036</v>
      </c>
      <c r="F78" s="103">
        <f t="shared" si="34"/>
        <v>0.28774118365374868</v>
      </c>
      <c r="G78" s="103">
        <f t="shared" si="34"/>
        <v>0.29304427814995199</v>
      </c>
      <c r="H78" s="103">
        <f t="shared" si="34"/>
        <v>0.29435166700642723</v>
      </c>
      <c r="I78" s="103">
        <f t="shared" si="34"/>
        <v>0.29338752510155164</v>
      </c>
      <c r="J78" s="103">
        <f t="shared" si="34"/>
        <v>0.29630888233832758</v>
      </c>
      <c r="K78" s="103">
        <f t="shared" si="34"/>
        <v>0.29624049704216177</v>
      </c>
      <c r="L78" s="103">
        <f t="shared" si="34"/>
        <v>0.27203050001623913</v>
      </c>
      <c r="M78" s="103">
        <f t="shared" si="34"/>
        <v>0.27307177408665567</v>
      </c>
      <c r="N78" s="103">
        <f t="shared" si="34"/>
        <v>0.27283954900763474</v>
      </c>
      <c r="O78" s="103">
        <f t="shared" si="34"/>
        <v>0.27297297510901686</v>
      </c>
      <c r="P78" s="103" t="str">
        <f t="shared" si="34"/>
        <v/>
      </c>
      <c r="Q78" s="103" t="str">
        <f t="shared" si="34"/>
        <v/>
      </c>
      <c r="R78" s="103" t="str">
        <f t="shared" si="34"/>
        <v/>
      </c>
      <c r="S78" s="103" t="str">
        <f t="shared" si="34"/>
        <v/>
      </c>
      <c r="T78" s="103" t="str">
        <f t="shared" si="34"/>
        <v/>
      </c>
      <c r="U78" s="103" t="str">
        <f t="shared" si="34"/>
        <v/>
      </c>
      <c r="V78" s="103" t="str">
        <f t="shared" si="34"/>
        <v/>
      </c>
      <c r="W78" s="103" t="str">
        <f t="shared" si="34"/>
        <v/>
      </c>
      <c r="X78" s="103" t="str">
        <f t="shared" si="34"/>
        <v/>
      </c>
      <c r="Y78" s="103" t="str">
        <f t="shared" si="34"/>
        <v/>
      </c>
      <c r="Z78" s="103" t="str">
        <f t="shared" si="34"/>
        <v/>
      </c>
      <c r="AA78" s="103" t="str">
        <f t="shared" si="34"/>
        <v/>
      </c>
      <c r="AB78" s="103" t="str">
        <f t="shared" si="34"/>
        <v/>
      </c>
      <c r="AC78" s="192">
        <f t="shared" si="8"/>
        <v>0.26041614796915624</v>
      </c>
      <c r="AD78" s="189">
        <v>2</v>
      </c>
    </row>
    <row r="79" spans="1:30" ht="18" customHeight="1" outlineLevel="1" x14ac:dyDescent="0.25">
      <c r="A79" s="9" t="str">
        <f t="shared" si="5"/>
        <v>Isobutane [g/h]</v>
      </c>
      <c r="B79" s="102"/>
      <c r="C79" s="103">
        <f t="shared" si="6"/>
        <v>0</v>
      </c>
      <c r="D79" s="103">
        <f t="shared" ref="D79:AB79" si="35">IF(SUM(D47:D75)=0, "", (D47*$B47/(D$43*$B$43))*$F$5)</f>
        <v>0</v>
      </c>
      <c r="E79" s="103">
        <f t="shared" si="35"/>
        <v>0</v>
      </c>
      <c r="F79" s="103">
        <f t="shared" si="35"/>
        <v>0</v>
      </c>
      <c r="G79" s="103">
        <f t="shared" si="35"/>
        <v>0</v>
      </c>
      <c r="H79" s="103">
        <f t="shared" si="35"/>
        <v>0</v>
      </c>
      <c r="I79" s="103">
        <f t="shared" si="35"/>
        <v>0</v>
      </c>
      <c r="J79" s="103">
        <f t="shared" si="35"/>
        <v>0</v>
      </c>
      <c r="K79" s="103">
        <f t="shared" si="35"/>
        <v>0</v>
      </c>
      <c r="L79" s="103">
        <f t="shared" si="35"/>
        <v>0</v>
      </c>
      <c r="M79" s="103">
        <f t="shared" si="35"/>
        <v>0</v>
      </c>
      <c r="N79" s="103">
        <f t="shared" si="35"/>
        <v>0</v>
      </c>
      <c r="O79" s="103">
        <f t="shared" si="35"/>
        <v>0</v>
      </c>
      <c r="P79" s="103" t="str">
        <f t="shared" si="35"/>
        <v/>
      </c>
      <c r="Q79" s="103" t="str">
        <f t="shared" si="35"/>
        <v/>
      </c>
      <c r="R79" s="103" t="str">
        <f t="shared" si="35"/>
        <v/>
      </c>
      <c r="S79" s="103" t="str">
        <f t="shared" si="35"/>
        <v/>
      </c>
      <c r="T79" s="103" t="str">
        <f t="shared" si="35"/>
        <v/>
      </c>
      <c r="U79" s="103" t="str">
        <f t="shared" si="35"/>
        <v/>
      </c>
      <c r="V79" s="103" t="str">
        <f t="shared" si="35"/>
        <v/>
      </c>
      <c r="W79" s="103" t="str">
        <f t="shared" si="35"/>
        <v/>
      </c>
      <c r="X79" s="103" t="str">
        <f t="shared" si="35"/>
        <v/>
      </c>
      <c r="Y79" s="103" t="str">
        <f t="shared" si="35"/>
        <v/>
      </c>
      <c r="Z79" s="103" t="str">
        <f t="shared" si="35"/>
        <v/>
      </c>
      <c r="AA79" s="103" t="str">
        <f t="shared" si="35"/>
        <v/>
      </c>
      <c r="AB79" s="103" t="str">
        <f t="shared" si="35"/>
        <v/>
      </c>
      <c r="AC79" s="192">
        <f t="shared" si="8"/>
        <v>0</v>
      </c>
      <c r="AD79" s="189">
        <v>4</v>
      </c>
    </row>
    <row r="80" spans="1:30" ht="18" customHeight="1" outlineLevel="1" x14ac:dyDescent="0.25">
      <c r="A80" s="9" t="str">
        <f t="shared" si="5"/>
        <v>N2 [g/h]</v>
      </c>
      <c r="B80" s="102"/>
      <c r="C80" s="103">
        <f t="shared" si="6"/>
        <v>2.1745927277356083</v>
      </c>
      <c r="D80" s="103">
        <f t="shared" ref="D80:AB80" si="36">IF(SUM(D48:D76)=0, "", (D48*$B48/(D$43*$B$43))*$F$5)</f>
        <v>1.9488885540997125</v>
      </c>
      <c r="E80" s="103">
        <f t="shared" si="36"/>
        <v>2.1839394768844431</v>
      </c>
      <c r="F80" s="103">
        <f t="shared" si="36"/>
        <v>2.1895545385471968</v>
      </c>
      <c r="G80" s="103">
        <f t="shared" si="36"/>
        <v>2.1806839603798562</v>
      </c>
      <c r="H80" s="103">
        <f t="shared" si="36"/>
        <v>2.1818350772705033</v>
      </c>
      <c r="I80" s="103">
        <f t="shared" si="36"/>
        <v>2.191657526524474</v>
      </c>
      <c r="J80" s="103">
        <f t="shared" si="36"/>
        <v>2.1880548977010785</v>
      </c>
      <c r="K80" s="103">
        <f t="shared" si="36"/>
        <v>2.1832192078074741</v>
      </c>
      <c r="L80" s="103">
        <f t="shared" si="36"/>
        <v>2.2135826721736707</v>
      </c>
      <c r="M80" s="103">
        <f t="shared" si="36"/>
        <v>2.2045448631504669</v>
      </c>
      <c r="N80" s="103">
        <f t="shared" si="36"/>
        <v>2.2141026293289929</v>
      </c>
      <c r="O80" s="103">
        <f t="shared" si="36"/>
        <v>2.2150493289594264</v>
      </c>
      <c r="P80" s="103" t="str">
        <f t="shared" si="36"/>
        <v/>
      </c>
      <c r="Q80" s="103" t="str">
        <f t="shared" si="36"/>
        <v/>
      </c>
      <c r="R80" s="103" t="str">
        <f t="shared" si="36"/>
        <v/>
      </c>
      <c r="S80" s="103" t="str">
        <f t="shared" si="36"/>
        <v/>
      </c>
      <c r="T80" s="103" t="str">
        <f t="shared" si="36"/>
        <v/>
      </c>
      <c r="U80" s="103" t="str">
        <f t="shared" si="36"/>
        <v/>
      </c>
      <c r="V80" s="103" t="str">
        <f t="shared" si="36"/>
        <v/>
      </c>
      <c r="W80" s="103" t="str">
        <f t="shared" si="36"/>
        <v/>
      </c>
      <c r="X80" s="103" t="str">
        <f t="shared" si="36"/>
        <v/>
      </c>
      <c r="Y80" s="103" t="str">
        <f t="shared" si="36"/>
        <v/>
      </c>
      <c r="Z80" s="103" t="str">
        <f t="shared" si="36"/>
        <v/>
      </c>
      <c r="AA80" s="103" t="str">
        <f t="shared" si="36"/>
        <v/>
      </c>
      <c r="AB80" s="103" t="str">
        <f t="shared" si="36"/>
        <v/>
      </c>
      <c r="AC80" s="192">
        <f t="shared" si="8"/>
        <v>0</v>
      </c>
      <c r="AD80" s="189">
        <v>0</v>
      </c>
    </row>
    <row r="81" spans="1:30" ht="18" customHeight="1" outlineLevel="1" x14ac:dyDescent="0.25">
      <c r="A81" s="9" t="str">
        <f t="shared" si="5"/>
        <v/>
      </c>
      <c r="B81" s="102"/>
      <c r="C81" s="103">
        <f t="shared" si="6"/>
        <v>0</v>
      </c>
      <c r="D81" s="103">
        <f t="shared" ref="D81:AB81" si="37">IF(SUM(D49:D77)=0, "", (D49*$B49/(D$43*$B$43))*$F$5)</f>
        <v>0</v>
      </c>
      <c r="E81" s="103">
        <f t="shared" si="37"/>
        <v>0</v>
      </c>
      <c r="F81" s="103">
        <f t="shared" si="37"/>
        <v>0</v>
      </c>
      <c r="G81" s="103">
        <f t="shared" si="37"/>
        <v>0</v>
      </c>
      <c r="H81" s="103">
        <f t="shared" si="37"/>
        <v>0</v>
      </c>
      <c r="I81" s="103">
        <f t="shared" si="37"/>
        <v>0</v>
      </c>
      <c r="J81" s="103">
        <f t="shared" si="37"/>
        <v>0</v>
      </c>
      <c r="K81" s="103">
        <f t="shared" si="37"/>
        <v>0</v>
      </c>
      <c r="L81" s="103">
        <f t="shared" si="37"/>
        <v>0</v>
      </c>
      <c r="M81" s="103">
        <f t="shared" si="37"/>
        <v>0</v>
      </c>
      <c r="N81" s="103">
        <f t="shared" si="37"/>
        <v>0</v>
      </c>
      <c r="O81" s="103">
        <f t="shared" si="37"/>
        <v>0</v>
      </c>
      <c r="P81" s="103" t="str">
        <f t="shared" si="37"/>
        <v/>
      </c>
      <c r="Q81" s="103" t="str">
        <f t="shared" si="37"/>
        <v/>
      </c>
      <c r="R81" s="103" t="str">
        <f t="shared" si="37"/>
        <v/>
      </c>
      <c r="S81" s="103" t="str">
        <f t="shared" si="37"/>
        <v/>
      </c>
      <c r="T81" s="103" t="str">
        <f t="shared" si="37"/>
        <v/>
      </c>
      <c r="U81" s="103" t="str">
        <f t="shared" si="37"/>
        <v/>
      </c>
      <c r="V81" s="103" t="str">
        <f t="shared" si="37"/>
        <v/>
      </c>
      <c r="W81" s="103" t="str">
        <f t="shared" si="37"/>
        <v/>
      </c>
      <c r="X81" s="103" t="str">
        <f t="shared" si="37"/>
        <v/>
      </c>
      <c r="Y81" s="103" t="str">
        <f t="shared" si="37"/>
        <v/>
      </c>
      <c r="Z81" s="103" t="str">
        <f t="shared" si="37"/>
        <v/>
      </c>
      <c r="AA81" s="103" t="str">
        <f t="shared" si="37"/>
        <v/>
      </c>
      <c r="AB81" s="103" t="str">
        <f t="shared" si="37"/>
        <v/>
      </c>
    </row>
    <row r="82" spans="1:30" ht="18" customHeight="1" outlineLevel="1" x14ac:dyDescent="0.25">
      <c r="A82" s="9" t="s">
        <v>250</v>
      </c>
      <c r="B82" s="102"/>
      <c r="C82" s="103">
        <f t="shared" si="6"/>
        <v>0.40130487605078535</v>
      </c>
      <c r="D82" s="103">
        <f t="shared" ref="D82:AB82" si="38">IF(SUM(D52:D81)=0,"",SUM(D52:D73,D78,D79))</f>
        <v>0.35487512706913293</v>
      </c>
      <c r="E82" s="103">
        <f t="shared" si="38"/>
        <v>0.40775924416451165</v>
      </c>
      <c r="F82" s="103">
        <f t="shared" si="38"/>
        <v>0.40911279660516542</v>
      </c>
      <c r="G82" s="103">
        <f t="shared" si="38"/>
        <v>0.41644186291756291</v>
      </c>
      <c r="H82" s="103">
        <f t="shared" si="38"/>
        <v>0.42150588417829271</v>
      </c>
      <c r="I82" s="103">
        <f t="shared" si="38"/>
        <v>0.41565037271546851</v>
      </c>
      <c r="J82" s="103">
        <f t="shared" si="38"/>
        <v>0.41726542646375508</v>
      </c>
      <c r="K82" s="103">
        <f t="shared" si="38"/>
        <v>0.41517834143445914</v>
      </c>
      <c r="L82" s="103">
        <f t="shared" si="38"/>
        <v>0.38858671644534803</v>
      </c>
      <c r="M82" s="103">
        <f t="shared" si="38"/>
        <v>0.38986772208554388</v>
      </c>
      <c r="N82" s="103">
        <f t="shared" si="38"/>
        <v>0.3894942637100276</v>
      </c>
      <c r="O82" s="103">
        <f t="shared" si="38"/>
        <v>0.38992075482015709</v>
      </c>
      <c r="P82" s="103" t="str">
        <f t="shared" si="38"/>
        <v/>
      </c>
      <c r="Q82" s="103" t="str">
        <f t="shared" si="38"/>
        <v/>
      </c>
      <c r="R82" s="103" t="str">
        <f t="shared" si="38"/>
        <v/>
      </c>
      <c r="S82" s="103" t="str">
        <f t="shared" si="38"/>
        <v/>
      </c>
      <c r="T82" s="103" t="str">
        <f t="shared" si="38"/>
        <v/>
      </c>
      <c r="U82" s="103" t="str">
        <f t="shared" si="38"/>
        <v/>
      </c>
      <c r="V82" s="103" t="str">
        <f t="shared" si="38"/>
        <v/>
      </c>
      <c r="W82" s="103" t="str">
        <f t="shared" si="38"/>
        <v/>
      </c>
      <c r="X82" s="103" t="str">
        <f t="shared" si="38"/>
        <v/>
      </c>
      <c r="Y82" s="103" t="str">
        <f t="shared" si="38"/>
        <v/>
      </c>
      <c r="Z82" s="103" t="str">
        <f t="shared" si="38"/>
        <v/>
      </c>
      <c r="AA82" s="103" t="str">
        <f t="shared" si="38"/>
        <v/>
      </c>
      <c r="AB82" s="103" t="str">
        <f t="shared" si="38"/>
        <v/>
      </c>
    </row>
    <row r="83" spans="1:30" ht="18" customHeight="1" outlineLevel="1" x14ac:dyDescent="0.25">
      <c r="A83" s="9" t="s">
        <v>251</v>
      </c>
      <c r="B83" s="102"/>
      <c r="C83" s="103">
        <f t="shared" si="6"/>
        <v>0</v>
      </c>
      <c r="D83" s="103">
        <f t="shared" ref="D83:AB83" si="39">IFERROR(D74+D76,"")</f>
        <v>0</v>
      </c>
      <c r="E83" s="103">
        <f t="shared" si="39"/>
        <v>0</v>
      </c>
      <c r="F83" s="103">
        <f t="shared" si="39"/>
        <v>0</v>
      </c>
      <c r="G83" s="103">
        <f t="shared" si="39"/>
        <v>0</v>
      </c>
      <c r="H83" s="103">
        <f t="shared" si="39"/>
        <v>0</v>
      </c>
      <c r="I83" s="103">
        <f t="shared" si="39"/>
        <v>0</v>
      </c>
      <c r="J83" s="103">
        <f t="shared" si="39"/>
        <v>0</v>
      </c>
      <c r="K83" s="103">
        <f t="shared" si="39"/>
        <v>0</v>
      </c>
      <c r="L83" s="103">
        <f t="shared" si="39"/>
        <v>0</v>
      </c>
      <c r="M83" s="103">
        <f t="shared" si="39"/>
        <v>0</v>
      </c>
      <c r="N83" s="103">
        <f t="shared" si="39"/>
        <v>0</v>
      </c>
      <c r="O83" s="103">
        <f t="shared" si="39"/>
        <v>0</v>
      </c>
      <c r="P83" s="103" t="str">
        <f t="shared" si="39"/>
        <v/>
      </c>
      <c r="Q83" s="103" t="str">
        <f t="shared" si="39"/>
        <v/>
      </c>
      <c r="R83" s="103" t="str">
        <f t="shared" si="39"/>
        <v/>
      </c>
      <c r="S83" s="103" t="str">
        <f t="shared" si="39"/>
        <v/>
      </c>
      <c r="T83" s="103" t="str">
        <f t="shared" si="39"/>
        <v/>
      </c>
      <c r="U83" s="103" t="str">
        <f t="shared" si="39"/>
        <v/>
      </c>
      <c r="V83" s="103" t="str">
        <f t="shared" si="39"/>
        <v/>
      </c>
      <c r="W83" s="103" t="str">
        <f t="shared" si="39"/>
        <v/>
      </c>
      <c r="X83" s="103" t="str">
        <f t="shared" si="39"/>
        <v/>
      </c>
      <c r="Y83" s="103" t="str">
        <f t="shared" si="39"/>
        <v/>
      </c>
      <c r="Z83" s="103" t="str">
        <f t="shared" si="39"/>
        <v/>
      </c>
      <c r="AA83" s="103" t="str">
        <f t="shared" si="39"/>
        <v/>
      </c>
      <c r="AB83" s="103" t="str">
        <f t="shared" si="39"/>
        <v/>
      </c>
    </row>
    <row r="84" spans="1:30" ht="18" customHeight="1" outlineLevel="1" x14ac:dyDescent="0.25">
      <c r="A84" s="9" t="s">
        <v>252</v>
      </c>
      <c r="B84" s="102"/>
      <c r="C84" s="103">
        <f t="shared" si="6"/>
        <v>0.40130487605078535</v>
      </c>
      <c r="D84" s="103">
        <f t="shared" ref="D84:AB84" si="40">IF(SUM(D82:D83)=0,"",SUM(D82:D83))</f>
        <v>0.35487512706913293</v>
      </c>
      <c r="E84" s="103">
        <f t="shared" si="40"/>
        <v>0.40775924416451165</v>
      </c>
      <c r="F84" s="103">
        <f t="shared" si="40"/>
        <v>0.40911279660516542</v>
      </c>
      <c r="G84" s="103">
        <f t="shared" si="40"/>
        <v>0.41644186291756291</v>
      </c>
      <c r="H84" s="103">
        <f t="shared" si="40"/>
        <v>0.42150588417829271</v>
      </c>
      <c r="I84" s="103">
        <f t="shared" si="40"/>
        <v>0.41565037271546851</v>
      </c>
      <c r="J84" s="103">
        <f t="shared" si="40"/>
        <v>0.41726542646375508</v>
      </c>
      <c r="K84" s="103">
        <f t="shared" si="40"/>
        <v>0.41517834143445914</v>
      </c>
      <c r="L84" s="103">
        <f t="shared" si="40"/>
        <v>0.38858671644534803</v>
      </c>
      <c r="M84" s="103">
        <f t="shared" si="40"/>
        <v>0.38986772208554388</v>
      </c>
      <c r="N84" s="103">
        <f t="shared" si="40"/>
        <v>0.3894942637100276</v>
      </c>
      <c r="O84" s="103">
        <f t="shared" si="40"/>
        <v>0.38992075482015709</v>
      </c>
      <c r="P84" s="103" t="str">
        <f t="shared" si="40"/>
        <v/>
      </c>
      <c r="Q84" s="103" t="str">
        <f t="shared" si="40"/>
        <v/>
      </c>
      <c r="R84" s="103" t="str">
        <f t="shared" si="40"/>
        <v/>
      </c>
      <c r="S84" s="103" t="str">
        <f t="shared" si="40"/>
        <v/>
      </c>
      <c r="T84" s="103" t="str">
        <f t="shared" si="40"/>
        <v/>
      </c>
      <c r="U84" s="103" t="str">
        <f t="shared" si="40"/>
        <v/>
      </c>
      <c r="V84" s="103" t="str">
        <f t="shared" si="40"/>
        <v/>
      </c>
      <c r="W84" s="103" t="str">
        <f t="shared" si="40"/>
        <v/>
      </c>
      <c r="X84" s="103" t="str">
        <f t="shared" si="40"/>
        <v/>
      </c>
      <c r="Y84" s="103" t="str">
        <f t="shared" si="40"/>
        <v/>
      </c>
      <c r="Z84" s="103" t="str">
        <f t="shared" si="40"/>
        <v/>
      </c>
      <c r="AA84" s="103" t="str">
        <f t="shared" si="40"/>
        <v/>
      </c>
      <c r="AB84" s="103" t="str">
        <f t="shared" si="40"/>
        <v/>
      </c>
    </row>
    <row r="86" spans="1:30" ht="18" customHeight="1" outlineLevel="2" x14ac:dyDescent="0.25">
      <c r="A86" s="9" t="s">
        <v>253</v>
      </c>
      <c r="B86" s="189"/>
      <c r="C86" s="7">
        <f>IFERROR(AVERAGE(D86:AB86), "")</f>
        <v>159.70410705546072</v>
      </c>
      <c r="D86" s="7">
        <f>IF(D$75="","",D$75/Gas!$I$35*Gas!$B$11)</f>
        <v>159.7041070554607</v>
      </c>
      <c r="E86" s="7">
        <f>IF(E$75="","",E$75/Gas!$I$35*Gas!$B$11)</f>
        <v>159.7041070554607</v>
      </c>
      <c r="F86" s="7">
        <f>IF(F$75="","",F$75/Gas!$I$35*Gas!$B$11)</f>
        <v>159.7041070554607</v>
      </c>
      <c r="G86" s="7">
        <f>IF(G$75="","",G$75/Gas!$I$35*Gas!$B$11)</f>
        <v>159.7041070554607</v>
      </c>
      <c r="H86" s="7">
        <f>IF(H$75="","",H$75/Gas!$I$35*Gas!$B$11)</f>
        <v>159.7041070554607</v>
      </c>
      <c r="I86" s="7">
        <f>IF(I$75="","",I$75/Gas!$I$35*Gas!$B$11)</f>
        <v>159.7041070554607</v>
      </c>
      <c r="J86" s="7">
        <f>IF(J$75="","",J$75/Gas!$I$35*Gas!$B$11)</f>
        <v>159.7041070554607</v>
      </c>
      <c r="K86" s="7">
        <f>IF(K$75="","",K$75/Gas!$I$35*Gas!$B$11)</f>
        <v>159.7041070554607</v>
      </c>
      <c r="L86" s="7">
        <f>IF(L$75="","",L$75/Gas!$I$35*Gas!$B$11)</f>
        <v>159.7041070554607</v>
      </c>
      <c r="M86" s="7">
        <f>IF(M$75="","",M$75/Gas!$I$35*Gas!$B$11)</f>
        <v>159.7041070554607</v>
      </c>
      <c r="N86" s="7">
        <f>IF(N$75="","",N$75/Gas!$I$35*Gas!$B$11)</f>
        <v>159.7041070554607</v>
      </c>
      <c r="O86" s="7">
        <f>IF(O$75="","",O$75/Gas!$I$35*Gas!$B$11)</f>
        <v>159.7041070554607</v>
      </c>
      <c r="P86" s="7" t="str">
        <f>IF(P$75="","",P$75/Gas!$I$35*Gas!$B$11)</f>
        <v/>
      </c>
      <c r="Q86" s="7" t="str">
        <f>IF(Q$75="","",Q$75/Gas!$I$35*Gas!$B$11)</f>
        <v/>
      </c>
      <c r="R86" s="7" t="str">
        <f>IF(R$75="","",R$75/Gas!$I$35*Gas!$B$11)</f>
        <v/>
      </c>
      <c r="S86" s="7" t="str">
        <f>IF(S$75="","",S$75/Gas!$I$35*Gas!$B$11)</f>
        <v/>
      </c>
      <c r="T86" s="7" t="str">
        <f>IF(T$75="","",T$75/Gas!$I$35*Gas!$B$11)</f>
        <v/>
      </c>
      <c r="U86" s="7" t="str">
        <f>IF(U$75="","",U$75/Gas!$I$35*Gas!$B$11)</f>
        <v/>
      </c>
      <c r="V86" s="7" t="str">
        <f>IF(V$75="","",V$75/Gas!$I$35*Gas!$B$11)</f>
        <v/>
      </c>
      <c r="W86" s="7" t="str">
        <f>IF(W$75="","",W$75/Gas!$I$35*Gas!$B$11)</f>
        <v/>
      </c>
      <c r="X86" s="7" t="str">
        <f>IF(X$75="","",X$75/Gas!$I$35*Gas!$B$11)</f>
        <v/>
      </c>
      <c r="Y86" s="7" t="str">
        <f>IF(Y$75="","",Y$75/Gas!$I$35*Gas!$B$11)</f>
        <v/>
      </c>
      <c r="Z86" s="7" t="str">
        <f>IF(Z$75="","",Z$75/Gas!$I$35*Gas!$B$11)</f>
        <v/>
      </c>
      <c r="AA86" s="7" t="str">
        <f>IF(AA$75="","",AA$75/Gas!$I$35*Gas!$B$11)</f>
        <v/>
      </c>
      <c r="AB86" s="7" t="str">
        <f>IF(AB$75="","",AB$75/Gas!$I$35*Gas!$B$11)</f>
        <v/>
      </c>
    </row>
    <row r="87" spans="1:30" ht="18" customHeight="1" outlineLevel="2" x14ac:dyDescent="0.25">
      <c r="A87" s="9" t="s">
        <v>254</v>
      </c>
      <c r="B87" s="218"/>
      <c r="C87" s="7" t="s">
        <v>247</v>
      </c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D87" s="136"/>
    </row>
    <row r="88" spans="1:30" ht="18" customHeight="1" outlineLevel="2" x14ac:dyDescent="0.25">
      <c r="A88" s="9" t="str">
        <f t="shared" ref="A88:A118" si="41">IF(A20="", "", CONCATENATE(A20, " [Nl/h]"))</f>
        <v>Methane [Nl/h]</v>
      </c>
      <c r="B88" s="219"/>
      <c r="C88" s="103">
        <f t="shared" ref="C88:C118" si="42">IFERROR(AVERAGE(D88:AB88), "")</f>
        <v>4.1748842861431648</v>
      </c>
      <c r="D88" s="103">
        <f t="shared" ref="D88:AB88" si="43">IF(D$86="","",D20/100*D$86)</f>
        <v>4.1113251125304764</v>
      </c>
      <c r="E88" s="103">
        <f t="shared" si="43"/>
        <v>4.1318918074370785</v>
      </c>
      <c r="F88" s="103">
        <f t="shared" si="43"/>
        <v>4.1451903684315869</v>
      </c>
      <c r="G88" s="103">
        <f t="shared" si="43"/>
        <v>4.2140867202153132</v>
      </c>
      <c r="H88" s="103">
        <f t="shared" si="43"/>
        <v>4.2282556685932731</v>
      </c>
      <c r="I88" s="103">
        <f t="shared" si="43"/>
        <v>4.2135660848263123</v>
      </c>
      <c r="J88" s="103">
        <f t="shared" si="43"/>
        <v>4.2066173591283285</v>
      </c>
      <c r="K88" s="103">
        <f t="shared" si="43"/>
        <v>4.2162187700445033</v>
      </c>
      <c r="L88" s="103">
        <f t="shared" si="43"/>
        <v>4.1556925105115541</v>
      </c>
      <c r="M88" s="103">
        <f t="shared" si="43"/>
        <v>4.1625581900738675</v>
      </c>
      <c r="N88" s="103">
        <f t="shared" si="43"/>
        <v>4.1528801211863069</v>
      </c>
      <c r="O88" s="103">
        <f t="shared" si="43"/>
        <v>4.1603287207393738</v>
      </c>
      <c r="P88" s="103" t="str">
        <f t="shared" si="43"/>
        <v/>
      </c>
      <c r="Q88" s="103" t="str">
        <f t="shared" si="43"/>
        <v/>
      </c>
      <c r="R88" s="103" t="str">
        <f t="shared" si="43"/>
        <v/>
      </c>
      <c r="S88" s="103" t="str">
        <f t="shared" si="43"/>
        <v/>
      </c>
      <c r="T88" s="103" t="str">
        <f t="shared" si="43"/>
        <v/>
      </c>
      <c r="U88" s="103" t="str">
        <f t="shared" si="43"/>
        <v/>
      </c>
      <c r="V88" s="103" t="str">
        <f t="shared" si="43"/>
        <v/>
      </c>
      <c r="W88" s="103" t="str">
        <f t="shared" si="43"/>
        <v/>
      </c>
      <c r="X88" s="103" t="str">
        <f t="shared" si="43"/>
        <v/>
      </c>
      <c r="Y88" s="103" t="str">
        <f t="shared" si="43"/>
        <v/>
      </c>
      <c r="Z88" s="103" t="str">
        <f t="shared" si="43"/>
        <v/>
      </c>
      <c r="AA88" s="103" t="str">
        <f t="shared" si="43"/>
        <v/>
      </c>
      <c r="AB88" s="103" t="str">
        <f t="shared" si="43"/>
        <v/>
      </c>
    </row>
    <row r="89" spans="1:30" ht="18" customHeight="1" outlineLevel="2" x14ac:dyDescent="0.25">
      <c r="A89" s="9" t="str">
        <f t="shared" si="41"/>
        <v>Ethane [Nl/h]</v>
      </c>
      <c r="B89" s="219"/>
      <c r="C89" s="103">
        <f t="shared" si="42"/>
        <v>4.690243450707122E-3</v>
      </c>
      <c r="D89" s="103">
        <f t="shared" ref="D89:AB89" si="44">IF(D$86="","",D21/100*D$86)</f>
        <v>8.897115804059717E-3</v>
      </c>
      <c r="E89" s="103">
        <f t="shared" si="44"/>
        <v>6.1821459841168835E-3</v>
      </c>
      <c r="F89" s="103">
        <f t="shared" si="44"/>
        <v>5.6774810058216269E-3</v>
      </c>
      <c r="G89" s="103">
        <f t="shared" si="44"/>
        <v>5.469865666649529E-3</v>
      </c>
      <c r="H89" s="103">
        <f t="shared" si="44"/>
        <v>1.0393543287169382E-2</v>
      </c>
      <c r="I89" s="103">
        <f t="shared" si="44"/>
        <v>3.1254093750753657E-3</v>
      </c>
      <c r="J89" s="103">
        <f t="shared" si="44"/>
        <v>2.8187774895288816E-3</v>
      </c>
      <c r="K89" s="103">
        <f t="shared" si="44"/>
        <v>2.4067408933257928E-3</v>
      </c>
      <c r="L89" s="103">
        <f t="shared" si="44"/>
        <v>2.9704963912315693E-3</v>
      </c>
      <c r="M89" s="103">
        <f t="shared" si="44"/>
        <v>2.7772544216944617E-3</v>
      </c>
      <c r="N89" s="103">
        <f t="shared" si="44"/>
        <v>2.7277461485072691E-3</v>
      </c>
      <c r="O89" s="103">
        <f t="shared" si="44"/>
        <v>2.8363449413049821E-3</v>
      </c>
      <c r="P89" s="103" t="str">
        <f t="shared" si="44"/>
        <v/>
      </c>
      <c r="Q89" s="103" t="str">
        <f t="shared" si="44"/>
        <v/>
      </c>
      <c r="R89" s="103" t="str">
        <f t="shared" si="44"/>
        <v/>
      </c>
      <c r="S89" s="103" t="str">
        <f t="shared" si="44"/>
        <v/>
      </c>
      <c r="T89" s="103" t="str">
        <f t="shared" si="44"/>
        <v/>
      </c>
      <c r="U89" s="103" t="str">
        <f t="shared" si="44"/>
        <v/>
      </c>
      <c r="V89" s="103" t="str">
        <f t="shared" si="44"/>
        <v/>
      </c>
      <c r="W89" s="103" t="str">
        <f t="shared" si="44"/>
        <v/>
      </c>
      <c r="X89" s="103" t="str">
        <f t="shared" si="44"/>
        <v/>
      </c>
      <c r="Y89" s="103" t="str">
        <f t="shared" si="44"/>
        <v/>
      </c>
      <c r="Z89" s="103" t="str">
        <f t="shared" si="44"/>
        <v/>
      </c>
      <c r="AA89" s="103" t="str">
        <f t="shared" si="44"/>
        <v/>
      </c>
      <c r="AB89" s="103" t="str">
        <f t="shared" si="44"/>
        <v/>
      </c>
    </row>
    <row r="90" spans="1:30" ht="18" customHeight="1" outlineLevel="2" x14ac:dyDescent="0.25">
      <c r="A90" s="9" t="str">
        <f t="shared" si="41"/>
        <v>Ethylene [Nl/h]</v>
      </c>
      <c r="B90" s="219"/>
      <c r="C90" s="103">
        <f t="shared" si="42"/>
        <v>2.6300206767516703</v>
      </c>
      <c r="D90" s="103">
        <f t="shared" ref="D90:AB90" si="45">IF(D$86="","",D22/100*D$86)</f>
        <v>2.6062815928451677</v>
      </c>
      <c r="E90" s="103">
        <f t="shared" si="45"/>
        <v>2.6074506269088134</v>
      </c>
      <c r="F90" s="103">
        <f t="shared" si="45"/>
        <v>2.6180613677815785</v>
      </c>
      <c r="G90" s="103">
        <f t="shared" si="45"/>
        <v>2.6659821821446399</v>
      </c>
      <c r="H90" s="103">
        <f t="shared" si="45"/>
        <v>2.6682611597523209</v>
      </c>
      <c r="I90" s="103">
        <f t="shared" si="45"/>
        <v>2.6467713751069382</v>
      </c>
      <c r="J90" s="103">
        <f t="shared" si="45"/>
        <v>2.6482294736043546</v>
      </c>
      <c r="K90" s="103">
        <f t="shared" si="45"/>
        <v>2.6396900950000992</v>
      </c>
      <c r="L90" s="103">
        <f t="shared" si="45"/>
        <v>2.603945121758946</v>
      </c>
      <c r="M90" s="103">
        <f t="shared" si="45"/>
        <v>2.6228700584450184</v>
      </c>
      <c r="N90" s="103">
        <f t="shared" si="45"/>
        <v>2.6117961756617922</v>
      </c>
      <c r="O90" s="103">
        <f t="shared" si="45"/>
        <v>2.6209088920103771</v>
      </c>
      <c r="P90" s="103" t="str">
        <f t="shared" si="45"/>
        <v/>
      </c>
      <c r="Q90" s="103" t="str">
        <f t="shared" si="45"/>
        <v/>
      </c>
      <c r="R90" s="103" t="str">
        <f t="shared" si="45"/>
        <v/>
      </c>
      <c r="S90" s="103" t="str">
        <f t="shared" si="45"/>
        <v/>
      </c>
      <c r="T90" s="103" t="str">
        <f t="shared" si="45"/>
        <v/>
      </c>
      <c r="U90" s="103" t="str">
        <f t="shared" si="45"/>
        <v/>
      </c>
      <c r="V90" s="103" t="str">
        <f t="shared" si="45"/>
        <v/>
      </c>
      <c r="W90" s="103" t="str">
        <f t="shared" si="45"/>
        <v/>
      </c>
      <c r="X90" s="103" t="str">
        <f t="shared" si="45"/>
        <v/>
      </c>
      <c r="Y90" s="103" t="str">
        <f t="shared" si="45"/>
        <v/>
      </c>
      <c r="Z90" s="103" t="str">
        <f t="shared" si="45"/>
        <v/>
      </c>
      <c r="AA90" s="103" t="str">
        <f t="shared" si="45"/>
        <v/>
      </c>
      <c r="AB90" s="103" t="str">
        <f t="shared" si="45"/>
        <v/>
      </c>
    </row>
    <row r="91" spans="1:30" ht="18" customHeight="1" outlineLevel="2" x14ac:dyDescent="0.25">
      <c r="A91" s="9" t="str">
        <f t="shared" si="41"/>
        <v>Propane [Nl/h]</v>
      </c>
      <c r="B91" s="219"/>
      <c r="C91" s="103">
        <f t="shared" si="42"/>
        <v>0</v>
      </c>
      <c r="D91" s="103">
        <f t="shared" ref="D91:AB91" si="46">IF(D$86="","",D23/100*D$86)</f>
        <v>0</v>
      </c>
      <c r="E91" s="103">
        <f t="shared" si="46"/>
        <v>0</v>
      </c>
      <c r="F91" s="103">
        <f t="shared" si="46"/>
        <v>0</v>
      </c>
      <c r="G91" s="103">
        <f t="shared" si="46"/>
        <v>0</v>
      </c>
      <c r="H91" s="103">
        <f t="shared" si="46"/>
        <v>0</v>
      </c>
      <c r="I91" s="103">
        <f t="shared" si="46"/>
        <v>0</v>
      </c>
      <c r="J91" s="103">
        <f t="shared" si="46"/>
        <v>0</v>
      </c>
      <c r="K91" s="103">
        <f t="shared" si="46"/>
        <v>0</v>
      </c>
      <c r="L91" s="103">
        <f t="shared" si="46"/>
        <v>0</v>
      </c>
      <c r="M91" s="103">
        <f t="shared" si="46"/>
        <v>0</v>
      </c>
      <c r="N91" s="103">
        <f t="shared" si="46"/>
        <v>0</v>
      </c>
      <c r="O91" s="103">
        <f t="shared" si="46"/>
        <v>0</v>
      </c>
      <c r="P91" s="103" t="str">
        <f t="shared" si="46"/>
        <v/>
      </c>
      <c r="Q91" s="103" t="str">
        <f t="shared" si="46"/>
        <v/>
      </c>
      <c r="R91" s="103" t="str">
        <f t="shared" si="46"/>
        <v/>
      </c>
      <c r="S91" s="103" t="str">
        <f t="shared" si="46"/>
        <v/>
      </c>
      <c r="T91" s="103" t="str">
        <f t="shared" si="46"/>
        <v/>
      </c>
      <c r="U91" s="103" t="str">
        <f t="shared" si="46"/>
        <v/>
      </c>
      <c r="V91" s="103" t="str">
        <f t="shared" si="46"/>
        <v/>
      </c>
      <c r="W91" s="103" t="str">
        <f t="shared" si="46"/>
        <v/>
      </c>
      <c r="X91" s="103" t="str">
        <f t="shared" si="46"/>
        <v/>
      </c>
      <c r="Y91" s="103" t="str">
        <f t="shared" si="46"/>
        <v/>
      </c>
      <c r="Z91" s="103" t="str">
        <f t="shared" si="46"/>
        <v/>
      </c>
      <c r="AA91" s="103" t="str">
        <f t="shared" si="46"/>
        <v/>
      </c>
      <c r="AB91" s="103" t="str">
        <f t="shared" si="46"/>
        <v/>
      </c>
    </row>
    <row r="92" spans="1:30" ht="18" customHeight="1" outlineLevel="2" x14ac:dyDescent="0.25">
      <c r="A92" s="9" t="str">
        <f t="shared" si="41"/>
        <v>Propylene [Nl/h]</v>
      </c>
      <c r="B92" s="219"/>
      <c r="C92" s="103">
        <f t="shared" si="42"/>
        <v>1.102756859217956E-3</v>
      </c>
      <c r="D92" s="103">
        <f t="shared" ref="D92:AB92" si="47">IF(D$86="","",D24/100*D$86)</f>
        <v>3.5470282177017818E-3</v>
      </c>
      <c r="E92" s="103">
        <f t="shared" si="47"/>
        <v>2.6638645056850842E-3</v>
      </c>
      <c r="F92" s="103">
        <f t="shared" si="47"/>
        <v>1.7998652865150418E-3</v>
      </c>
      <c r="G92" s="103">
        <f t="shared" si="47"/>
        <v>1.3542908278303067E-3</v>
      </c>
      <c r="H92" s="103">
        <f t="shared" si="47"/>
        <v>2.7884337091883438E-3</v>
      </c>
      <c r="I92" s="103">
        <f t="shared" si="47"/>
        <v>5.8771111396409531E-4</v>
      </c>
      <c r="J92" s="103">
        <f t="shared" si="47"/>
        <v>4.9188864973081896E-4</v>
      </c>
      <c r="K92" s="103">
        <f t="shared" si="47"/>
        <v>0</v>
      </c>
      <c r="L92" s="103">
        <f t="shared" si="47"/>
        <v>0</v>
      </c>
      <c r="M92" s="103">
        <f t="shared" si="47"/>
        <v>0</v>
      </c>
      <c r="N92" s="103">
        <f t="shared" si="47"/>
        <v>0</v>
      </c>
      <c r="O92" s="103">
        <f t="shared" si="47"/>
        <v>0</v>
      </c>
      <c r="P92" s="103" t="str">
        <f t="shared" si="47"/>
        <v/>
      </c>
      <c r="Q92" s="103" t="str">
        <f t="shared" si="47"/>
        <v/>
      </c>
      <c r="R92" s="103" t="str">
        <f t="shared" si="47"/>
        <v/>
      </c>
      <c r="S92" s="103" t="str">
        <f t="shared" si="47"/>
        <v/>
      </c>
      <c r="T92" s="103" t="str">
        <f t="shared" si="47"/>
        <v/>
      </c>
      <c r="U92" s="103" t="str">
        <f t="shared" si="47"/>
        <v/>
      </c>
      <c r="V92" s="103" t="str">
        <f t="shared" si="47"/>
        <v/>
      </c>
      <c r="W92" s="103" t="str">
        <f t="shared" si="47"/>
        <v/>
      </c>
      <c r="X92" s="103" t="str">
        <f t="shared" si="47"/>
        <v/>
      </c>
      <c r="Y92" s="103" t="str">
        <f t="shared" si="47"/>
        <v/>
      </c>
      <c r="Z92" s="103" t="str">
        <f t="shared" si="47"/>
        <v/>
      </c>
      <c r="AA92" s="103" t="str">
        <f t="shared" si="47"/>
        <v/>
      </c>
      <c r="AB92" s="103" t="str">
        <f t="shared" si="47"/>
        <v/>
      </c>
    </row>
    <row r="93" spans="1:30" ht="18" customHeight="1" outlineLevel="2" x14ac:dyDescent="0.25">
      <c r="A93" s="9" t="str">
        <f t="shared" si="41"/>
        <v>Butane [Nl/h]</v>
      </c>
      <c r="B93" s="219"/>
      <c r="C93" s="103">
        <f t="shared" si="42"/>
        <v>1.7966712043739332E-4</v>
      </c>
      <c r="D93" s="103">
        <f t="shared" ref="D93:AB93" si="48">IF(D$86="","",D25/100*D$86)</f>
        <v>6.8832470140903559E-4</v>
      </c>
      <c r="E93" s="103">
        <f t="shared" si="48"/>
        <v>4.5515670510806294E-4</v>
      </c>
      <c r="F93" s="103">
        <f t="shared" si="48"/>
        <v>0</v>
      </c>
      <c r="G93" s="103">
        <f t="shared" si="48"/>
        <v>0</v>
      </c>
      <c r="H93" s="103">
        <f t="shared" si="48"/>
        <v>6.1645785323407839E-4</v>
      </c>
      <c r="I93" s="103">
        <f t="shared" si="48"/>
        <v>0</v>
      </c>
      <c r="J93" s="103">
        <f t="shared" si="48"/>
        <v>0</v>
      </c>
      <c r="K93" s="103">
        <f t="shared" si="48"/>
        <v>0</v>
      </c>
      <c r="L93" s="103">
        <f t="shared" si="48"/>
        <v>0</v>
      </c>
      <c r="M93" s="103">
        <f t="shared" si="48"/>
        <v>0</v>
      </c>
      <c r="N93" s="103">
        <f t="shared" si="48"/>
        <v>0</v>
      </c>
      <c r="O93" s="103">
        <f t="shared" si="48"/>
        <v>3.960661854975425E-4</v>
      </c>
      <c r="P93" s="103" t="str">
        <f t="shared" si="48"/>
        <v/>
      </c>
      <c r="Q93" s="103" t="str">
        <f t="shared" si="48"/>
        <v/>
      </c>
      <c r="R93" s="103" t="str">
        <f t="shared" si="48"/>
        <v/>
      </c>
      <c r="S93" s="103" t="str">
        <f t="shared" si="48"/>
        <v/>
      </c>
      <c r="T93" s="103" t="str">
        <f t="shared" si="48"/>
        <v/>
      </c>
      <c r="U93" s="103" t="str">
        <f t="shared" si="48"/>
        <v/>
      </c>
      <c r="V93" s="103" t="str">
        <f t="shared" si="48"/>
        <v/>
      </c>
      <c r="W93" s="103" t="str">
        <f t="shared" si="48"/>
        <v/>
      </c>
      <c r="X93" s="103" t="str">
        <f t="shared" si="48"/>
        <v/>
      </c>
      <c r="Y93" s="103" t="str">
        <f t="shared" si="48"/>
        <v/>
      </c>
      <c r="Z93" s="103" t="str">
        <f t="shared" si="48"/>
        <v/>
      </c>
      <c r="AA93" s="103" t="str">
        <f t="shared" si="48"/>
        <v/>
      </c>
      <c r="AB93" s="103" t="str">
        <f t="shared" si="48"/>
        <v/>
      </c>
    </row>
    <row r="94" spans="1:30" ht="18" customHeight="1" outlineLevel="2" x14ac:dyDescent="0.25">
      <c r="A94" s="9" t="str">
        <f t="shared" si="41"/>
        <v>Pentane [Nl/h]</v>
      </c>
      <c r="B94" s="219"/>
      <c r="C94" s="103">
        <f t="shared" si="42"/>
        <v>0</v>
      </c>
      <c r="D94" s="103">
        <f t="shared" ref="D94:AB94" si="49">IF(D$86="","",D26/100*D$86)</f>
        <v>0</v>
      </c>
      <c r="E94" s="103">
        <f t="shared" si="49"/>
        <v>0</v>
      </c>
      <c r="F94" s="103">
        <f t="shared" si="49"/>
        <v>0</v>
      </c>
      <c r="G94" s="103">
        <f t="shared" si="49"/>
        <v>0</v>
      </c>
      <c r="H94" s="103">
        <f t="shared" si="49"/>
        <v>0</v>
      </c>
      <c r="I94" s="103">
        <f t="shared" si="49"/>
        <v>0</v>
      </c>
      <c r="J94" s="103">
        <f t="shared" si="49"/>
        <v>0</v>
      </c>
      <c r="K94" s="103">
        <f t="shared" si="49"/>
        <v>0</v>
      </c>
      <c r="L94" s="103">
        <f t="shared" si="49"/>
        <v>0</v>
      </c>
      <c r="M94" s="103">
        <f t="shared" si="49"/>
        <v>0</v>
      </c>
      <c r="N94" s="103">
        <f t="shared" si="49"/>
        <v>0</v>
      </c>
      <c r="O94" s="103">
        <f t="shared" si="49"/>
        <v>0</v>
      </c>
      <c r="P94" s="103" t="str">
        <f t="shared" si="49"/>
        <v/>
      </c>
      <c r="Q94" s="103" t="str">
        <f t="shared" si="49"/>
        <v/>
      </c>
      <c r="R94" s="103" t="str">
        <f t="shared" si="49"/>
        <v/>
      </c>
      <c r="S94" s="103" t="str">
        <f t="shared" si="49"/>
        <v/>
      </c>
      <c r="T94" s="103" t="str">
        <f t="shared" si="49"/>
        <v/>
      </c>
      <c r="U94" s="103" t="str">
        <f t="shared" si="49"/>
        <v/>
      </c>
      <c r="V94" s="103" t="str">
        <f t="shared" si="49"/>
        <v/>
      </c>
      <c r="W94" s="103" t="str">
        <f t="shared" si="49"/>
        <v/>
      </c>
      <c r="X94" s="103" t="str">
        <f t="shared" si="49"/>
        <v/>
      </c>
      <c r="Y94" s="103" t="str">
        <f t="shared" si="49"/>
        <v/>
      </c>
      <c r="Z94" s="103" t="str">
        <f t="shared" si="49"/>
        <v/>
      </c>
      <c r="AA94" s="103" t="str">
        <f t="shared" si="49"/>
        <v/>
      </c>
      <c r="AB94" s="103" t="str">
        <f t="shared" si="49"/>
        <v/>
      </c>
    </row>
    <row r="95" spans="1:30" ht="18" customHeight="1" outlineLevel="2" x14ac:dyDescent="0.25">
      <c r="A95" s="9" t="str">
        <f t="shared" si="41"/>
        <v>C6s (Isomers of hexane?) [Nl/h]</v>
      </c>
      <c r="B95" s="219"/>
      <c r="C95" s="103">
        <f t="shared" si="42"/>
        <v>0</v>
      </c>
      <c r="D95" s="103">
        <f t="shared" ref="D95:AB95" si="50">IF(D$86="","",D27/100*D$86)</f>
        <v>0</v>
      </c>
      <c r="E95" s="103">
        <f t="shared" si="50"/>
        <v>0</v>
      </c>
      <c r="F95" s="103">
        <f t="shared" si="50"/>
        <v>0</v>
      </c>
      <c r="G95" s="103">
        <f t="shared" si="50"/>
        <v>0</v>
      </c>
      <c r="H95" s="103">
        <f t="shared" si="50"/>
        <v>0</v>
      </c>
      <c r="I95" s="103">
        <f t="shared" si="50"/>
        <v>0</v>
      </c>
      <c r="J95" s="103">
        <f t="shared" si="50"/>
        <v>0</v>
      </c>
      <c r="K95" s="103">
        <f t="shared" si="50"/>
        <v>0</v>
      </c>
      <c r="L95" s="103">
        <f t="shared" si="50"/>
        <v>0</v>
      </c>
      <c r="M95" s="103">
        <f t="shared" si="50"/>
        <v>0</v>
      </c>
      <c r="N95" s="103">
        <f t="shared" si="50"/>
        <v>0</v>
      </c>
      <c r="O95" s="103">
        <f t="shared" si="50"/>
        <v>0</v>
      </c>
      <c r="P95" s="103" t="str">
        <f t="shared" si="50"/>
        <v/>
      </c>
      <c r="Q95" s="103" t="str">
        <f t="shared" si="50"/>
        <v/>
      </c>
      <c r="R95" s="103" t="str">
        <f t="shared" si="50"/>
        <v/>
      </c>
      <c r="S95" s="103" t="str">
        <f t="shared" si="50"/>
        <v/>
      </c>
      <c r="T95" s="103" t="str">
        <f t="shared" si="50"/>
        <v/>
      </c>
      <c r="U95" s="103" t="str">
        <f t="shared" si="50"/>
        <v/>
      </c>
      <c r="V95" s="103" t="str">
        <f t="shared" si="50"/>
        <v/>
      </c>
      <c r="W95" s="103" t="str">
        <f t="shared" si="50"/>
        <v/>
      </c>
      <c r="X95" s="103" t="str">
        <f t="shared" si="50"/>
        <v/>
      </c>
      <c r="Y95" s="103" t="str">
        <f t="shared" si="50"/>
        <v/>
      </c>
      <c r="Z95" s="103" t="str">
        <f t="shared" si="50"/>
        <v/>
      </c>
      <c r="AA95" s="103" t="str">
        <f t="shared" si="50"/>
        <v/>
      </c>
      <c r="AB95" s="103" t="str">
        <f t="shared" si="50"/>
        <v/>
      </c>
    </row>
    <row r="96" spans="1:30" ht="18" customHeight="1" outlineLevel="2" x14ac:dyDescent="0.25">
      <c r="A96" s="9" t="str">
        <f t="shared" si="41"/>
        <v>Hexane [Nl/h]</v>
      </c>
      <c r="B96" s="219"/>
      <c r="C96" s="103">
        <f t="shared" si="42"/>
        <v>0</v>
      </c>
      <c r="D96" s="103">
        <f t="shared" ref="D96:AB96" si="51">IF(D$86="","",D28/100*D$86)</f>
        <v>0</v>
      </c>
      <c r="E96" s="103">
        <f t="shared" si="51"/>
        <v>0</v>
      </c>
      <c r="F96" s="103">
        <f t="shared" si="51"/>
        <v>0</v>
      </c>
      <c r="G96" s="103">
        <f t="shared" si="51"/>
        <v>0</v>
      </c>
      <c r="H96" s="103">
        <f t="shared" si="51"/>
        <v>0</v>
      </c>
      <c r="I96" s="103">
        <f t="shared" si="51"/>
        <v>0</v>
      </c>
      <c r="J96" s="103">
        <f t="shared" si="51"/>
        <v>0</v>
      </c>
      <c r="K96" s="103">
        <f t="shared" si="51"/>
        <v>0</v>
      </c>
      <c r="L96" s="103">
        <f t="shared" si="51"/>
        <v>0</v>
      </c>
      <c r="M96" s="103">
        <f t="shared" si="51"/>
        <v>0</v>
      </c>
      <c r="N96" s="103">
        <f t="shared" si="51"/>
        <v>0</v>
      </c>
      <c r="O96" s="103">
        <f t="shared" si="51"/>
        <v>0</v>
      </c>
      <c r="P96" s="103" t="str">
        <f t="shared" si="51"/>
        <v/>
      </c>
      <c r="Q96" s="103" t="str">
        <f t="shared" si="51"/>
        <v/>
      </c>
      <c r="R96" s="103" t="str">
        <f t="shared" si="51"/>
        <v/>
      </c>
      <c r="S96" s="103" t="str">
        <f t="shared" si="51"/>
        <v/>
      </c>
      <c r="T96" s="103" t="str">
        <f t="shared" si="51"/>
        <v/>
      </c>
      <c r="U96" s="103" t="str">
        <f t="shared" si="51"/>
        <v/>
      </c>
      <c r="V96" s="103" t="str">
        <f t="shared" si="51"/>
        <v/>
      </c>
      <c r="W96" s="103" t="str">
        <f t="shared" si="51"/>
        <v/>
      </c>
      <c r="X96" s="103" t="str">
        <f t="shared" si="51"/>
        <v/>
      </c>
      <c r="Y96" s="103" t="str">
        <f t="shared" si="51"/>
        <v/>
      </c>
      <c r="Z96" s="103" t="str">
        <f t="shared" si="51"/>
        <v/>
      </c>
      <c r="AA96" s="103" t="str">
        <f t="shared" si="51"/>
        <v/>
      </c>
      <c r="AB96" s="103" t="str">
        <f t="shared" si="51"/>
        <v/>
      </c>
    </row>
    <row r="97" spans="1:28" ht="18" customHeight="1" outlineLevel="2" x14ac:dyDescent="0.25">
      <c r="A97" s="9" t="str">
        <f t="shared" si="41"/>
        <v>C4 [Nl/h]</v>
      </c>
      <c r="B97" s="219"/>
      <c r="C97" s="103">
        <f t="shared" si="42"/>
        <v>5.7324458359998831E-3</v>
      </c>
      <c r="D97" s="103">
        <f t="shared" ref="D97:AB97" si="52">IF(D$86="","",D29/100*D$86)</f>
        <v>8.8476075308725234E-4</v>
      </c>
      <c r="E97" s="103">
        <f t="shared" si="52"/>
        <v>9.8761019803096893E-3</v>
      </c>
      <c r="F97" s="103">
        <f t="shared" si="52"/>
        <v>9.1670157449834453E-3</v>
      </c>
      <c r="G97" s="103">
        <f t="shared" si="52"/>
        <v>1.0355214301476071E-2</v>
      </c>
      <c r="H97" s="103">
        <f t="shared" si="52"/>
        <v>2.3181051139100121E-2</v>
      </c>
      <c r="I97" s="103">
        <f t="shared" si="52"/>
        <v>1.0803982842301918E-2</v>
      </c>
      <c r="J97" s="103">
        <f t="shared" si="52"/>
        <v>1.7295954794106392E-3</v>
      </c>
      <c r="K97" s="103">
        <f t="shared" si="52"/>
        <v>7.9532645313619421E-4</v>
      </c>
      <c r="L97" s="103">
        <f t="shared" si="52"/>
        <v>8.5920809595837848E-4</v>
      </c>
      <c r="M97" s="103">
        <f t="shared" si="52"/>
        <v>6.196519353751875E-4</v>
      </c>
      <c r="N97" s="103">
        <f t="shared" si="52"/>
        <v>0</v>
      </c>
      <c r="O97" s="103">
        <f t="shared" si="52"/>
        <v>5.1744130685969271E-4</v>
      </c>
      <c r="P97" s="103" t="str">
        <f t="shared" si="52"/>
        <v/>
      </c>
      <c r="Q97" s="103" t="str">
        <f t="shared" si="52"/>
        <v/>
      </c>
      <c r="R97" s="103" t="str">
        <f t="shared" si="52"/>
        <v/>
      </c>
      <c r="S97" s="103" t="str">
        <f t="shared" si="52"/>
        <v/>
      </c>
      <c r="T97" s="103" t="str">
        <f t="shared" si="52"/>
        <v/>
      </c>
      <c r="U97" s="103" t="str">
        <f t="shared" si="52"/>
        <v/>
      </c>
      <c r="V97" s="103" t="str">
        <f t="shared" si="52"/>
        <v/>
      </c>
      <c r="W97" s="103" t="str">
        <f t="shared" si="52"/>
        <v/>
      </c>
      <c r="X97" s="103" t="str">
        <f t="shared" si="52"/>
        <v/>
      </c>
      <c r="Y97" s="103" t="str">
        <f t="shared" si="52"/>
        <v/>
      </c>
      <c r="Z97" s="103" t="str">
        <f t="shared" si="52"/>
        <v/>
      </c>
      <c r="AA97" s="103" t="str">
        <f t="shared" si="52"/>
        <v/>
      </c>
      <c r="AB97" s="103" t="str">
        <f t="shared" si="52"/>
        <v/>
      </c>
    </row>
    <row r="98" spans="1:28" ht="18" customHeight="1" outlineLevel="2" x14ac:dyDescent="0.25">
      <c r="A98" s="9" t="str">
        <f t="shared" si="41"/>
        <v>C5 [Nl/h]</v>
      </c>
      <c r="B98" s="219"/>
      <c r="C98" s="103">
        <f t="shared" si="42"/>
        <v>0</v>
      </c>
      <c r="D98" s="103">
        <f t="shared" ref="D98:AB98" si="53">IF(D$86="","",D30/100*D$86)</f>
        <v>0</v>
      </c>
      <c r="E98" s="103">
        <f t="shared" si="53"/>
        <v>0</v>
      </c>
      <c r="F98" s="103">
        <f t="shared" si="53"/>
        <v>0</v>
      </c>
      <c r="G98" s="103">
        <f t="shared" si="53"/>
        <v>0</v>
      </c>
      <c r="H98" s="103">
        <f t="shared" si="53"/>
        <v>0</v>
      </c>
      <c r="I98" s="103">
        <f t="shared" si="53"/>
        <v>0</v>
      </c>
      <c r="J98" s="103">
        <f t="shared" si="53"/>
        <v>0</v>
      </c>
      <c r="K98" s="103">
        <f t="shared" si="53"/>
        <v>0</v>
      </c>
      <c r="L98" s="103">
        <f t="shared" si="53"/>
        <v>0</v>
      </c>
      <c r="M98" s="103">
        <f t="shared" si="53"/>
        <v>0</v>
      </c>
      <c r="N98" s="103">
        <f t="shared" si="53"/>
        <v>0</v>
      </c>
      <c r="O98" s="103">
        <f t="shared" si="53"/>
        <v>0</v>
      </c>
      <c r="P98" s="103" t="str">
        <f t="shared" si="53"/>
        <v/>
      </c>
      <c r="Q98" s="103" t="str">
        <f t="shared" si="53"/>
        <v/>
      </c>
      <c r="R98" s="103" t="str">
        <f t="shared" si="53"/>
        <v/>
      </c>
      <c r="S98" s="103" t="str">
        <f t="shared" si="53"/>
        <v/>
      </c>
      <c r="T98" s="103" t="str">
        <f t="shared" si="53"/>
        <v/>
      </c>
      <c r="U98" s="103" t="str">
        <f t="shared" si="53"/>
        <v/>
      </c>
      <c r="V98" s="103" t="str">
        <f t="shared" si="53"/>
        <v/>
      </c>
      <c r="W98" s="103" t="str">
        <f t="shared" si="53"/>
        <v/>
      </c>
      <c r="X98" s="103" t="str">
        <f t="shared" si="53"/>
        <v/>
      </c>
      <c r="Y98" s="103" t="str">
        <f t="shared" si="53"/>
        <v/>
      </c>
      <c r="Z98" s="103" t="str">
        <f t="shared" si="53"/>
        <v/>
      </c>
      <c r="AA98" s="103" t="str">
        <f t="shared" si="53"/>
        <v/>
      </c>
      <c r="AB98" s="103" t="str">
        <f t="shared" si="53"/>
        <v/>
      </c>
    </row>
    <row r="99" spans="1:28" ht="18" customHeight="1" outlineLevel="2" x14ac:dyDescent="0.25">
      <c r="A99" s="9" t="str">
        <f t="shared" si="41"/>
        <v>C6 [Nl/h]</v>
      </c>
      <c r="B99" s="219"/>
      <c r="C99" s="103">
        <f t="shared" si="42"/>
        <v>5.4033222887097541E-5</v>
      </c>
      <c r="D99" s="103">
        <f t="shared" ref="D99:AB99" si="54">IF(D$86="","",D31/100*D$86)</f>
        <v>0</v>
      </c>
      <c r="E99" s="103">
        <f t="shared" si="54"/>
        <v>6.4839867464517047E-4</v>
      </c>
      <c r="F99" s="103">
        <f t="shared" si="54"/>
        <v>0</v>
      </c>
      <c r="G99" s="103">
        <f t="shared" si="54"/>
        <v>0</v>
      </c>
      <c r="H99" s="103">
        <f t="shared" si="54"/>
        <v>0</v>
      </c>
      <c r="I99" s="103">
        <f t="shared" si="54"/>
        <v>0</v>
      </c>
      <c r="J99" s="103">
        <f t="shared" si="54"/>
        <v>0</v>
      </c>
      <c r="K99" s="103">
        <f t="shared" si="54"/>
        <v>0</v>
      </c>
      <c r="L99" s="103">
        <f t="shared" si="54"/>
        <v>0</v>
      </c>
      <c r="M99" s="103">
        <f t="shared" si="54"/>
        <v>0</v>
      </c>
      <c r="N99" s="103">
        <f t="shared" si="54"/>
        <v>0</v>
      </c>
      <c r="O99" s="103">
        <f t="shared" si="54"/>
        <v>0</v>
      </c>
      <c r="P99" s="103" t="str">
        <f t="shared" si="54"/>
        <v/>
      </c>
      <c r="Q99" s="103" t="str">
        <f t="shared" si="54"/>
        <v/>
      </c>
      <c r="R99" s="103" t="str">
        <f t="shared" si="54"/>
        <v/>
      </c>
      <c r="S99" s="103" t="str">
        <f t="shared" si="54"/>
        <v/>
      </c>
      <c r="T99" s="103" t="str">
        <f t="shared" si="54"/>
        <v/>
      </c>
      <c r="U99" s="103" t="str">
        <f t="shared" si="54"/>
        <v/>
      </c>
      <c r="V99" s="103" t="str">
        <f t="shared" si="54"/>
        <v/>
      </c>
      <c r="W99" s="103" t="str">
        <f t="shared" si="54"/>
        <v/>
      </c>
      <c r="X99" s="103" t="str">
        <f t="shared" si="54"/>
        <v/>
      </c>
      <c r="Y99" s="103" t="str">
        <f t="shared" si="54"/>
        <v/>
      </c>
      <c r="Z99" s="103" t="str">
        <f t="shared" si="54"/>
        <v/>
      </c>
      <c r="AA99" s="103" t="str">
        <f t="shared" si="54"/>
        <v/>
      </c>
      <c r="AB99" s="103" t="str">
        <f t="shared" si="54"/>
        <v/>
      </c>
    </row>
    <row r="100" spans="1:28" ht="18" customHeight="1" outlineLevel="2" x14ac:dyDescent="0.25">
      <c r="A100" s="9" t="str">
        <f t="shared" si="41"/>
        <v>C6 Above [Nl/h]</v>
      </c>
      <c r="B100" s="219"/>
      <c r="C100" s="103">
        <f t="shared" si="42"/>
        <v>2.2924193700252588E-2</v>
      </c>
      <c r="D100" s="103">
        <f t="shared" ref="D100:AB100" si="55">IF(D$86="","",D32/100*D$86)</f>
        <v>9.6525162304320448E-3</v>
      </c>
      <c r="E100" s="103">
        <f t="shared" si="55"/>
        <v>4.7013695034986522E-2</v>
      </c>
      <c r="F100" s="103">
        <f t="shared" si="55"/>
        <v>3.8175669750537329E-2</v>
      </c>
      <c r="G100" s="103">
        <f t="shared" si="55"/>
        <v>4.3849956674217837E-2</v>
      </c>
      <c r="H100" s="103">
        <f t="shared" si="55"/>
        <v>6.2774893360289935E-2</v>
      </c>
      <c r="I100" s="103">
        <f t="shared" si="55"/>
        <v>3.6741526869179281E-2</v>
      </c>
      <c r="J100" s="103">
        <f t="shared" si="55"/>
        <v>2.15632485346283E-2</v>
      </c>
      <c r="K100" s="103">
        <f t="shared" si="55"/>
        <v>5.7190040736560472E-3</v>
      </c>
      <c r="L100" s="103">
        <f t="shared" si="55"/>
        <v>2.2630071969758784E-3</v>
      </c>
      <c r="M100" s="103">
        <f t="shared" si="55"/>
        <v>2.2949480183869701E-3</v>
      </c>
      <c r="N100" s="103">
        <f t="shared" si="55"/>
        <v>2.27418648446976E-3</v>
      </c>
      <c r="O100" s="103">
        <f t="shared" si="55"/>
        <v>2.7676721752711336E-3</v>
      </c>
      <c r="P100" s="103" t="str">
        <f t="shared" si="55"/>
        <v/>
      </c>
      <c r="Q100" s="103" t="str">
        <f t="shared" si="55"/>
        <v/>
      </c>
      <c r="R100" s="103" t="str">
        <f t="shared" si="55"/>
        <v/>
      </c>
      <c r="S100" s="103" t="str">
        <f t="shared" si="55"/>
        <v/>
      </c>
      <c r="T100" s="103" t="str">
        <f t="shared" si="55"/>
        <v/>
      </c>
      <c r="U100" s="103" t="str">
        <f t="shared" si="55"/>
        <v/>
      </c>
      <c r="V100" s="103" t="str">
        <f t="shared" si="55"/>
        <v/>
      </c>
      <c r="W100" s="103" t="str">
        <f t="shared" si="55"/>
        <v/>
      </c>
      <c r="X100" s="103" t="str">
        <f t="shared" si="55"/>
        <v/>
      </c>
      <c r="Y100" s="103" t="str">
        <f t="shared" si="55"/>
        <v/>
      </c>
      <c r="Z100" s="103" t="str">
        <f t="shared" si="55"/>
        <v/>
      </c>
      <c r="AA100" s="103" t="str">
        <f t="shared" si="55"/>
        <v/>
      </c>
      <c r="AB100" s="103" t="str">
        <f t="shared" si="55"/>
        <v/>
      </c>
    </row>
    <row r="101" spans="1:28" ht="18" customHeight="1" outlineLevel="2" x14ac:dyDescent="0.25">
      <c r="A101" s="9" t="str">
        <f t="shared" si="41"/>
        <v>Benzene [Nl/h]</v>
      </c>
      <c r="B101" s="219"/>
      <c r="C101" s="103">
        <f t="shared" si="42"/>
        <v>0</v>
      </c>
      <c r="D101" s="103">
        <f t="shared" ref="D101:AB101" si="56">IF(D$86="","",D33/100*D$86)</f>
        <v>0</v>
      </c>
      <c r="E101" s="103">
        <f t="shared" si="56"/>
        <v>0</v>
      </c>
      <c r="F101" s="103">
        <f t="shared" si="56"/>
        <v>0</v>
      </c>
      <c r="G101" s="103">
        <f t="shared" si="56"/>
        <v>0</v>
      </c>
      <c r="H101" s="103">
        <f t="shared" si="56"/>
        <v>0</v>
      </c>
      <c r="I101" s="103">
        <f t="shared" si="56"/>
        <v>0</v>
      </c>
      <c r="J101" s="103">
        <f t="shared" si="56"/>
        <v>0</v>
      </c>
      <c r="K101" s="103">
        <f t="shared" si="56"/>
        <v>0</v>
      </c>
      <c r="L101" s="103">
        <f t="shared" si="56"/>
        <v>0</v>
      </c>
      <c r="M101" s="103">
        <f t="shared" si="56"/>
        <v>0</v>
      </c>
      <c r="N101" s="103">
        <f t="shared" si="56"/>
        <v>0</v>
      </c>
      <c r="O101" s="103">
        <f t="shared" si="56"/>
        <v>0</v>
      </c>
      <c r="P101" s="103" t="str">
        <f t="shared" si="56"/>
        <v/>
      </c>
      <c r="Q101" s="103" t="str">
        <f t="shared" si="56"/>
        <v/>
      </c>
      <c r="R101" s="103" t="str">
        <f t="shared" si="56"/>
        <v/>
      </c>
      <c r="S101" s="103" t="str">
        <f t="shared" si="56"/>
        <v/>
      </c>
      <c r="T101" s="103" t="str">
        <f t="shared" si="56"/>
        <v/>
      </c>
      <c r="U101" s="103" t="str">
        <f t="shared" si="56"/>
        <v/>
      </c>
      <c r="V101" s="103" t="str">
        <f t="shared" si="56"/>
        <v/>
      </c>
      <c r="W101" s="103" t="str">
        <f t="shared" si="56"/>
        <v/>
      </c>
      <c r="X101" s="103" t="str">
        <f t="shared" si="56"/>
        <v/>
      </c>
      <c r="Y101" s="103" t="str">
        <f t="shared" si="56"/>
        <v/>
      </c>
      <c r="Z101" s="103" t="str">
        <f t="shared" si="56"/>
        <v/>
      </c>
      <c r="AA101" s="103" t="str">
        <f t="shared" si="56"/>
        <v/>
      </c>
      <c r="AB101" s="103" t="str">
        <f t="shared" si="56"/>
        <v/>
      </c>
    </row>
    <row r="102" spans="1:28" ht="18" customHeight="1" outlineLevel="2" x14ac:dyDescent="0.25">
      <c r="A102" s="9" t="str">
        <f t="shared" si="41"/>
        <v>Toluene [Nl/h]</v>
      </c>
      <c r="B102" s="219"/>
      <c r="C102" s="103">
        <f t="shared" si="42"/>
        <v>0</v>
      </c>
      <c r="D102" s="103">
        <f t="shared" ref="D102:AB102" si="57">IF(D$86="","",D34/100*D$86)</f>
        <v>0</v>
      </c>
      <c r="E102" s="103">
        <f t="shared" si="57"/>
        <v>0</v>
      </c>
      <c r="F102" s="103">
        <f t="shared" si="57"/>
        <v>0</v>
      </c>
      <c r="G102" s="103">
        <f t="shared" si="57"/>
        <v>0</v>
      </c>
      <c r="H102" s="103">
        <f t="shared" si="57"/>
        <v>0</v>
      </c>
      <c r="I102" s="103">
        <f t="shared" si="57"/>
        <v>0</v>
      </c>
      <c r="J102" s="103">
        <f t="shared" si="57"/>
        <v>0</v>
      </c>
      <c r="K102" s="103">
        <f t="shared" si="57"/>
        <v>0</v>
      </c>
      <c r="L102" s="103">
        <f t="shared" si="57"/>
        <v>0</v>
      </c>
      <c r="M102" s="103">
        <f t="shared" si="57"/>
        <v>0</v>
      </c>
      <c r="N102" s="103">
        <f t="shared" si="57"/>
        <v>0</v>
      </c>
      <c r="O102" s="103">
        <f t="shared" si="57"/>
        <v>0</v>
      </c>
      <c r="P102" s="103" t="str">
        <f t="shared" si="57"/>
        <v/>
      </c>
      <c r="Q102" s="103" t="str">
        <f t="shared" si="57"/>
        <v/>
      </c>
      <c r="R102" s="103" t="str">
        <f t="shared" si="57"/>
        <v/>
      </c>
      <c r="S102" s="103" t="str">
        <f t="shared" si="57"/>
        <v/>
      </c>
      <c r="T102" s="103" t="str">
        <f t="shared" si="57"/>
        <v/>
      </c>
      <c r="U102" s="103" t="str">
        <f t="shared" si="57"/>
        <v/>
      </c>
      <c r="V102" s="103" t="str">
        <f t="shared" si="57"/>
        <v/>
      </c>
      <c r="W102" s="103" t="str">
        <f t="shared" si="57"/>
        <v/>
      </c>
      <c r="X102" s="103" t="str">
        <f t="shared" si="57"/>
        <v/>
      </c>
      <c r="Y102" s="103" t="str">
        <f t="shared" si="57"/>
        <v/>
      </c>
      <c r="Z102" s="103" t="str">
        <f t="shared" si="57"/>
        <v/>
      </c>
      <c r="AA102" s="103" t="str">
        <f t="shared" si="57"/>
        <v/>
      </c>
      <c r="AB102" s="103" t="str">
        <f t="shared" si="57"/>
        <v/>
      </c>
    </row>
    <row r="103" spans="1:28" ht="18" customHeight="1" outlineLevel="2" x14ac:dyDescent="0.25">
      <c r="A103" s="9" t="str">
        <f t="shared" si="41"/>
        <v>Ethylbenzene [Nl/h]</v>
      </c>
      <c r="B103" s="219"/>
      <c r="C103" s="103">
        <f t="shared" si="42"/>
        <v>0</v>
      </c>
      <c r="D103" s="103">
        <f t="shared" ref="D103:AB103" si="58">IF(D$86="","",D35/100*D$86)</f>
        <v>0</v>
      </c>
      <c r="E103" s="103">
        <f t="shared" si="58"/>
        <v>0</v>
      </c>
      <c r="F103" s="103">
        <f t="shared" si="58"/>
        <v>0</v>
      </c>
      <c r="G103" s="103">
        <f t="shared" si="58"/>
        <v>0</v>
      </c>
      <c r="H103" s="103">
        <f t="shared" si="58"/>
        <v>0</v>
      </c>
      <c r="I103" s="103">
        <f t="shared" si="58"/>
        <v>0</v>
      </c>
      <c r="J103" s="103">
        <f t="shared" si="58"/>
        <v>0</v>
      </c>
      <c r="K103" s="103">
        <f t="shared" si="58"/>
        <v>0</v>
      </c>
      <c r="L103" s="103">
        <f t="shared" si="58"/>
        <v>0</v>
      </c>
      <c r="M103" s="103">
        <f t="shared" si="58"/>
        <v>0</v>
      </c>
      <c r="N103" s="103">
        <f t="shared" si="58"/>
        <v>0</v>
      </c>
      <c r="O103" s="103">
        <f t="shared" si="58"/>
        <v>0</v>
      </c>
      <c r="P103" s="103" t="str">
        <f t="shared" si="58"/>
        <v/>
      </c>
      <c r="Q103" s="103" t="str">
        <f t="shared" si="58"/>
        <v/>
      </c>
      <c r="R103" s="103" t="str">
        <f t="shared" si="58"/>
        <v/>
      </c>
      <c r="S103" s="103" t="str">
        <f t="shared" si="58"/>
        <v/>
      </c>
      <c r="T103" s="103" t="str">
        <f t="shared" si="58"/>
        <v/>
      </c>
      <c r="U103" s="103" t="str">
        <f t="shared" si="58"/>
        <v/>
      </c>
      <c r="V103" s="103" t="str">
        <f t="shared" si="58"/>
        <v/>
      </c>
      <c r="W103" s="103" t="str">
        <f t="shared" si="58"/>
        <v/>
      </c>
      <c r="X103" s="103" t="str">
        <f t="shared" si="58"/>
        <v/>
      </c>
      <c r="Y103" s="103" t="str">
        <f t="shared" si="58"/>
        <v/>
      </c>
      <c r="Z103" s="103" t="str">
        <f t="shared" si="58"/>
        <v/>
      </c>
      <c r="AA103" s="103" t="str">
        <f t="shared" si="58"/>
        <v/>
      </c>
      <c r="AB103" s="103" t="str">
        <f t="shared" si="58"/>
        <v/>
      </c>
    </row>
    <row r="104" spans="1:28" ht="18" customHeight="1" outlineLevel="2" x14ac:dyDescent="0.25">
      <c r="A104" s="9" t="str">
        <f t="shared" si="41"/>
        <v>p-Xylene [Nl/h]</v>
      </c>
      <c r="B104" s="219"/>
      <c r="C104" s="103">
        <f t="shared" si="42"/>
        <v>0</v>
      </c>
      <c r="D104" s="103">
        <f t="shared" ref="D104:AB104" si="59">IF(D$86="","",D36/100*D$86)</f>
        <v>0</v>
      </c>
      <c r="E104" s="103">
        <f t="shared" si="59"/>
        <v>0</v>
      </c>
      <c r="F104" s="103">
        <f t="shared" si="59"/>
        <v>0</v>
      </c>
      <c r="G104" s="103">
        <f t="shared" si="59"/>
        <v>0</v>
      </c>
      <c r="H104" s="103">
        <f t="shared" si="59"/>
        <v>0</v>
      </c>
      <c r="I104" s="103">
        <f t="shared" si="59"/>
        <v>0</v>
      </c>
      <c r="J104" s="103">
        <f t="shared" si="59"/>
        <v>0</v>
      </c>
      <c r="K104" s="103">
        <f t="shared" si="59"/>
        <v>0</v>
      </c>
      <c r="L104" s="103">
        <f t="shared" si="59"/>
        <v>0</v>
      </c>
      <c r="M104" s="103">
        <f t="shared" si="59"/>
        <v>0</v>
      </c>
      <c r="N104" s="103">
        <f t="shared" si="59"/>
        <v>0</v>
      </c>
      <c r="O104" s="103">
        <f t="shared" si="59"/>
        <v>0</v>
      </c>
      <c r="P104" s="103" t="str">
        <f t="shared" si="59"/>
        <v/>
      </c>
      <c r="Q104" s="103" t="str">
        <f t="shared" si="59"/>
        <v/>
      </c>
      <c r="R104" s="103" t="str">
        <f t="shared" si="59"/>
        <v/>
      </c>
      <c r="S104" s="103" t="str">
        <f t="shared" si="59"/>
        <v/>
      </c>
      <c r="T104" s="103" t="str">
        <f t="shared" si="59"/>
        <v/>
      </c>
      <c r="U104" s="103" t="str">
        <f t="shared" si="59"/>
        <v/>
      </c>
      <c r="V104" s="103" t="str">
        <f t="shared" si="59"/>
        <v/>
      </c>
      <c r="W104" s="103" t="str">
        <f t="shared" si="59"/>
        <v/>
      </c>
      <c r="X104" s="103" t="str">
        <f t="shared" si="59"/>
        <v/>
      </c>
      <c r="Y104" s="103" t="str">
        <f t="shared" si="59"/>
        <v/>
      </c>
      <c r="Z104" s="103" t="str">
        <f t="shared" si="59"/>
        <v/>
      </c>
      <c r="AA104" s="103" t="str">
        <f t="shared" si="59"/>
        <v/>
      </c>
      <c r="AB104" s="103" t="str">
        <f t="shared" si="59"/>
        <v/>
      </c>
    </row>
    <row r="105" spans="1:28" ht="18" customHeight="1" outlineLevel="2" x14ac:dyDescent="0.25">
      <c r="A105" s="9" t="str">
        <f t="shared" si="41"/>
        <v>m-Xylene [Nl/h]</v>
      </c>
      <c r="B105" s="219"/>
      <c r="C105" s="103">
        <f t="shared" si="42"/>
        <v>2.5097500423765652E-3</v>
      </c>
      <c r="D105" s="103">
        <f t="shared" ref="D105:AB105" si="60">IF(D$86="","",D37/100*D$86)</f>
        <v>3.4975199445145895E-3</v>
      </c>
      <c r="E105" s="103">
        <f t="shared" si="60"/>
        <v>7.3320155549162006E-3</v>
      </c>
      <c r="F105" s="103">
        <f t="shared" si="60"/>
        <v>4.6090605296205955E-3</v>
      </c>
      <c r="G105" s="103">
        <f t="shared" si="60"/>
        <v>2.199125554153694E-3</v>
      </c>
      <c r="H105" s="103">
        <f t="shared" si="60"/>
        <v>2.199125554153694E-3</v>
      </c>
      <c r="I105" s="103">
        <f t="shared" si="60"/>
        <v>2.6734467521084119E-3</v>
      </c>
      <c r="J105" s="103">
        <f t="shared" si="60"/>
        <v>6.52710685535668E-3</v>
      </c>
      <c r="K105" s="103">
        <f t="shared" si="60"/>
        <v>6.1645785323407839E-4</v>
      </c>
      <c r="L105" s="103">
        <f t="shared" si="60"/>
        <v>0</v>
      </c>
      <c r="M105" s="103">
        <f t="shared" si="60"/>
        <v>0</v>
      </c>
      <c r="N105" s="103">
        <f t="shared" si="60"/>
        <v>0</v>
      </c>
      <c r="O105" s="103">
        <f t="shared" si="60"/>
        <v>4.6314191046083604E-4</v>
      </c>
      <c r="P105" s="103" t="str">
        <f t="shared" si="60"/>
        <v/>
      </c>
      <c r="Q105" s="103" t="str">
        <f t="shared" si="60"/>
        <v/>
      </c>
      <c r="R105" s="103" t="str">
        <f t="shared" si="60"/>
        <v/>
      </c>
      <c r="S105" s="103" t="str">
        <f t="shared" si="60"/>
        <v/>
      </c>
      <c r="T105" s="103" t="str">
        <f t="shared" si="60"/>
        <v/>
      </c>
      <c r="U105" s="103" t="str">
        <f t="shared" si="60"/>
        <v/>
      </c>
      <c r="V105" s="103" t="str">
        <f t="shared" si="60"/>
        <v/>
      </c>
      <c r="W105" s="103" t="str">
        <f t="shared" si="60"/>
        <v/>
      </c>
      <c r="X105" s="103" t="str">
        <f t="shared" si="60"/>
        <v/>
      </c>
      <c r="Y105" s="103" t="str">
        <f t="shared" si="60"/>
        <v/>
      </c>
      <c r="Z105" s="103" t="str">
        <f t="shared" si="60"/>
        <v/>
      </c>
      <c r="AA105" s="103" t="str">
        <f t="shared" si="60"/>
        <v/>
      </c>
      <c r="AB105" s="103" t="str">
        <f t="shared" si="60"/>
        <v/>
      </c>
    </row>
    <row r="106" spans="1:28" ht="18" customHeight="1" outlineLevel="2" x14ac:dyDescent="0.25">
      <c r="A106" s="9" t="str">
        <f t="shared" si="41"/>
        <v>o-Xylene [Nl/h]</v>
      </c>
      <c r="B106" s="219"/>
      <c r="C106" s="103">
        <f t="shared" si="42"/>
        <v>0</v>
      </c>
      <c r="D106" s="103">
        <f t="shared" ref="D106:AB106" si="61">IF(D$86="","",D38/100*D$86)</f>
        <v>0</v>
      </c>
      <c r="E106" s="103">
        <f t="shared" si="61"/>
        <v>0</v>
      </c>
      <c r="F106" s="103">
        <f t="shared" si="61"/>
        <v>0</v>
      </c>
      <c r="G106" s="103">
        <f t="shared" si="61"/>
        <v>0</v>
      </c>
      <c r="H106" s="103">
        <f t="shared" si="61"/>
        <v>0</v>
      </c>
      <c r="I106" s="103">
        <f t="shared" si="61"/>
        <v>0</v>
      </c>
      <c r="J106" s="103">
        <f t="shared" si="61"/>
        <v>0</v>
      </c>
      <c r="K106" s="103">
        <f t="shared" si="61"/>
        <v>0</v>
      </c>
      <c r="L106" s="103">
        <f t="shared" si="61"/>
        <v>0</v>
      </c>
      <c r="M106" s="103">
        <f t="shared" si="61"/>
        <v>0</v>
      </c>
      <c r="N106" s="103">
        <f t="shared" si="61"/>
        <v>0</v>
      </c>
      <c r="O106" s="103">
        <f t="shared" si="61"/>
        <v>0</v>
      </c>
      <c r="P106" s="103" t="str">
        <f t="shared" si="61"/>
        <v/>
      </c>
      <c r="Q106" s="103" t="str">
        <f t="shared" si="61"/>
        <v/>
      </c>
      <c r="R106" s="103" t="str">
        <f t="shared" si="61"/>
        <v/>
      </c>
      <c r="S106" s="103" t="str">
        <f t="shared" si="61"/>
        <v/>
      </c>
      <c r="T106" s="103" t="str">
        <f t="shared" si="61"/>
        <v/>
      </c>
      <c r="U106" s="103" t="str">
        <f t="shared" si="61"/>
        <v/>
      </c>
      <c r="V106" s="103" t="str">
        <f t="shared" si="61"/>
        <v/>
      </c>
      <c r="W106" s="103" t="str">
        <f t="shared" si="61"/>
        <v/>
      </c>
      <c r="X106" s="103" t="str">
        <f t="shared" si="61"/>
        <v/>
      </c>
      <c r="Y106" s="103" t="str">
        <f t="shared" si="61"/>
        <v/>
      </c>
      <c r="Z106" s="103" t="str">
        <f t="shared" si="61"/>
        <v/>
      </c>
      <c r="AA106" s="103" t="str">
        <f t="shared" si="61"/>
        <v/>
      </c>
      <c r="AB106" s="103" t="str">
        <f t="shared" si="61"/>
        <v/>
      </c>
    </row>
    <row r="107" spans="1:28" ht="18" customHeight="1" outlineLevel="2" x14ac:dyDescent="0.25">
      <c r="A107" s="9" t="str">
        <f t="shared" si="41"/>
        <v>C6 Unknowns [Nl/h]</v>
      </c>
      <c r="B107" s="219"/>
      <c r="C107" s="103">
        <f t="shared" si="42"/>
        <v>5.7324458359998831E-3</v>
      </c>
      <c r="D107" s="103">
        <f t="shared" ref="D107:AB107" si="62">IF(D$86="","",D39/100*D$86)</f>
        <v>8.8476075308725234E-4</v>
      </c>
      <c r="E107" s="103">
        <f t="shared" si="62"/>
        <v>9.8761019803096893E-3</v>
      </c>
      <c r="F107" s="103">
        <f t="shared" si="62"/>
        <v>9.1670157449834453E-3</v>
      </c>
      <c r="G107" s="103">
        <f t="shared" si="62"/>
        <v>1.0355214301476071E-2</v>
      </c>
      <c r="H107" s="103">
        <f t="shared" si="62"/>
        <v>2.3181051139100121E-2</v>
      </c>
      <c r="I107" s="103">
        <f t="shared" si="62"/>
        <v>1.0803982842301918E-2</v>
      </c>
      <c r="J107" s="103">
        <f t="shared" si="62"/>
        <v>1.7295954794106392E-3</v>
      </c>
      <c r="K107" s="103">
        <f t="shared" si="62"/>
        <v>7.9532645313619421E-4</v>
      </c>
      <c r="L107" s="103">
        <f t="shared" si="62"/>
        <v>8.5920809595837848E-4</v>
      </c>
      <c r="M107" s="103">
        <f t="shared" si="62"/>
        <v>6.196519353751875E-4</v>
      </c>
      <c r="N107" s="103">
        <f t="shared" si="62"/>
        <v>0</v>
      </c>
      <c r="O107" s="103">
        <f t="shared" si="62"/>
        <v>5.1744130685969271E-4</v>
      </c>
      <c r="P107" s="103" t="str">
        <f t="shared" si="62"/>
        <v/>
      </c>
      <c r="Q107" s="103" t="str">
        <f t="shared" si="62"/>
        <v/>
      </c>
      <c r="R107" s="103" t="str">
        <f t="shared" si="62"/>
        <v/>
      </c>
      <c r="S107" s="103" t="str">
        <f t="shared" si="62"/>
        <v/>
      </c>
      <c r="T107" s="103" t="str">
        <f t="shared" si="62"/>
        <v/>
      </c>
      <c r="U107" s="103" t="str">
        <f t="shared" si="62"/>
        <v/>
      </c>
      <c r="V107" s="103" t="str">
        <f t="shared" si="62"/>
        <v/>
      </c>
      <c r="W107" s="103" t="str">
        <f t="shared" si="62"/>
        <v/>
      </c>
      <c r="X107" s="103" t="str">
        <f t="shared" si="62"/>
        <v/>
      </c>
      <c r="Y107" s="103" t="str">
        <f t="shared" si="62"/>
        <v/>
      </c>
      <c r="Z107" s="103" t="str">
        <f t="shared" si="62"/>
        <v/>
      </c>
      <c r="AA107" s="103" t="str">
        <f t="shared" si="62"/>
        <v/>
      </c>
      <c r="AB107" s="103" t="str">
        <f t="shared" si="62"/>
        <v/>
      </c>
    </row>
    <row r="108" spans="1:28" ht="18" customHeight="1" outlineLevel="2" x14ac:dyDescent="0.25">
      <c r="A108" s="9" t="str">
        <f t="shared" si="41"/>
        <v>C8 Unknowns [Nl/h]</v>
      </c>
      <c r="B108" s="219"/>
      <c r="C108" s="103">
        <f t="shared" si="42"/>
        <v>0</v>
      </c>
      <c r="D108" s="103">
        <f t="shared" ref="D108:AB108" si="63">IF(D$86="","",D40/100*D$86)</f>
        <v>0</v>
      </c>
      <c r="E108" s="103">
        <f t="shared" si="63"/>
        <v>0</v>
      </c>
      <c r="F108" s="103">
        <f t="shared" si="63"/>
        <v>0</v>
      </c>
      <c r="G108" s="103">
        <f t="shared" si="63"/>
        <v>0</v>
      </c>
      <c r="H108" s="103">
        <f t="shared" si="63"/>
        <v>0</v>
      </c>
      <c r="I108" s="103">
        <f t="shared" si="63"/>
        <v>0</v>
      </c>
      <c r="J108" s="103">
        <f t="shared" si="63"/>
        <v>0</v>
      </c>
      <c r="K108" s="103">
        <f t="shared" si="63"/>
        <v>0</v>
      </c>
      <c r="L108" s="103">
        <f t="shared" si="63"/>
        <v>0</v>
      </c>
      <c r="M108" s="103">
        <f t="shared" si="63"/>
        <v>0</v>
      </c>
      <c r="N108" s="103">
        <f t="shared" si="63"/>
        <v>0</v>
      </c>
      <c r="O108" s="103">
        <f t="shared" si="63"/>
        <v>0</v>
      </c>
      <c r="P108" s="103" t="str">
        <f t="shared" si="63"/>
        <v/>
      </c>
      <c r="Q108" s="103" t="str">
        <f t="shared" si="63"/>
        <v/>
      </c>
      <c r="R108" s="103" t="str">
        <f t="shared" si="63"/>
        <v/>
      </c>
      <c r="S108" s="103" t="str">
        <f t="shared" si="63"/>
        <v/>
      </c>
      <c r="T108" s="103" t="str">
        <f t="shared" si="63"/>
        <v/>
      </c>
      <c r="U108" s="103" t="str">
        <f t="shared" si="63"/>
        <v/>
      </c>
      <c r="V108" s="103" t="str">
        <f t="shared" si="63"/>
        <v/>
      </c>
      <c r="W108" s="103" t="str">
        <f t="shared" si="63"/>
        <v/>
      </c>
      <c r="X108" s="103" t="str">
        <f t="shared" si="63"/>
        <v/>
      </c>
      <c r="Y108" s="103" t="str">
        <f t="shared" si="63"/>
        <v/>
      </c>
      <c r="Z108" s="103" t="str">
        <f t="shared" si="63"/>
        <v/>
      </c>
      <c r="AA108" s="103" t="str">
        <f t="shared" si="63"/>
        <v/>
      </c>
      <c r="AB108" s="103" t="str">
        <f t="shared" si="63"/>
        <v/>
      </c>
    </row>
    <row r="109" spans="1:28" ht="18" customHeight="1" outlineLevel="2" x14ac:dyDescent="0.25">
      <c r="A109" s="9" t="str">
        <f t="shared" si="41"/>
        <v>C7 Unknowns [Nl/h]</v>
      </c>
      <c r="B109" s="219"/>
      <c r="C109" s="103">
        <f t="shared" si="42"/>
        <v>0</v>
      </c>
      <c r="D109" s="103">
        <f t="shared" ref="D109:AB109" si="64">IF(D$86="","",D41/100*D$86)</f>
        <v>0</v>
      </c>
      <c r="E109" s="103">
        <f t="shared" si="64"/>
        <v>0</v>
      </c>
      <c r="F109" s="103">
        <f t="shared" si="64"/>
        <v>0</v>
      </c>
      <c r="G109" s="103">
        <f t="shared" si="64"/>
        <v>0</v>
      </c>
      <c r="H109" s="103">
        <f t="shared" si="64"/>
        <v>0</v>
      </c>
      <c r="I109" s="103">
        <f t="shared" si="64"/>
        <v>0</v>
      </c>
      <c r="J109" s="103">
        <f t="shared" si="64"/>
        <v>0</v>
      </c>
      <c r="K109" s="103">
        <f t="shared" si="64"/>
        <v>0</v>
      </c>
      <c r="L109" s="103">
        <f t="shared" si="64"/>
        <v>0</v>
      </c>
      <c r="M109" s="103">
        <f t="shared" si="64"/>
        <v>0</v>
      </c>
      <c r="N109" s="103">
        <f t="shared" si="64"/>
        <v>0</v>
      </c>
      <c r="O109" s="103">
        <f t="shared" si="64"/>
        <v>0</v>
      </c>
      <c r="P109" s="103" t="str">
        <f t="shared" si="64"/>
        <v/>
      </c>
      <c r="Q109" s="103" t="str">
        <f t="shared" si="64"/>
        <v/>
      </c>
      <c r="R109" s="103" t="str">
        <f t="shared" si="64"/>
        <v/>
      </c>
      <c r="S109" s="103" t="str">
        <f t="shared" si="64"/>
        <v/>
      </c>
      <c r="T109" s="103" t="str">
        <f t="shared" si="64"/>
        <v/>
      </c>
      <c r="U109" s="103" t="str">
        <f t="shared" si="64"/>
        <v/>
      </c>
      <c r="V109" s="103" t="str">
        <f t="shared" si="64"/>
        <v/>
      </c>
      <c r="W109" s="103" t="str">
        <f t="shared" si="64"/>
        <v/>
      </c>
      <c r="X109" s="103" t="str">
        <f t="shared" si="64"/>
        <v/>
      </c>
      <c r="Y109" s="103" t="str">
        <f t="shared" si="64"/>
        <v/>
      </c>
      <c r="Z109" s="103" t="str">
        <f t="shared" si="64"/>
        <v/>
      </c>
      <c r="AA109" s="103" t="str">
        <f t="shared" si="64"/>
        <v/>
      </c>
      <c r="AB109" s="103" t="str">
        <f t="shared" si="64"/>
        <v/>
      </c>
    </row>
    <row r="110" spans="1:28" ht="18" customHeight="1" outlineLevel="2" x14ac:dyDescent="0.25">
      <c r="A110" s="9" t="str">
        <f t="shared" si="41"/>
        <v>CO2 [Nl/h]</v>
      </c>
      <c r="B110" s="219"/>
      <c r="C110" s="103">
        <f t="shared" si="42"/>
        <v>0</v>
      </c>
      <c r="D110" s="103">
        <f t="shared" ref="D110:AB110" si="65">IF(D$86="","",D42/100*D$86)</f>
        <v>0</v>
      </c>
      <c r="E110" s="103">
        <f t="shared" si="65"/>
        <v>0</v>
      </c>
      <c r="F110" s="103">
        <f t="shared" si="65"/>
        <v>0</v>
      </c>
      <c r="G110" s="103">
        <f t="shared" si="65"/>
        <v>0</v>
      </c>
      <c r="H110" s="103">
        <f t="shared" si="65"/>
        <v>0</v>
      </c>
      <c r="I110" s="103">
        <f t="shared" si="65"/>
        <v>0</v>
      </c>
      <c r="J110" s="103">
        <f t="shared" si="65"/>
        <v>0</v>
      </c>
      <c r="K110" s="103">
        <f t="shared" si="65"/>
        <v>0</v>
      </c>
      <c r="L110" s="103">
        <f t="shared" si="65"/>
        <v>0</v>
      </c>
      <c r="M110" s="103">
        <f t="shared" si="65"/>
        <v>0</v>
      </c>
      <c r="N110" s="103">
        <f t="shared" si="65"/>
        <v>0</v>
      </c>
      <c r="O110" s="103">
        <f t="shared" si="65"/>
        <v>0</v>
      </c>
      <c r="P110" s="103" t="str">
        <f t="shared" si="65"/>
        <v/>
      </c>
      <c r="Q110" s="103" t="str">
        <f t="shared" si="65"/>
        <v/>
      </c>
      <c r="R110" s="103" t="str">
        <f t="shared" si="65"/>
        <v/>
      </c>
      <c r="S110" s="103" t="str">
        <f t="shared" si="65"/>
        <v/>
      </c>
      <c r="T110" s="103" t="str">
        <f t="shared" si="65"/>
        <v/>
      </c>
      <c r="U110" s="103" t="str">
        <f t="shared" si="65"/>
        <v/>
      </c>
      <c r="V110" s="103" t="str">
        <f t="shared" si="65"/>
        <v/>
      </c>
      <c r="W110" s="103" t="str">
        <f t="shared" si="65"/>
        <v/>
      </c>
      <c r="X110" s="103" t="str">
        <f t="shared" si="65"/>
        <v/>
      </c>
      <c r="Y110" s="103" t="str">
        <f t="shared" si="65"/>
        <v/>
      </c>
      <c r="Z110" s="103" t="str">
        <f t="shared" si="65"/>
        <v/>
      </c>
      <c r="AA110" s="103" t="str">
        <f t="shared" si="65"/>
        <v/>
      </c>
      <c r="AB110" s="103" t="str">
        <f t="shared" si="65"/>
        <v/>
      </c>
    </row>
    <row r="111" spans="1:28" ht="18" customHeight="1" outlineLevel="2" x14ac:dyDescent="0.25">
      <c r="A111" s="9" t="str">
        <f t="shared" si="41"/>
        <v>Argon [Nl/h]</v>
      </c>
      <c r="B111" s="219"/>
      <c r="C111" s="103">
        <f t="shared" si="42"/>
        <v>6.9569760121535795</v>
      </c>
      <c r="D111" s="103">
        <f t="shared" ref="D111:AB111" si="66">IF(D$86="","",D43/100*D$86)</f>
        <v>7.6898294126918199</v>
      </c>
      <c r="E111" s="103">
        <f t="shared" si="66"/>
        <v>6.8873258569845532</v>
      </c>
      <c r="F111" s="103">
        <f t="shared" si="66"/>
        <v>6.8839449210381884</v>
      </c>
      <c r="G111" s="103">
        <f t="shared" si="66"/>
        <v>6.9059840878118424</v>
      </c>
      <c r="H111" s="103">
        <f t="shared" si="66"/>
        <v>6.8949517280964514</v>
      </c>
      <c r="I111" s="103">
        <f t="shared" si="66"/>
        <v>6.9116264339141118</v>
      </c>
      <c r="J111" s="103">
        <f t="shared" si="66"/>
        <v>6.8675928175167797</v>
      </c>
      <c r="K111" s="103">
        <f t="shared" si="66"/>
        <v>6.8652180174448656</v>
      </c>
      <c r="L111" s="103">
        <f t="shared" si="66"/>
        <v>6.8895185943744233</v>
      </c>
      <c r="M111" s="103">
        <f t="shared" si="66"/>
        <v>6.9050003105123814</v>
      </c>
      <c r="N111" s="103">
        <f t="shared" si="66"/>
        <v>6.8859092815549703</v>
      </c>
      <c r="O111" s="103">
        <f t="shared" si="66"/>
        <v>6.8968106839025767</v>
      </c>
      <c r="P111" s="103" t="str">
        <f t="shared" si="66"/>
        <v/>
      </c>
      <c r="Q111" s="103" t="str">
        <f t="shared" si="66"/>
        <v/>
      </c>
      <c r="R111" s="103" t="str">
        <f t="shared" si="66"/>
        <v/>
      </c>
      <c r="S111" s="103" t="str">
        <f t="shared" si="66"/>
        <v/>
      </c>
      <c r="T111" s="103" t="str">
        <f t="shared" si="66"/>
        <v/>
      </c>
      <c r="U111" s="103" t="str">
        <f t="shared" si="66"/>
        <v/>
      </c>
      <c r="V111" s="103" t="str">
        <f t="shared" si="66"/>
        <v/>
      </c>
      <c r="W111" s="103" t="str">
        <f t="shared" si="66"/>
        <v/>
      </c>
      <c r="X111" s="103" t="str">
        <f t="shared" si="66"/>
        <v/>
      </c>
      <c r="Y111" s="103" t="str">
        <f t="shared" si="66"/>
        <v/>
      </c>
      <c r="Z111" s="103" t="str">
        <f t="shared" si="66"/>
        <v/>
      </c>
      <c r="AA111" s="103" t="str">
        <f t="shared" si="66"/>
        <v/>
      </c>
      <c r="AB111" s="103" t="str">
        <f t="shared" si="66"/>
        <v/>
      </c>
    </row>
    <row r="112" spans="1:28" ht="18" customHeight="1" outlineLevel="2" x14ac:dyDescent="0.25">
      <c r="A112" s="9" t="str">
        <f t="shared" si="41"/>
        <v>CO [Nl/h]</v>
      </c>
      <c r="B112" s="219"/>
      <c r="C112" s="103">
        <f t="shared" si="42"/>
        <v>0</v>
      </c>
      <c r="D112" s="103">
        <f t="shared" ref="D112:AB112" si="67">IF(D$86="","",D44/100*D$86)</f>
        <v>0</v>
      </c>
      <c r="E112" s="103">
        <f t="shared" si="67"/>
        <v>0</v>
      </c>
      <c r="F112" s="103">
        <f t="shared" si="67"/>
        <v>0</v>
      </c>
      <c r="G112" s="103">
        <f t="shared" si="67"/>
        <v>0</v>
      </c>
      <c r="H112" s="103">
        <f t="shared" si="67"/>
        <v>0</v>
      </c>
      <c r="I112" s="103">
        <f t="shared" si="67"/>
        <v>0</v>
      </c>
      <c r="J112" s="103">
        <f t="shared" si="67"/>
        <v>0</v>
      </c>
      <c r="K112" s="103">
        <f t="shared" si="67"/>
        <v>0</v>
      </c>
      <c r="L112" s="103">
        <f t="shared" si="67"/>
        <v>0</v>
      </c>
      <c r="M112" s="103">
        <f t="shared" si="67"/>
        <v>0</v>
      </c>
      <c r="N112" s="103">
        <f t="shared" si="67"/>
        <v>0</v>
      </c>
      <c r="O112" s="103">
        <f t="shared" si="67"/>
        <v>0</v>
      </c>
      <c r="P112" s="103" t="str">
        <f t="shared" si="67"/>
        <v/>
      </c>
      <c r="Q112" s="103" t="str">
        <f t="shared" si="67"/>
        <v/>
      </c>
      <c r="R112" s="103" t="str">
        <f t="shared" si="67"/>
        <v/>
      </c>
      <c r="S112" s="103" t="str">
        <f t="shared" si="67"/>
        <v/>
      </c>
      <c r="T112" s="103" t="str">
        <f t="shared" si="67"/>
        <v/>
      </c>
      <c r="U112" s="103" t="str">
        <f t="shared" si="67"/>
        <v/>
      </c>
      <c r="V112" s="103" t="str">
        <f t="shared" si="67"/>
        <v/>
      </c>
      <c r="W112" s="103" t="str">
        <f t="shared" si="67"/>
        <v/>
      </c>
      <c r="X112" s="103" t="str">
        <f t="shared" si="67"/>
        <v/>
      </c>
      <c r="Y112" s="103" t="str">
        <f t="shared" si="67"/>
        <v/>
      </c>
      <c r="Z112" s="103" t="str">
        <f t="shared" si="67"/>
        <v/>
      </c>
      <c r="AA112" s="103" t="str">
        <f t="shared" si="67"/>
        <v/>
      </c>
      <c r="AB112" s="103" t="str">
        <f t="shared" si="67"/>
        <v/>
      </c>
    </row>
    <row r="113" spans="1:28" ht="18" customHeight="1" outlineLevel="2" x14ac:dyDescent="0.25">
      <c r="A113" s="9" t="str">
        <f t="shared" si="41"/>
        <v>H2 [Nl/h]</v>
      </c>
      <c r="B113" s="219"/>
      <c r="C113" s="103">
        <f t="shared" si="42"/>
        <v>34.656818261530091</v>
      </c>
      <c r="D113" s="103">
        <f t="shared" ref="D113:AB113" si="68">IF(D$86="","",D45/100*D$86)</f>
        <v>34.149765573747601</v>
      </c>
      <c r="E113" s="103">
        <f t="shared" si="68"/>
        <v>34.390545067790839</v>
      </c>
      <c r="F113" s="103">
        <f t="shared" si="68"/>
        <v>34.940128423236509</v>
      </c>
      <c r="G113" s="103">
        <f t="shared" si="68"/>
        <v>34.804704131576699</v>
      </c>
      <c r="H113" s="103">
        <f t="shared" si="68"/>
        <v>34.815900986522351</v>
      </c>
      <c r="I113" s="103">
        <f t="shared" si="68"/>
        <v>34.670710788716086</v>
      </c>
      <c r="J113" s="103">
        <f t="shared" si="68"/>
        <v>34.932090515528415</v>
      </c>
      <c r="K113" s="103">
        <f t="shared" si="68"/>
        <v>34.72256511523593</v>
      </c>
      <c r="L113" s="103">
        <f t="shared" si="68"/>
        <v>34.718984549155749</v>
      </c>
      <c r="M113" s="103">
        <f t="shared" si="68"/>
        <v>34.726191995507158</v>
      </c>
      <c r="N113" s="103">
        <f t="shared" si="68"/>
        <v>34.449566914635326</v>
      </c>
      <c r="O113" s="103">
        <f t="shared" si="68"/>
        <v>34.56066507670846</v>
      </c>
      <c r="P113" s="103" t="str">
        <f t="shared" si="68"/>
        <v/>
      </c>
      <c r="Q113" s="103" t="str">
        <f t="shared" si="68"/>
        <v/>
      </c>
      <c r="R113" s="103" t="str">
        <f t="shared" si="68"/>
        <v/>
      </c>
      <c r="S113" s="103" t="str">
        <f t="shared" si="68"/>
        <v/>
      </c>
      <c r="T113" s="103" t="str">
        <f t="shared" si="68"/>
        <v/>
      </c>
      <c r="U113" s="103" t="str">
        <f t="shared" si="68"/>
        <v/>
      </c>
      <c r="V113" s="103" t="str">
        <f t="shared" si="68"/>
        <v/>
      </c>
      <c r="W113" s="103" t="str">
        <f t="shared" si="68"/>
        <v/>
      </c>
      <c r="X113" s="103" t="str">
        <f t="shared" si="68"/>
        <v/>
      </c>
      <c r="Y113" s="103" t="str">
        <f t="shared" si="68"/>
        <v/>
      </c>
      <c r="Z113" s="103" t="str">
        <f t="shared" si="68"/>
        <v/>
      </c>
      <c r="AA113" s="103" t="str">
        <f t="shared" si="68"/>
        <v/>
      </c>
      <c r="AB113" s="103" t="str">
        <f t="shared" si="68"/>
        <v/>
      </c>
    </row>
    <row r="114" spans="1:28" ht="18" customHeight="1" outlineLevel="2" x14ac:dyDescent="0.25">
      <c r="A114" s="9" t="str">
        <f t="shared" si="41"/>
        <v>Acetylene [Nl/h]</v>
      </c>
      <c r="B114" s="219"/>
      <c r="C114" s="103">
        <f t="shared" si="42"/>
        <v>13.146950691598322</v>
      </c>
      <c r="D114" s="103">
        <f t="shared" ref="D114:AB114" si="69">IF(D$86="","",D46/100*D$86)</f>
        <v>12.874925089009686</v>
      </c>
      <c r="E114" s="103">
        <f t="shared" si="69"/>
        <v>13.187098707070994</v>
      </c>
      <c r="F114" s="103">
        <f t="shared" si="69"/>
        <v>13.274867293185464</v>
      </c>
      <c r="G114" s="103">
        <f t="shared" si="69"/>
        <v>13.562807410042176</v>
      </c>
      <c r="H114" s="103">
        <f t="shared" si="69"/>
        <v>13.601553223454903</v>
      </c>
      <c r="I114" s="103">
        <f t="shared" si="69"/>
        <v>13.589787821888127</v>
      </c>
      <c r="J114" s="103">
        <f t="shared" si="69"/>
        <v>13.637663919101213</v>
      </c>
      <c r="K114" s="103">
        <f t="shared" si="69"/>
        <v>13.629801685910872</v>
      </c>
      <c r="L114" s="103">
        <f t="shared" si="69"/>
        <v>12.560220160851548</v>
      </c>
      <c r="M114" s="103">
        <f t="shared" si="69"/>
        <v>12.636630590872231</v>
      </c>
      <c r="N114" s="103">
        <f t="shared" si="69"/>
        <v>12.590975977788288</v>
      </c>
      <c r="O114" s="103">
        <f t="shared" si="69"/>
        <v>12.617076420004361</v>
      </c>
      <c r="P114" s="103" t="str">
        <f t="shared" si="69"/>
        <v/>
      </c>
      <c r="Q114" s="103" t="str">
        <f t="shared" si="69"/>
        <v/>
      </c>
      <c r="R114" s="103" t="str">
        <f t="shared" si="69"/>
        <v/>
      </c>
      <c r="S114" s="103" t="str">
        <f t="shared" si="69"/>
        <v/>
      </c>
      <c r="T114" s="103" t="str">
        <f t="shared" si="69"/>
        <v/>
      </c>
      <c r="U114" s="103" t="str">
        <f t="shared" si="69"/>
        <v/>
      </c>
      <c r="V114" s="103" t="str">
        <f t="shared" si="69"/>
        <v/>
      </c>
      <c r="W114" s="103" t="str">
        <f t="shared" si="69"/>
        <v/>
      </c>
      <c r="X114" s="103" t="str">
        <f t="shared" si="69"/>
        <v/>
      </c>
      <c r="Y114" s="103" t="str">
        <f t="shared" si="69"/>
        <v/>
      </c>
      <c r="Z114" s="103" t="str">
        <f t="shared" si="69"/>
        <v/>
      </c>
      <c r="AA114" s="103" t="str">
        <f t="shared" si="69"/>
        <v/>
      </c>
      <c r="AB114" s="103" t="str">
        <f t="shared" si="69"/>
        <v/>
      </c>
    </row>
    <row r="115" spans="1:28" ht="18" customHeight="1" outlineLevel="2" x14ac:dyDescent="0.25">
      <c r="A115" s="9" t="str">
        <f t="shared" si="41"/>
        <v>Isobutane [Nl/h]</v>
      </c>
      <c r="B115" s="219"/>
      <c r="C115" s="103">
        <f t="shared" si="42"/>
        <v>0</v>
      </c>
      <c r="D115" s="103">
        <f t="shared" ref="D115:AB115" si="70">IF(D$86="","",D47/100*D$86)</f>
        <v>0</v>
      </c>
      <c r="E115" s="103">
        <f t="shared" si="70"/>
        <v>0</v>
      </c>
      <c r="F115" s="103">
        <f t="shared" si="70"/>
        <v>0</v>
      </c>
      <c r="G115" s="103">
        <f t="shared" si="70"/>
        <v>0</v>
      </c>
      <c r="H115" s="103">
        <f t="shared" si="70"/>
        <v>0</v>
      </c>
      <c r="I115" s="103">
        <f t="shared" si="70"/>
        <v>0</v>
      </c>
      <c r="J115" s="103">
        <f t="shared" si="70"/>
        <v>0</v>
      </c>
      <c r="K115" s="103">
        <f t="shared" si="70"/>
        <v>0</v>
      </c>
      <c r="L115" s="103">
        <f t="shared" si="70"/>
        <v>0</v>
      </c>
      <c r="M115" s="103">
        <f t="shared" si="70"/>
        <v>0</v>
      </c>
      <c r="N115" s="103">
        <f t="shared" si="70"/>
        <v>0</v>
      </c>
      <c r="O115" s="103">
        <f t="shared" si="70"/>
        <v>0</v>
      </c>
      <c r="P115" s="103" t="str">
        <f t="shared" si="70"/>
        <v/>
      </c>
      <c r="Q115" s="103" t="str">
        <f t="shared" si="70"/>
        <v/>
      </c>
      <c r="R115" s="103" t="str">
        <f t="shared" si="70"/>
        <v/>
      </c>
      <c r="S115" s="103" t="str">
        <f t="shared" si="70"/>
        <v/>
      </c>
      <c r="T115" s="103" t="str">
        <f t="shared" si="70"/>
        <v/>
      </c>
      <c r="U115" s="103" t="str">
        <f t="shared" si="70"/>
        <v/>
      </c>
      <c r="V115" s="103" t="str">
        <f t="shared" si="70"/>
        <v/>
      </c>
      <c r="W115" s="103" t="str">
        <f t="shared" si="70"/>
        <v/>
      </c>
      <c r="X115" s="103" t="str">
        <f t="shared" si="70"/>
        <v/>
      </c>
      <c r="Y115" s="103" t="str">
        <f t="shared" si="70"/>
        <v/>
      </c>
      <c r="Z115" s="103" t="str">
        <f t="shared" si="70"/>
        <v/>
      </c>
      <c r="AA115" s="103" t="str">
        <f t="shared" si="70"/>
        <v/>
      </c>
      <c r="AB115" s="103" t="str">
        <f t="shared" si="70"/>
        <v/>
      </c>
    </row>
    <row r="116" spans="1:28" ht="18" customHeight="1" outlineLevel="2" x14ac:dyDescent="0.25">
      <c r="A116" s="9" t="str">
        <f t="shared" si="41"/>
        <v>N2 [Nl/h]</v>
      </c>
      <c r="B116" s="219"/>
      <c r="C116" s="103">
        <f t="shared" si="42"/>
        <v>94.152811294887428</v>
      </c>
      <c r="D116" s="103">
        <f t="shared" ref="D116:AB116" si="71">IF(D$86="","",D48/100*D$86)</f>
        <v>93.361891876585446</v>
      </c>
      <c r="E116" s="103">
        <f t="shared" si="71"/>
        <v>93.703791220092981</v>
      </c>
      <c r="F116" s="103">
        <f t="shared" si="71"/>
        <v>93.898593498756014</v>
      </c>
      <c r="G116" s="103">
        <f t="shared" si="71"/>
        <v>93.817581993411082</v>
      </c>
      <c r="H116" s="103">
        <f t="shared" si="71"/>
        <v>93.717152065689248</v>
      </c>
      <c r="I116" s="103">
        <f t="shared" si="71"/>
        <v>94.366724565521267</v>
      </c>
      <c r="J116" s="103">
        <f t="shared" si="71"/>
        <v>93.61138802079175</v>
      </c>
      <c r="K116" s="103">
        <f t="shared" si="71"/>
        <v>93.372203970778017</v>
      </c>
      <c r="L116" s="103">
        <f t="shared" si="71"/>
        <v>95.005895536860777</v>
      </c>
      <c r="M116" s="103">
        <f t="shared" si="71"/>
        <v>94.830617085285255</v>
      </c>
      <c r="N116" s="103">
        <f t="shared" si="71"/>
        <v>94.978428027488306</v>
      </c>
      <c r="O116" s="103">
        <f t="shared" si="71"/>
        <v>95.169467677389122</v>
      </c>
      <c r="P116" s="103" t="str">
        <f t="shared" si="71"/>
        <v/>
      </c>
      <c r="Q116" s="103" t="str">
        <f t="shared" si="71"/>
        <v/>
      </c>
      <c r="R116" s="103" t="str">
        <f t="shared" si="71"/>
        <v/>
      </c>
      <c r="S116" s="103" t="str">
        <f t="shared" si="71"/>
        <v/>
      </c>
      <c r="T116" s="103" t="str">
        <f t="shared" si="71"/>
        <v/>
      </c>
      <c r="U116" s="103" t="str">
        <f t="shared" si="71"/>
        <v/>
      </c>
      <c r="V116" s="103" t="str">
        <f t="shared" si="71"/>
        <v/>
      </c>
      <c r="W116" s="103" t="str">
        <f t="shared" si="71"/>
        <v/>
      </c>
      <c r="X116" s="103" t="str">
        <f t="shared" si="71"/>
        <v/>
      </c>
      <c r="Y116" s="103" t="str">
        <f t="shared" si="71"/>
        <v/>
      </c>
      <c r="Z116" s="103" t="str">
        <f t="shared" si="71"/>
        <v/>
      </c>
      <c r="AA116" s="103" t="str">
        <f t="shared" si="71"/>
        <v/>
      </c>
      <c r="AB116" s="103" t="str">
        <f t="shared" si="71"/>
        <v/>
      </c>
    </row>
    <row r="117" spans="1:28" ht="18" customHeight="1" outlineLevel="2" x14ac:dyDescent="0.25">
      <c r="A117" s="9" t="str">
        <f t="shared" si="41"/>
        <v/>
      </c>
      <c r="B117" s="219"/>
      <c r="C117" s="103" t="str">
        <f t="shared" si="42"/>
        <v/>
      </c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</row>
    <row r="118" spans="1:28" ht="18" customHeight="1" outlineLevel="2" x14ac:dyDescent="0.25">
      <c r="A118" s="9" t="str">
        <f t="shared" si="41"/>
        <v/>
      </c>
      <c r="B118" s="219"/>
      <c r="C118" s="103" t="str">
        <f t="shared" si="42"/>
        <v/>
      </c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</row>
    <row r="120" spans="1:28" ht="18" customHeight="1" x14ac:dyDescent="0.25">
      <c r="A120" s="11" t="s">
        <v>255</v>
      </c>
      <c r="B120" s="244"/>
      <c r="C120" s="217" t="s">
        <v>256</v>
      </c>
      <c r="D120" s="233" t="s">
        <v>257</v>
      </c>
      <c r="E120" s="249" t="str">
        <f t="shared" ref="E120:AB120" si="72">E$17</f>
        <v/>
      </c>
      <c r="F120" s="249" t="str">
        <f t="shared" si="72"/>
        <v/>
      </c>
      <c r="G120" s="249" t="str">
        <f t="shared" si="72"/>
        <v/>
      </c>
      <c r="H120" s="249" t="str">
        <f t="shared" si="72"/>
        <v/>
      </c>
      <c r="I120" s="249" t="str">
        <f t="shared" si="72"/>
        <v/>
      </c>
      <c r="J120" s="249" t="str">
        <f t="shared" si="72"/>
        <v/>
      </c>
      <c r="K120" s="249" t="str">
        <f t="shared" si="72"/>
        <v/>
      </c>
      <c r="L120" s="249" t="str">
        <f t="shared" si="72"/>
        <v/>
      </c>
      <c r="M120" s="249" t="str">
        <f t="shared" si="72"/>
        <v/>
      </c>
      <c r="N120" s="249" t="str">
        <f t="shared" si="72"/>
        <v/>
      </c>
      <c r="O120" s="249" t="str">
        <f t="shared" si="72"/>
        <v/>
      </c>
      <c r="P120" s="249" t="str">
        <f t="shared" si="72"/>
        <v/>
      </c>
      <c r="Q120" s="249" t="str">
        <f t="shared" si="72"/>
        <v/>
      </c>
      <c r="R120" s="249" t="str">
        <f t="shared" si="72"/>
        <v/>
      </c>
      <c r="S120" s="249" t="str">
        <f t="shared" si="72"/>
        <v/>
      </c>
      <c r="T120" s="249" t="str">
        <f t="shared" si="72"/>
        <v/>
      </c>
      <c r="U120" s="249" t="str">
        <f t="shared" si="72"/>
        <v/>
      </c>
      <c r="V120" s="249" t="str">
        <f t="shared" si="72"/>
        <v/>
      </c>
      <c r="W120" s="249" t="str">
        <f t="shared" si="72"/>
        <v/>
      </c>
      <c r="X120" s="249" t="str">
        <f t="shared" si="72"/>
        <v/>
      </c>
      <c r="Y120" s="249" t="str">
        <f t="shared" si="72"/>
        <v/>
      </c>
      <c r="Z120" s="249" t="str">
        <f t="shared" si="72"/>
        <v/>
      </c>
      <c r="AA120" s="249" t="str">
        <f t="shared" si="72"/>
        <v/>
      </c>
      <c r="AB120" s="249" t="str">
        <f t="shared" si="72"/>
        <v/>
      </c>
    </row>
    <row r="121" spans="1:28" ht="18" customHeight="1" x14ac:dyDescent="0.25">
      <c r="A121" s="11" t="s">
        <v>258</v>
      </c>
      <c r="B121" s="244"/>
      <c r="C121" s="233">
        <f t="shared" ref="C121:C149" si="73">IFERROR(AVERAGE(D121:AB121), "")</f>
        <v>4.1345736735406778E-2</v>
      </c>
      <c r="D121" s="233">
        <f t="shared" ref="D121:AB121" si="74">IFERROR((12.011*$AD52/$B20)*D52,"")</f>
        <v>3.6797009655646695E-2</v>
      </c>
      <c r="E121" s="233">
        <f t="shared" si="74"/>
        <v>4.1290079736963234E-2</v>
      </c>
      <c r="F121" s="233">
        <f t="shared" si="74"/>
        <v>4.1443316739630087E-2</v>
      </c>
      <c r="G121" s="233">
        <f t="shared" si="74"/>
        <v>4.1997680636536118E-2</v>
      </c>
      <c r="H121" s="233">
        <f t="shared" si="74"/>
        <v>4.2206313579034233E-2</v>
      </c>
      <c r="I121" s="233">
        <f t="shared" si="74"/>
        <v>4.1958211159821207E-2</v>
      </c>
      <c r="J121" s="233">
        <f t="shared" si="74"/>
        <v>4.2157600444120494E-2</v>
      </c>
      <c r="K121" s="233">
        <f t="shared" si="74"/>
        <v>4.2268439574039959E-2</v>
      </c>
      <c r="L121" s="233">
        <f t="shared" si="74"/>
        <v>4.1514703498429006E-2</v>
      </c>
      <c r="M121" s="233">
        <f t="shared" si="74"/>
        <v>4.1490056553426469E-2</v>
      </c>
      <c r="N121" s="233">
        <f t="shared" si="74"/>
        <v>4.1508353766968646E-2</v>
      </c>
      <c r="O121" s="233">
        <f t="shared" si="74"/>
        <v>4.1517075480265175E-2</v>
      </c>
      <c r="P121" s="233" t="str">
        <f t="shared" si="74"/>
        <v/>
      </c>
      <c r="Q121" s="233" t="str">
        <f t="shared" si="74"/>
        <v/>
      </c>
      <c r="R121" s="233" t="str">
        <f t="shared" si="74"/>
        <v/>
      </c>
      <c r="S121" s="233" t="str">
        <f t="shared" si="74"/>
        <v/>
      </c>
      <c r="T121" s="233" t="str">
        <f t="shared" si="74"/>
        <v/>
      </c>
      <c r="U121" s="233" t="str">
        <f t="shared" si="74"/>
        <v/>
      </c>
      <c r="V121" s="233" t="str">
        <f t="shared" si="74"/>
        <v/>
      </c>
      <c r="W121" s="233" t="str">
        <f t="shared" si="74"/>
        <v/>
      </c>
      <c r="X121" s="233" t="str">
        <f t="shared" si="74"/>
        <v/>
      </c>
      <c r="Y121" s="233" t="str">
        <f t="shared" si="74"/>
        <v/>
      </c>
      <c r="Z121" s="233" t="str">
        <f t="shared" si="74"/>
        <v/>
      </c>
      <c r="AA121" s="233" t="str">
        <f t="shared" si="74"/>
        <v/>
      </c>
      <c r="AB121" s="233" t="str">
        <f t="shared" si="74"/>
        <v/>
      </c>
    </row>
    <row r="122" spans="1:28" ht="18" customHeight="1" x14ac:dyDescent="0.25">
      <c r="A122" s="11" t="s">
        <v>259</v>
      </c>
      <c r="B122" s="244"/>
      <c r="C122" s="233">
        <f t="shared" si="73"/>
        <v>9.2142992187491956E-5</v>
      </c>
      <c r="D122" s="233">
        <f t="shared" ref="D122:AB122" si="75">IFERROR((12.011*$AD53/$B21)*D53,"")</f>
        <v>1.5926118571921394E-4</v>
      </c>
      <c r="E122" s="233">
        <f t="shared" si="75"/>
        <v>1.2355662370940255E-4</v>
      </c>
      <c r="F122" s="233">
        <f t="shared" si="75"/>
        <v>1.1352609781177662E-4</v>
      </c>
      <c r="G122" s="233">
        <f t="shared" si="75"/>
        <v>1.0902560229276126E-4</v>
      </c>
      <c r="H122" s="233">
        <f t="shared" si="75"/>
        <v>2.0749603692790997E-4</v>
      </c>
      <c r="I122" s="233">
        <f t="shared" si="75"/>
        <v>6.22449411639892E-5</v>
      </c>
      <c r="J122" s="233">
        <f t="shared" si="75"/>
        <v>5.6498076720276501E-5</v>
      </c>
      <c r="K122" s="233">
        <f t="shared" si="75"/>
        <v>4.825612121585353E-5</v>
      </c>
      <c r="L122" s="233">
        <f t="shared" si="75"/>
        <v>5.9349567665655649E-5</v>
      </c>
      <c r="M122" s="233">
        <f t="shared" si="75"/>
        <v>5.5364243697125143E-5</v>
      </c>
      <c r="N122" s="233">
        <f t="shared" si="75"/>
        <v>5.4528061882211226E-5</v>
      </c>
      <c r="O122" s="233">
        <f t="shared" si="75"/>
        <v>5.6609347443727705E-5</v>
      </c>
      <c r="P122" s="233" t="str">
        <f t="shared" si="75"/>
        <v/>
      </c>
      <c r="Q122" s="233" t="str">
        <f t="shared" si="75"/>
        <v/>
      </c>
      <c r="R122" s="233" t="str">
        <f t="shared" si="75"/>
        <v/>
      </c>
      <c r="S122" s="233" t="str">
        <f t="shared" si="75"/>
        <v/>
      </c>
      <c r="T122" s="233" t="str">
        <f t="shared" si="75"/>
        <v/>
      </c>
      <c r="U122" s="233" t="str">
        <f t="shared" si="75"/>
        <v/>
      </c>
      <c r="V122" s="233" t="str">
        <f t="shared" si="75"/>
        <v/>
      </c>
      <c r="W122" s="233" t="str">
        <f t="shared" si="75"/>
        <v/>
      </c>
      <c r="X122" s="233" t="str">
        <f t="shared" si="75"/>
        <v/>
      </c>
      <c r="Y122" s="233" t="str">
        <f t="shared" si="75"/>
        <v/>
      </c>
      <c r="Z122" s="233" t="str">
        <f t="shared" si="75"/>
        <v/>
      </c>
      <c r="AA122" s="233" t="str">
        <f t="shared" si="75"/>
        <v/>
      </c>
      <c r="AB122" s="233" t="str">
        <f t="shared" si="75"/>
        <v/>
      </c>
    </row>
    <row r="123" spans="1:28" ht="18" customHeight="1" x14ac:dyDescent="0.25">
      <c r="A123" s="11" t="s">
        <v>260</v>
      </c>
      <c r="B123" s="244"/>
      <c r="C123" s="233">
        <f t="shared" si="73"/>
        <v>5.2089594539925593E-2</v>
      </c>
      <c r="D123" s="233">
        <f t="shared" ref="D123:AB123" si="76">IFERROR((12.011*$AD54/$B22)*D54,"")</f>
        <v>4.6653264488845242E-2</v>
      </c>
      <c r="E123" s="233">
        <f t="shared" si="76"/>
        <v>5.2112615389142997E-2</v>
      </c>
      <c r="F123" s="233">
        <f t="shared" si="76"/>
        <v>5.2350380496428039E-2</v>
      </c>
      <c r="G123" s="233">
        <f t="shared" si="76"/>
        <v>5.3138473743931665E-2</v>
      </c>
      <c r="H123" s="233">
        <f t="shared" si="76"/>
        <v>5.3268996033407547E-2</v>
      </c>
      <c r="I123" s="233">
        <f t="shared" si="76"/>
        <v>5.2712495787560446E-2</v>
      </c>
      <c r="J123" s="233">
        <f t="shared" si="76"/>
        <v>5.3079703001886511E-2</v>
      </c>
      <c r="K123" s="233">
        <f t="shared" si="76"/>
        <v>5.2926846238353892E-2</v>
      </c>
      <c r="L123" s="233">
        <f t="shared" si="76"/>
        <v>5.202599055756231E-2</v>
      </c>
      <c r="M123" s="233">
        <f t="shared" si="76"/>
        <v>5.2286609382026013E-2</v>
      </c>
      <c r="N123" s="233">
        <f t="shared" si="76"/>
        <v>5.2210204225985123E-2</v>
      </c>
      <c r="O123" s="233">
        <f t="shared" si="76"/>
        <v>5.2309555133977406E-2</v>
      </c>
      <c r="P123" s="233" t="str">
        <f t="shared" si="76"/>
        <v/>
      </c>
      <c r="Q123" s="233" t="str">
        <f t="shared" si="76"/>
        <v/>
      </c>
      <c r="R123" s="233" t="str">
        <f t="shared" si="76"/>
        <v/>
      </c>
      <c r="S123" s="233" t="str">
        <f t="shared" si="76"/>
        <v/>
      </c>
      <c r="T123" s="233" t="str">
        <f t="shared" si="76"/>
        <v/>
      </c>
      <c r="U123" s="233" t="str">
        <f t="shared" si="76"/>
        <v/>
      </c>
      <c r="V123" s="233" t="str">
        <f t="shared" si="76"/>
        <v/>
      </c>
      <c r="W123" s="233" t="str">
        <f t="shared" si="76"/>
        <v/>
      </c>
      <c r="X123" s="233" t="str">
        <f t="shared" si="76"/>
        <v/>
      </c>
      <c r="Y123" s="233" t="str">
        <f t="shared" si="76"/>
        <v/>
      </c>
      <c r="Z123" s="233" t="str">
        <f t="shared" si="76"/>
        <v/>
      </c>
      <c r="AA123" s="233" t="str">
        <f t="shared" si="76"/>
        <v/>
      </c>
      <c r="AB123" s="233" t="str">
        <f t="shared" si="76"/>
        <v/>
      </c>
    </row>
    <row r="124" spans="1:28" ht="18" customHeight="1" x14ac:dyDescent="0.25">
      <c r="A124" s="11" t="s">
        <v>261</v>
      </c>
      <c r="B124" s="244"/>
      <c r="C124" s="233">
        <f t="shared" si="73"/>
        <v>0</v>
      </c>
      <c r="D124" s="233">
        <f t="shared" ref="D124:AB124" si="77">IFERROR((12.011*$AD55/$B23)*D55,"")</f>
        <v>0</v>
      </c>
      <c r="E124" s="233">
        <f t="shared" si="77"/>
        <v>0</v>
      </c>
      <c r="F124" s="233">
        <f t="shared" si="77"/>
        <v>0</v>
      </c>
      <c r="G124" s="233">
        <f t="shared" si="77"/>
        <v>0</v>
      </c>
      <c r="H124" s="233">
        <f t="shared" si="77"/>
        <v>0</v>
      </c>
      <c r="I124" s="233">
        <f t="shared" si="77"/>
        <v>0</v>
      </c>
      <c r="J124" s="233">
        <f t="shared" si="77"/>
        <v>0</v>
      </c>
      <c r="K124" s="233">
        <f t="shared" si="77"/>
        <v>0</v>
      </c>
      <c r="L124" s="233">
        <f t="shared" si="77"/>
        <v>0</v>
      </c>
      <c r="M124" s="233">
        <f t="shared" si="77"/>
        <v>0</v>
      </c>
      <c r="N124" s="233">
        <f t="shared" si="77"/>
        <v>0</v>
      </c>
      <c r="O124" s="233">
        <f t="shared" si="77"/>
        <v>0</v>
      </c>
      <c r="P124" s="233" t="str">
        <f t="shared" si="77"/>
        <v/>
      </c>
      <c r="Q124" s="233" t="str">
        <f t="shared" si="77"/>
        <v/>
      </c>
      <c r="R124" s="233" t="str">
        <f t="shared" si="77"/>
        <v/>
      </c>
      <c r="S124" s="233" t="str">
        <f t="shared" si="77"/>
        <v/>
      </c>
      <c r="T124" s="233" t="str">
        <f t="shared" si="77"/>
        <v/>
      </c>
      <c r="U124" s="233" t="str">
        <f t="shared" si="77"/>
        <v/>
      </c>
      <c r="V124" s="233" t="str">
        <f t="shared" si="77"/>
        <v/>
      </c>
      <c r="W124" s="233" t="str">
        <f t="shared" si="77"/>
        <v/>
      </c>
      <c r="X124" s="233" t="str">
        <f t="shared" si="77"/>
        <v/>
      </c>
      <c r="Y124" s="233" t="str">
        <f t="shared" si="77"/>
        <v/>
      </c>
      <c r="Z124" s="233" t="str">
        <f t="shared" si="77"/>
        <v/>
      </c>
      <c r="AA124" s="233" t="str">
        <f t="shared" si="77"/>
        <v/>
      </c>
      <c r="AB124" s="233" t="str">
        <f t="shared" si="77"/>
        <v/>
      </c>
    </row>
    <row r="125" spans="1:28" ht="18" customHeight="1" x14ac:dyDescent="0.25">
      <c r="A125" s="11" t="s">
        <v>262</v>
      </c>
      <c r="B125" s="244"/>
      <c r="C125" s="233">
        <f t="shared" si="73"/>
        <v>3.2118581645794564E-5</v>
      </c>
      <c r="D125" s="233">
        <f t="shared" ref="D125:AB125" si="78">IFERROR((12.011*$AD56/$B24)*D56,"")</f>
        <v>9.523938973677279E-5</v>
      </c>
      <c r="E125" s="233">
        <f t="shared" si="78"/>
        <v>7.9860158233253741E-5</v>
      </c>
      <c r="F125" s="233">
        <f t="shared" si="78"/>
        <v>5.3984773094460875E-5</v>
      </c>
      <c r="G125" s="233">
        <f t="shared" si="78"/>
        <v>4.0490676238362725E-5</v>
      </c>
      <c r="H125" s="233">
        <f t="shared" si="78"/>
        <v>8.3502169747110683E-5</v>
      </c>
      <c r="I125" s="233">
        <f t="shared" si="78"/>
        <v>1.7557081002821687E-5</v>
      </c>
      <c r="J125" s="233">
        <f t="shared" si="78"/>
        <v>1.4788731696752263E-5</v>
      </c>
      <c r="K125" s="233">
        <f t="shared" si="78"/>
        <v>0</v>
      </c>
      <c r="L125" s="233">
        <f t="shared" si="78"/>
        <v>0</v>
      </c>
      <c r="M125" s="233">
        <f t="shared" si="78"/>
        <v>0</v>
      </c>
      <c r="N125" s="233">
        <f t="shared" si="78"/>
        <v>0</v>
      </c>
      <c r="O125" s="233">
        <f t="shared" si="78"/>
        <v>0</v>
      </c>
      <c r="P125" s="233" t="str">
        <f t="shared" si="78"/>
        <v/>
      </c>
      <c r="Q125" s="233" t="str">
        <f t="shared" si="78"/>
        <v/>
      </c>
      <c r="R125" s="233" t="str">
        <f t="shared" si="78"/>
        <v/>
      </c>
      <c r="S125" s="233" t="str">
        <f t="shared" si="78"/>
        <v/>
      </c>
      <c r="T125" s="233" t="str">
        <f t="shared" si="78"/>
        <v/>
      </c>
      <c r="U125" s="233" t="str">
        <f t="shared" si="78"/>
        <v/>
      </c>
      <c r="V125" s="233" t="str">
        <f t="shared" si="78"/>
        <v/>
      </c>
      <c r="W125" s="233" t="str">
        <f t="shared" si="78"/>
        <v/>
      </c>
      <c r="X125" s="233" t="str">
        <f t="shared" si="78"/>
        <v/>
      </c>
      <c r="Y125" s="233" t="str">
        <f t="shared" si="78"/>
        <v/>
      </c>
      <c r="Z125" s="233" t="str">
        <f t="shared" si="78"/>
        <v/>
      </c>
      <c r="AA125" s="233" t="str">
        <f t="shared" si="78"/>
        <v/>
      </c>
      <c r="AB125" s="233" t="str">
        <f t="shared" si="78"/>
        <v/>
      </c>
    </row>
    <row r="126" spans="1:28" ht="18" customHeight="1" x14ac:dyDescent="0.25">
      <c r="A126" s="11" t="s">
        <v>263</v>
      </c>
      <c r="B126" s="244"/>
      <c r="C126" s="233">
        <f t="shared" si="73"/>
        <v>6.938307437075014E-6</v>
      </c>
      <c r="D126" s="233">
        <f t="shared" ref="D126:AB126" si="79">IFERROR((12.011*$AD57/$B25)*D57,"")</f>
        <v>2.4642459538675717E-5</v>
      </c>
      <c r="E126" s="233">
        <f t="shared" si="79"/>
        <v>1.819356122819929E-5</v>
      </c>
      <c r="F126" s="233">
        <f t="shared" si="79"/>
        <v>0</v>
      </c>
      <c r="G126" s="233">
        <f t="shared" si="79"/>
        <v>0</v>
      </c>
      <c r="H126" s="233">
        <f t="shared" si="79"/>
        <v>2.4613850723470578E-5</v>
      </c>
      <c r="I126" s="233">
        <f t="shared" si="79"/>
        <v>0</v>
      </c>
      <c r="J126" s="233">
        <f t="shared" si="79"/>
        <v>0</v>
      </c>
      <c r="K126" s="233">
        <f t="shared" si="79"/>
        <v>0</v>
      </c>
      <c r="L126" s="233">
        <f t="shared" si="79"/>
        <v>0</v>
      </c>
      <c r="M126" s="233">
        <f t="shared" si="79"/>
        <v>0</v>
      </c>
      <c r="N126" s="233">
        <f t="shared" si="79"/>
        <v>0</v>
      </c>
      <c r="O126" s="233">
        <f t="shared" si="79"/>
        <v>1.5809817754554587E-5</v>
      </c>
      <c r="P126" s="233" t="str">
        <f t="shared" si="79"/>
        <v/>
      </c>
      <c r="Q126" s="233" t="str">
        <f t="shared" si="79"/>
        <v/>
      </c>
      <c r="R126" s="233" t="str">
        <f t="shared" si="79"/>
        <v/>
      </c>
      <c r="S126" s="233" t="str">
        <f t="shared" si="79"/>
        <v/>
      </c>
      <c r="T126" s="233" t="str">
        <f t="shared" si="79"/>
        <v/>
      </c>
      <c r="U126" s="233" t="str">
        <f t="shared" si="79"/>
        <v/>
      </c>
      <c r="V126" s="233" t="str">
        <f t="shared" si="79"/>
        <v/>
      </c>
      <c r="W126" s="233" t="str">
        <f t="shared" si="79"/>
        <v/>
      </c>
      <c r="X126" s="233" t="str">
        <f t="shared" si="79"/>
        <v/>
      </c>
      <c r="Y126" s="233" t="str">
        <f t="shared" si="79"/>
        <v/>
      </c>
      <c r="Z126" s="233" t="str">
        <f t="shared" si="79"/>
        <v/>
      </c>
      <c r="AA126" s="233" t="str">
        <f t="shared" si="79"/>
        <v/>
      </c>
      <c r="AB126" s="233" t="str">
        <f t="shared" si="79"/>
        <v/>
      </c>
    </row>
    <row r="127" spans="1:28" ht="18" customHeight="1" x14ac:dyDescent="0.25">
      <c r="A127" s="11" t="s">
        <v>264</v>
      </c>
      <c r="B127" s="244"/>
      <c r="C127" s="233">
        <f t="shared" si="73"/>
        <v>0</v>
      </c>
      <c r="D127" s="233">
        <f t="shared" ref="D127:AB127" si="80">IFERROR((12.011*$AD58/$B26)*D58,"")</f>
        <v>0</v>
      </c>
      <c r="E127" s="233">
        <f t="shared" si="80"/>
        <v>0</v>
      </c>
      <c r="F127" s="233">
        <f t="shared" si="80"/>
        <v>0</v>
      </c>
      <c r="G127" s="233">
        <f t="shared" si="80"/>
        <v>0</v>
      </c>
      <c r="H127" s="233">
        <f t="shared" si="80"/>
        <v>0</v>
      </c>
      <c r="I127" s="233">
        <f t="shared" si="80"/>
        <v>0</v>
      </c>
      <c r="J127" s="233">
        <f t="shared" si="80"/>
        <v>0</v>
      </c>
      <c r="K127" s="233">
        <f t="shared" si="80"/>
        <v>0</v>
      </c>
      <c r="L127" s="233">
        <f t="shared" si="80"/>
        <v>0</v>
      </c>
      <c r="M127" s="233">
        <f t="shared" si="80"/>
        <v>0</v>
      </c>
      <c r="N127" s="233">
        <f t="shared" si="80"/>
        <v>0</v>
      </c>
      <c r="O127" s="233">
        <f t="shared" si="80"/>
        <v>0</v>
      </c>
      <c r="P127" s="233" t="str">
        <f t="shared" si="80"/>
        <v/>
      </c>
      <c r="Q127" s="233" t="str">
        <f t="shared" si="80"/>
        <v/>
      </c>
      <c r="R127" s="233" t="str">
        <f t="shared" si="80"/>
        <v/>
      </c>
      <c r="S127" s="233" t="str">
        <f t="shared" si="80"/>
        <v/>
      </c>
      <c r="T127" s="233" t="str">
        <f t="shared" si="80"/>
        <v/>
      </c>
      <c r="U127" s="233" t="str">
        <f t="shared" si="80"/>
        <v/>
      </c>
      <c r="V127" s="233" t="str">
        <f t="shared" si="80"/>
        <v/>
      </c>
      <c r="W127" s="233" t="str">
        <f t="shared" si="80"/>
        <v/>
      </c>
      <c r="X127" s="233" t="str">
        <f t="shared" si="80"/>
        <v/>
      </c>
      <c r="Y127" s="233" t="str">
        <f t="shared" si="80"/>
        <v/>
      </c>
      <c r="Z127" s="233" t="str">
        <f t="shared" si="80"/>
        <v/>
      </c>
      <c r="AA127" s="233" t="str">
        <f t="shared" si="80"/>
        <v/>
      </c>
      <c r="AB127" s="233" t="str">
        <f t="shared" si="80"/>
        <v/>
      </c>
    </row>
    <row r="128" spans="1:28" ht="18" customHeight="1" x14ac:dyDescent="0.25">
      <c r="A128" s="11" t="s">
        <v>265</v>
      </c>
      <c r="B128" s="244"/>
      <c r="C128" s="233">
        <f t="shared" si="73"/>
        <v>0</v>
      </c>
      <c r="D128" s="233">
        <f t="shared" ref="D128:AB128" si="81">IFERROR((12.011*$AD59/$B27)*D59,"")</f>
        <v>0</v>
      </c>
      <c r="E128" s="233">
        <f t="shared" si="81"/>
        <v>0</v>
      </c>
      <c r="F128" s="233">
        <f t="shared" si="81"/>
        <v>0</v>
      </c>
      <c r="G128" s="233">
        <f t="shared" si="81"/>
        <v>0</v>
      </c>
      <c r="H128" s="233">
        <f t="shared" si="81"/>
        <v>0</v>
      </c>
      <c r="I128" s="233">
        <f t="shared" si="81"/>
        <v>0</v>
      </c>
      <c r="J128" s="233">
        <f t="shared" si="81"/>
        <v>0</v>
      </c>
      <c r="K128" s="233">
        <f t="shared" si="81"/>
        <v>0</v>
      </c>
      <c r="L128" s="233">
        <f t="shared" si="81"/>
        <v>0</v>
      </c>
      <c r="M128" s="233">
        <f t="shared" si="81"/>
        <v>0</v>
      </c>
      <c r="N128" s="233">
        <f t="shared" si="81"/>
        <v>0</v>
      </c>
      <c r="O128" s="233">
        <f t="shared" si="81"/>
        <v>0</v>
      </c>
      <c r="P128" s="233" t="str">
        <f t="shared" si="81"/>
        <v/>
      </c>
      <c r="Q128" s="233" t="str">
        <f t="shared" si="81"/>
        <v/>
      </c>
      <c r="R128" s="233" t="str">
        <f t="shared" si="81"/>
        <v/>
      </c>
      <c r="S128" s="233" t="str">
        <f t="shared" si="81"/>
        <v/>
      </c>
      <c r="T128" s="233" t="str">
        <f t="shared" si="81"/>
        <v/>
      </c>
      <c r="U128" s="233" t="str">
        <f t="shared" si="81"/>
        <v/>
      </c>
      <c r="V128" s="233" t="str">
        <f t="shared" si="81"/>
        <v/>
      </c>
      <c r="W128" s="233" t="str">
        <f t="shared" si="81"/>
        <v/>
      </c>
      <c r="X128" s="233" t="str">
        <f t="shared" si="81"/>
        <v/>
      </c>
      <c r="Y128" s="233" t="str">
        <f t="shared" si="81"/>
        <v/>
      </c>
      <c r="Z128" s="233" t="str">
        <f t="shared" si="81"/>
        <v/>
      </c>
      <c r="AA128" s="233" t="str">
        <f t="shared" si="81"/>
        <v/>
      </c>
      <c r="AB128" s="233" t="str">
        <f t="shared" si="81"/>
        <v/>
      </c>
    </row>
    <row r="129" spans="1:28" ht="18" customHeight="1" x14ac:dyDescent="0.25">
      <c r="A129" s="11" t="s">
        <v>266</v>
      </c>
      <c r="B129" s="244"/>
      <c r="C129" s="233">
        <f t="shared" si="73"/>
        <v>0</v>
      </c>
      <c r="D129" s="233">
        <f t="shared" ref="D129:AB129" si="82">IFERROR((12.011*$AD60/$B28)*D60,"")</f>
        <v>0</v>
      </c>
      <c r="E129" s="233">
        <f t="shared" si="82"/>
        <v>0</v>
      </c>
      <c r="F129" s="233">
        <f t="shared" si="82"/>
        <v>0</v>
      </c>
      <c r="G129" s="233">
        <f t="shared" si="82"/>
        <v>0</v>
      </c>
      <c r="H129" s="233">
        <f t="shared" si="82"/>
        <v>0</v>
      </c>
      <c r="I129" s="233">
        <f t="shared" si="82"/>
        <v>0</v>
      </c>
      <c r="J129" s="233">
        <f t="shared" si="82"/>
        <v>0</v>
      </c>
      <c r="K129" s="233">
        <f t="shared" si="82"/>
        <v>0</v>
      </c>
      <c r="L129" s="233">
        <f t="shared" si="82"/>
        <v>0</v>
      </c>
      <c r="M129" s="233">
        <f t="shared" si="82"/>
        <v>0</v>
      </c>
      <c r="N129" s="233">
        <f t="shared" si="82"/>
        <v>0</v>
      </c>
      <c r="O129" s="233">
        <f t="shared" si="82"/>
        <v>0</v>
      </c>
      <c r="P129" s="233" t="str">
        <f t="shared" si="82"/>
        <v/>
      </c>
      <c r="Q129" s="233" t="str">
        <f t="shared" si="82"/>
        <v/>
      </c>
      <c r="R129" s="233" t="str">
        <f t="shared" si="82"/>
        <v/>
      </c>
      <c r="S129" s="233" t="str">
        <f t="shared" si="82"/>
        <v/>
      </c>
      <c r="T129" s="233" t="str">
        <f t="shared" si="82"/>
        <v/>
      </c>
      <c r="U129" s="233" t="str">
        <f t="shared" si="82"/>
        <v/>
      </c>
      <c r="V129" s="233" t="str">
        <f t="shared" si="82"/>
        <v/>
      </c>
      <c r="W129" s="233" t="str">
        <f t="shared" si="82"/>
        <v/>
      </c>
      <c r="X129" s="233" t="str">
        <f t="shared" si="82"/>
        <v/>
      </c>
      <c r="Y129" s="233" t="str">
        <f t="shared" si="82"/>
        <v/>
      </c>
      <c r="Z129" s="233" t="str">
        <f t="shared" si="82"/>
        <v/>
      </c>
      <c r="AA129" s="233" t="str">
        <f t="shared" si="82"/>
        <v/>
      </c>
      <c r="AB129" s="233" t="str">
        <f t="shared" si="82"/>
        <v/>
      </c>
    </row>
    <row r="130" spans="1:28" ht="18" customHeight="1" x14ac:dyDescent="0.25">
      <c r="A130" s="11" t="s">
        <v>267</v>
      </c>
      <c r="B130" s="244"/>
      <c r="C130" s="233">
        <f t="shared" si="73"/>
        <v>2.2855662813767345E-4</v>
      </c>
      <c r="D130" s="233">
        <f t="shared" ref="D130:AB130" si="83">IFERROR((12.011*$AD61/$B29)*D61,"")</f>
        <v>3.1674994395420758E-5</v>
      </c>
      <c r="E130" s="233">
        <f t="shared" si="83"/>
        <v>3.9476836012345421E-4</v>
      </c>
      <c r="F130" s="233">
        <f t="shared" si="83"/>
        <v>3.6660467028950655E-4</v>
      </c>
      <c r="G130" s="233">
        <f t="shared" si="83"/>
        <v>4.1280117095840235E-4</v>
      </c>
      <c r="H130" s="233">
        <f t="shared" si="83"/>
        <v>9.2557006023620569E-4</v>
      </c>
      <c r="I130" s="233">
        <f t="shared" si="83"/>
        <v>4.3033932240611836E-4</v>
      </c>
      <c r="J130" s="233">
        <f t="shared" si="83"/>
        <v>6.9334183669189162E-5</v>
      </c>
      <c r="K130" s="233">
        <f t="shared" si="83"/>
        <v>3.1893229416715403E-5</v>
      </c>
      <c r="L130" s="233">
        <f t="shared" si="83"/>
        <v>3.4333405810884664E-5</v>
      </c>
      <c r="M130" s="233">
        <f t="shared" si="83"/>
        <v>2.470537844104032E-5</v>
      </c>
      <c r="N130" s="233">
        <f t="shared" si="83"/>
        <v>0</v>
      </c>
      <c r="O130" s="233">
        <f t="shared" si="83"/>
        <v>2.0654761905143894E-5</v>
      </c>
      <c r="P130" s="233" t="str">
        <f t="shared" si="83"/>
        <v/>
      </c>
      <c r="Q130" s="233" t="str">
        <f t="shared" si="83"/>
        <v/>
      </c>
      <c r="R130" s="233" t="str">
        <f t="shared" si="83"/>
        <v/>
      </c>
      <c r="S130" s="233" t="str">
        <f t="shared" si="83"/>
        <v/>
      </c>
      <c r="T130" s="233" t="str">
        <f t="shared" si="83"/>
        <v/>
      </c>
      <c r="U130" s="233" t="str">
        <f t="shared" si="83"/>
        <v/>
      </c>
      <c r="V130" s="233" t="str">
        <f t="shared" si="83"/>
        <v/>
      </c>
      <c r="W130" s="233" t="str">
        <f t="shared" si="83"/>
        <v/>
      </c>
      <c r="X130" s="233" t="str">
        <f t="shared" si="83"/>
        <v/>
      </c>
      <c r="Y130" s="233" t="str">
        <f t="shared" si="83"/>
        <v/>
      </c>
      <c r="Z130" s="233" t="str">
        <f t="shared" si="83"/>
        <v/>
      </c>
      <c r="AA130" s="233" t="str">
        <f t="shared" si="83"/>
        <v/>
      </c>
      <c r="AB130" s="233" t="str">
        <f t="shared" si="83"/>
        <v/>
      </c>
    </row>
    <row r="131" spans="1:28" ht="18" customHeight="1" x14ac:dyDescent="0.25">
      <c r="A131" s="11" t="s">
        <v>268</v>
      </c>
      <c r="B131" s="244"/>
      <c r="C131" s="233">
        <f t="shared" si="73"/>
        <v>0</v>
      </c>
      <c r="D131" s="233">
        <f t="shared" ref="D131:AB131" si="84">IFERROR((12.011*$AD62/$B30)*D62,"")</f>
        <v>0</v>
      </c>
      <c r="E131" s="233">
        <f t="shared" si="84"/>
        <v>0</v>
      </c>
      <c r="F131" s="233">
        <f t="shared" si="84"/>
        <v>0</v>
      </c>
      <c r="G131" s="233">
        <f t="shared" si="84"/>
        <v>0</v>
      </c>
      <c r="H131" s="233">
        <f t="shared" si="84"/>
        <v>0</v>
      </c>
      <c r="I131" s="233">
        <f t="shared" si="84"/>
        <v>0</v>
      </c>
      <c r="J131" s="233">
        <f t="shared" si="84"/>
        <v>0</v>
      </c>
      <c r="K131" s="233">
        <f t="shared" si="84"/>
        <v>0</v>
      </c>
      <c r="L131" s="233">
        <f t="shared" si="84"/>
        <v>0</v>
      </c>
      <c r="M131" s="233">
        <f t="shared" si="84"/>
        <v>0</v>
      </c>
      <c r="N131" s="233">
        <f t="shared" si="84"/>
        <v>0</v>
      </c>
      <c r="O131" s="233">
        <f t="shared" si="84"/>
        <v>0</v>
      </c>
      <c r="P131" s="233" t="str">
        <f t="shared" si="84"/>
        <v/>
      </c>
      <c r="Q131" s="233" t="str">
        <f t="shared" si="84"/>
        <v/>
      </c>
      <c r="R131" s="233" t="str">
        <f t="shared" si="84"/>
        <v/>
      </c>
      <c r="S131" s="233" t="str">
        <f t="shared" si="84"/>
        <v/>
      </c>
      <c r="T131" s="233" t="str">
        <f t="shared" si="84"/>
        <v/>
      </c>
      <c r="U131" s="233" t="str">
        <f t="shared" si="84"/>
        <v/>
      </c>
      <c r="V131" s="233" t="str">
        <f t="shared" si="84"/>
        <v/>
      </c>
      <c r="W131" s="233" t="str">
        <f t="shared" si="84"/>
        <v/>
      </c>
      <c r="X131" s="233" t="str">
        <f t="shared" si="84"/>
        <v/>
      </c>
      <c r="Y131" s="233" t="str">
        <f t="shared" si="84"/>
        <v/>
      </c>
      <c r="Z131" s="233" t="str">
        <f t="shared" si="84"/>
        <v/>
      </c>
      <c r="AA131" s="233" t="str">
        <f t="shared" si="84"/>
        <v/>
      </c>
      <c r="AB131" s="233" t="str">
        <f t="shared" si="84"/>
        <v/>
      </c>
    </row>
    <row r="132" spans="1:28" ht="18" customHeight="1" x14ac:dyDescent="0.25">
      <c r="A132" s="11" t="s">
        <v>269</v>
      </c>
      <c r="B132" s="244"/>
      <c r="C132" s="233">
        <f t="shared" si="73"/>
        <v>3.2397306397582956E-6</v>
      </c>
      <c r="D132" s="233">
        <f t="shared" ref="D132:AB132" si="85">IFERROR((12.011*$AD63/$B31)*D63,"")</f>
        <v>0</v>
      </c>
      <c r="E132" s="233">
        <f t="shared" si="85"/>
        <v>3.8876767677099547E-5</v>
      </c>
      <c r="F132" s="233">
        <f t="shared" si="85"/>
        <v>0</v>
      </c>
      <c r="G132" s="233">
        <f t="shared" si="85"/>
        <v>0</v>
      </c>
      <c r="H132" s="233">
        <f t="shared" si="85"/>
        <v>0</v>
      </c>
      <c r="I132" s="233">
        <f t="shared" si="85"/>
        <v>0</v>
      </c>
      <c r="J132" s="233">
        <f t="shared" si="85"/>
        <v>0</v>
      </c>
      <c r="K132" s="233">
        <f t="shared" si="85"/>
        <v>0</v>
      </c>
      <c r="L132" s="233">
        <f t="shared" si="85"/>
        <v>0</v>
      </c>
      <c r="M132" s="233">
        <f t="shared" si="85"/>
        <v>0</v>
      </c>
      <c r="N132" s="233">
        <f t="shared" si="85"/>
        <v>0</v>
      </c>
      <c r="O132" s="233">
        <f t="shared" si="85"/>
        <v>0</v>
      </c>
      <c r="P132" s="233" t="str">
        <f t="shared" si="85"/>
        <v/>
      </c>
      <c r="Q132" s="233" t="str">
        <f t="shared" si="85"/>
        <v/>
      </c>
      <c r="R132" s="233" t="str">
        <f t="shared" si="85"/>
        <v/>
      </c>
      <c r="S132" s="233" t="str">
        <f t="shared" si="85"/>
        <v/>
      </c>
      <c r="T132" s="233" t="str">
        <f t="shared" si="85"/>
        <v/>
      </c>
      <c r="U132" s="233" t="str">
        <f t="shared" si="85"/>
        <v/>
      </c>
      <c r="V132" s="233" t="str">
        <f t="shared" si="85"/>
        <v/>
      </c>
      <c r="W132" s="233" t="str">
        <f t="shared" si="85"/>
        <v/>
      </c>
      <c r="X132" s="233" t="str">
        <f t="shared" si="85"/>
        <v/>
      </c>
      <c r="Y132" s="233" t="str">
        <f t="shared" si="85"/>
        <v/>
      </c>
      <c r="Z132" s="233" t="str">
        <f t="shared" si="85"/>
        <v/>
      </c>
      <c r="AA132" s="233" t="str">
        <f t="shared" si="85"/>
        <v/>
      </c>
      <c r="AB132" s="233" t="str">
        <f t="shared" si="85"/>
        <v/>
      </c>
    </row>
    <row r="133" spans="1:28" ht="18" customHeight="1" x14ac:dyDescent="0.25">
      <c r="A133" s="11" t="s">
        <v>270</v>
      </c>
      <c r="B133" s="244"/>
      <c r="C133" s="233">
        <f t="shared" si="73"/>
        <v>1.3683198614820218E-3</v>
      </c>
      <c r="D133" s="233">
        <f t="shared" ref="D133:AB133" si="86">IFERROR((12.011*$AD64/$B32)*D64,"")</f>
        <v>5.1834927651423206E-4</v>
      </c>
      <c r="E133" s="233">
        <f t="shared" si="86"/>
        <v>2.8188529233459511E-3</v>
      </c>
      <c r="F133" s="233">
        <f t="shared" si="86"/>
        <v>2.290065689529712E-3</v>
      </c>
      <c r="G133" s="233">
        <f t="shared" si="86"/>
        <v>2.6220577770677475E-3</v>
      </c>
      <c r="H133" s="233">
        <f t="shared" si="86"/>
        <v>3.759701931557479E-3</v>
      </c>
      <c r="I133" s="233">
        <f t="shared" si="86"/>
        <v>2.1952076388636718E-3</v>
      </c>
      <c r="J133" s="233">
        <f t="shared" si="86"/>
        <v>1.2966068530490197E-3</v>
      </c>
      <c r="K133" s="233">
        <f t="shared" si="86"/>
        <v>3.4400498355800562E-4</v>
      </c>
      <c r="L133" s="233">
        <f t="shared" si="86"/>
        <v>1.3564247964876461E-4</v>
      </c>
      <c r="M133" s="233">
        <f t="shared" si="86"/>
        <v>1.3724856502490311E-4</v>
      </c>
      <c r="N133" s="233">
        <f t="shared" si="86"/>
        <v>1.3638400489508564E-4</v>
      </c>
      <c r="O133" s="233">
        <f t="shared" si="86"/>
        <v>1.6571621472969615E-4</v>
      </c>
      <c r="P133" s="233" t="str">
        <f t="shared" si="86"/>
        <v/>
      </c>
      <c r="Q133" s="233" t="str">
        <f t="shared" si="86"/>
        <v/>
      </c>
      <c r="R133" s="233" t="str">
        <f t="shared" si="86"/>
        <v/>
      </c>
      <c r="S133" s="233" t="str">
        <f t="shared" si="86"/>
        <v/>
      </c>
      <c r="T133" s="233" t="str">
        <f t="shared" si="86"/>
        <v/>
      </c>
      <c r="U133" s="233" t="str">
        <f t="shared" si="86"/>
        <v/>
      </c>
      <c r="V133" s="233" t="str">
        <f t="shared" si="86"/>
        <v/>
      </c>
      <c r="W133" s="233" t="str">
        <f t="shared" si="86"/>
        <v/>
      </c>
      <c r="X133" s="233" t="str">
        <f t="shared" si="86"/>
        <v/>
      </c>
      <c r="Y133" s="233" t="str">
        <f t="shared" si="86"/>
        <v/>
      </c>
      <c r="Z133" s="233" t="str">
        <f t="shared" si="86"/>
        <v/>
      </c>
      <c r="AA133" s="233" t="str">
        <f t="shared" si="86"/>
        <v/>
      </c>
      <c r="AB133" s="233" t="str">
        <f t="shared" si="86"/>
        <v/>
      </c>
    </row>
    <row r="134" spans="1:28" ht="18" customHeight="1" x14ac:dyDescent="0.25">
      <c r="A134" s="11" t="s">
        <v>271</v>
      </c>
      <c r="B134" s="244"/>
      <c r="C134" s="233">
        <f t="shared" si="73"/>
        <v>0</v>
      </c>
      <c r="D134" s="233">
        <f t="shared" ref="D134:AB134" si="87">IFERROR((12.011*$AD65/$B33)*D65,"")</f>
        <v>0</v>
      </c>
      <c r="E134" s="233">
        <f t="shared" si="87"/>
        <v>0</v>
      </c>
      <c r="F134" s="233">
        <f t="shared" si="87"/>
        <v>0</v>
      </c>
      <c r="G134" s="233">
        <f t="shared" si="87"/>
        <v>0</v>
      </c>
      <c r="H134" s="233">
        <f t="shared" si="87"/>
        <v>0</v>
      </c>
      <c r="I134" s="233">
        <f t="shared" si="87"/>
        <v>0</v>
      </c>
      <c r="J134" s="233">
        <f t="shared" si="87"/>
        <v>0</v>
      </c>
      <c r="K134" s="233">
        <f t="shared" si="87"/>
        <v>0</v>
      </c>
      <c r="L134" s="233">
        <f t="shared" si="87"/>
        <v>0</v>
      </c>
      <c r="M134" s="233">
        <f t="shared" si="87"/>
        <v>0</v>
      </c>
      <c r="N134" s="233">
        <f t="shared" si="87"/>
        <v>0</v>
      </c>
      <c r="O134" s="233">
        <f t="shared" si="87"/>
        <v>0</v>
      </c>
      <c r="P134" s="233" t="str">
        <f t="shared" si="87"/>
        <v/>
      </c>
      <c r="Q134" s="233" t="str">
        <f t="shared" si="87"/>
        <v/>
      </c>
      <c r="R134" s="233" t="str">
        <f t="shared" si="87"/>
        <v/>
      </c>
      <c r="S134" s="233" t="str">
        <f t="shared" si="87"/>
        <v/>
      </c>
      <c r="T134" s="233" t="str">
        <f t="shared" si="87"/>
        <v/>
      </c>
      <c r="U134" s="233" t="str">
        <f t="shared" si="87"/>
        <v/>
      </c>
      <c r="V134" s="233" t="str">
        <f t="shared" si="87"/>
        <v/>
      </c>
      <c r="W134" s="233" t="str">
        <f t="shared" si="87"/>
        <v/>
      </c>
      <c r="X134" s="233" t="str">
        <f t="shared" si="87"/>
        <v/>
      </c>
      <c r="Y134" s="233" t="str">
        <f t="shared" si="87"/>
        <v/>
      </c>
      <c r="Z134" s="233" t="str">
        <f t="shared" si="87"/>
        <v/>
      </c>
      <c r="AA134" s="233" t="str">
        <f t="shared" si="87"/>
        <v/>
      </c>
      <c r="AB134" s="233" t="str">
        <f t="shared" si="87"/>
        <v/>
      </c>
    </row>
    <row r="135" spans="1:28" ht="18" customHeight="1" x14ac:dyDescent="0.25">
      <c r="A135" s="11" t="s">
        <v>272</v>
      </c>
      <c r="B135" s="244"/>
      <c r="C135" s="233">
        <f t="shared" si="73"/>
        <v>0</v>
      </c>
      <c r="D135" s="233">
        <f t="shared" ref="D135:AB135" si="88">IFERROR((12.011*$AD66/$B34)*D66,"")</f>
        <v>0</v>
      </c>
      <c r="E135" s="233">
        <f t="shared" si="88"/>
        <v>0</v>
      </c>
      <c r="F135" s="233">
        <f t="shared" si="88"/>
        <v>0</v>
      </c>
      <c r="G135" s="233">
        <f t="shared" si="88"/>
        <v>0</v>
      </c>
      <c r="H135" s="233">
        <f t="shared" si="88"/>
        <v>0</v>
      </c>
      <c r="I135" s="233">
        <f t="shared" si="88"/>
        <v>0</v>
      </c>
      <c r="J135" s="233">
        <f t="shared" si="88"/>
        <v>0</v>
      </c>
      <c r="K135" s="233">
        <f t="shared" si="88"/>
        <v>0</v>
      </c>
      <c r="L135" s="233">
        <f t="shared" si="88"/>
        <v>0</v>
      </c>
      <c r="M135" s="233">
        <f t="shared" si="88"/>
        <v>0</v>
      </c>
      <c r="N135" s="233">
        <f t="shared" si="88"/>
        <v>0</v>
      </c>
      <c r="O135" s="233">
        <f t="shared" si="88"/>
        <v>0</v>
      </c>
      <c r="P135" s="233" t="str">
        <f t="shared" si="88"/>
        <v/>
      </c>
      <c r="Q135" s="233" t="str">
        <f t="shared" si="88"/>
        <v/>
      </c>
      <c r="R135" s="233" t="str">
        <f t="shared" si="88"/>
        <v/>
      </c>
      <c r="S135" s="233" t="str">
        <f t="shared" si="88"/>
        <v/>
      </c>
      <c r="T135" s="233" t="str">
        <f t="shared" si="88"/>
        <v/>
      </c>
      <c r="U135" s="233" t="str">
        <f t="shared" si="88"/>
        <v/>
      </c>
      <c r="V135" s="233" t="str">
        <f t="shared" si="88"/>
        <v/>
      </c>
      <c r="W135" s="233" t="str">
        <f t="shared" si="88"/>
        <v/>
      </c>
      <c r="X135" s="233" t="str">
        <f t="shared" si="88"/>
        <v/>
      </c>
      <c r="Y135" s="233" t="str">
        <f t="shared" si="88"/>
        <v/>
      </c>
      <c r="Z135" s="233" t="str">
        <f t="shared" si="88"/>
        <v/>
      </c>
      <c r="AA135" s="233" t="str">
        <f t="shared" si="88"/>
        <v/>
      </c>
      <c r="AB135" s="233" t="str">
        <f t="shared" si="88"/>
        <v/>
      </c>
    </row>
    <row r="136" spans="1:28" ht="18" customHeight="1" x14ac:dyDescent="0.25">
      <c r="A136" s="11" t="s">
        <v>273</v>
      </c>
      <c r="B136" s="244"/>
      <c r="C136" s="233">
        <f t="shared" si="73"/>
        <v>0</v>
      </c>
      <c r="D136" s="233">
        <f t="shared" ref="D136:AB136" si="89">IFERROR((12.011*$AD67/$B35)*D67,"")</f>
        <v>0</v>
      </c>
      <c r="E136" s="233">
        <f t="shared" si="89"/>
        <v>0</v>
      </c>
      <c r="F136" s="233">
        <f t="shared" si="89"/>
        <v>0</v>
      </c>
      <c r="G136" s="233">
        <f t="shared" si="89"/>
        <v>0</v>
      </c>
      <c r="H136" s="233">
        <f t="shared" si="89"/>
        <v>0</v>
      </c>
      <c r="I136" s="233">
        <f t="shared" si="89"/>
        <v>0</v>
      </c>
      <c r="J136" s="233">
        <f t="shared" si="89"/>
        <v>0</v>
      </c>
      <c r="K136" s="233">
        <f t="shared" si="89"/>
        <v>0</v>
      </c>
      <c r="L136" s="233">
        <f t="shared" si="89"/>
        <v>0</v>
      </c>
      <c r="M136" s="233">
        <f t="shared" si="89"/>
        <v>0</v>
      </c>
      <c r="N136" s="233">
        <f t="shared" si="89"/>
        <v>0</v>
      </c>
      <c r="O136" s="233">
        <f t="shared" si="89"/>
        <v>0</v>
      </c>
      <c r="P136" s="233" t="str">
        <f t="shared" si="89"/>
        <v/>
      </c>
      <c r="Q136" s="233" t="str">
        <f t="shared" si="89"/>
        <v/>
      </c>
      <c r="R136" s="233" t="str">
        <f t="shared" si="89"/>
        <v/>
      </c>
      <c r="S136" s="233" t="str">
        <f t="shared" si="89"/>
        <v/>
      </c>
      <c r="T136" s="233" t="str">
        <f t="shared" si="89"/>
        <v/>
      </c>
      <c r="U136" s="233" t="str">
        <f t="shared" si="89"/>
        <v/>
      </c>
      <c r="V136" s="233" t="str">
        <f t="shared" si="89"/>
        <v/>
      </c>
      <c r="W136" s="233" t="str">
        <f t="shared" si="89"/>
        <v/>
      </c>
      <c r="X136" s="233" t="str">
        <f t="shared" si="89"/>
        <v/>
      </c>
      <c r="Y136" s="233" t="str">
        <f t="shared" si="89"/>
        <v/>
      </c>
      <c r="Z136" s="233" t="str">
        <f t="shared" si="89"/>
        <v/>
      </c>
      <c r="AA136" s="233" t="str">
        <f t="shared" si="89"/>
        <v/>
      </c>
      <c r="AB136" s="233" t="str">
        <f t="shared" si="89"/>
        <v/>
      </c>
    </row>
    <row r="137" spans="1:28" ht="18" customHeight="1" x14ac:dyDescent="0.25">
      <c r="A137" s="11" t="s">
        <v>274</v>
      </c>
      <c r="B137" s="244"/>
      <c r="C137" s="233">
        <f t="shared" si="73"/>
        <v>0</v>
      </c>
      <c r="D137" s="233">
        <f t="shared" ref="D137:AB137" si="90">IFERROR((12.011*$AD68/$B36)*D68,"")</f>
        <v>0</v>
      </c>
      <c r="E137" s="233">
        <f t="shared" si="90"/>
        <v>0</v>
      </c>
      <c r="F137" s="233">
        <f t="shared" si="90"/>
        <v>0</v>
      </c>
      <c r="G137" s="233">
        <f t="shared" si="90"/>
        <v>0</v>
      </c>
      <c r="H137" s="233">
        <f t="shared" si="90"/>
        <v>0</v>
      </c>
      <c r="I137" s="233">
        <f t="shared" si="90"/>
        <v>0</v>
      </c>
      <c r="J137" s="233">
        <f t="shared" si="90"/>
        <v>0</v>
      </c>
      <c r="K137" s="233">
        <f t="shared" si="90"/>
        <v>0</v>
      </c>
      <c r="L137" s="233">
        <f t="shared" si="90"/>
        <v>0</v>
      </c>
      <c r="M137" s="233">
        <f t="shared" si="90"/>
        <v>0</v>
      </c>
      <c r="N137" s="233">
        <f t="shared" si="90"/>
        <v>0</v>
      </c>
      <c r="O137" s="233">
        <f t="shared" si="90"/>
        <v>0</v>
      </c>
      <c r="P137" s="233" t="str">
        <f t="shared" si="90"/>
        <v/>
      </c>
      <c r="Q137" s="233" t="str">
        <f t="shared" si="90"/>
        <v/>
      </c>
      <c r="R137" s="233" t="str">
        <f t="shared" si="90"/>
        <v/>
      </c>
      <c r="S137" s="233" t="str">
        <f t="shared" si="90"/>
        <v/>
      </c>
      <c r="T137" s="233" t="str">
        <f t="shared" si="90"/>
        <v/>
      </c>
      <c r="U137" s="233" t="str">
        <f t="shared" si="90"/>
        <v/>
      </c>
      <c r="V137" s="233" t="str">
        <f t="shared" si="90"/>
        <v/>
      </c>
      <c r="W137" s="233" t="str">
        <f t="shared" si="90"/>
        <v/>
      </c>
      <c r="X137" s="233" t="str">
        <f t="shared" si="90"/>
        <v/>
      </c>
      <c r="Y137" s="233" t="str">
        <f t="shared" si="90"/>
        <v/>
      </c>
      <c r="Z137" s="233" t="str">
        <f t="shared" si="90"/>
        <v/>
      </c>
      <c r="AA137" s="233" t="str">
        <f t="shared" si="90"/>
        <v/>
      </c>
      <c r="AB137" s="233" t="str">
        <f t="shared" si="90"/>
        <v/>
      </c>
    </row>
    <row r="138" spans="1:28" ht="18" customHeight="1" x14ac:dyDescent="0.25">
      <c r="A138" s="11" t="s">
        <v>275</v>
      </c>
      <c r="B138" s="244"/>
      <c r="C138" s="233">
        <f t="shared" si="73"/>
        <v>1.9823884898533851E-4</v>
      </c>
      <c r="D138" s="233">
        <f t="shared" ref="D138:AB138" si="91">IFERROR((12.011*$AD69/$B37)*D69,"")</f>
        <v>2.5042685099628683E-4</v>
      </c>
      <c r="E138" s="233">
        <f t="shared" si="91"/>
        <v>5.8615185683272232E-4</v>
      </c>
      <c r="F138" s="233">
        <f t="shared" si="91"/>
        <v>3.6864845939216581E-4</v>
      </c>
      <c r="G138" s="233">
        <f t="shared" si="91"/>
        <v>1.7533226786234422E-4</v>
      </c>
      <c r="H138" s="233">
        <f t="shared" si="91"/>
        <v>1.7561281060217087E-4</v>
      </c>
      <c r="I138" s="233">
        <f t="shared" si="91"/>
        <v>2.129750260777065E-4</v>
      </c>
      <c r="J138" s="233">
        <f t="shared" si="91"/>
        <v>5.2330343242100864E-4</v>
      </c>
      <c r="K138" s="233">
        <f t="shared" si="91"/>
        <v>4.9440909858843969E-5</v>
      </c>
      <c r="L138" s="233">
        <f t="shared" si="91"/>
        <v>0</v>
      </c>
      <c r="M138" s="233">
        <f t="shared" si="91"/>
        <v>0</v>
      </c>
      <c r="N138" s="233">
        <f t="shared" si="91"/>
        <v>0</v>
      </c>
      <c r="O138" s="233">
        <f t="shared" si="91"/>
        <v>3.6974573780813141E-5</v>
      </c>
      <c r="P138" s="233" t="str">
        <f t="shared" si="91"/>
        <v/>
      </c>
      <c r="Q138" s="233" t="str">
        <f t="shared" si="91"/>
        <v/>
      </c>
      <c r="R138" s="233" t="str">
        <f t="shared" si="91"/>
        <v/>
      </c>
      <c r="S138" s="233" t="str">
        <f t="shared" si="91"/>
        <v/>
      </c>
      <c r="T138" s="233" t="str">
        <f t="shared" si="91"/>
        <v/>
      </c>
      <c r="U138" s="233" t="str">
        <f t="shared" si="91"/>
        <v/>
      </c>
      <c r="V138" s="233" t="str">
        <f t="shared" si="91"/>
        <v/>
      </c>
      <c r="W138" s="233" t="str">
        <f t="shared" si="91"/>
        <v/>
      </c>
      <c r="X138" s="233" t="str">
        <f t="shared" si="91"/>
        <v/>
      </c>
      <c r="Y138" s="233" t="str">
        <f t="shared" si="91"/>
        <v/>
      </c>
      <c r="Z138" s="233" t="str">
        <f t="shared" si="91"/>
        <v/>
      </c>
      <c r="AA138" s="233" t="str">
        <f t="shared" si="91"/>
        <v/>
      </c>
      <c r="AB138" s="233" t="str">
        <f t="shared" si="91"/>
        <v/>
      </c>
    </row>
    <row r="139" spans="1:28" ht="18" customHeight="1" x14ac:dyDescent="0.25">
      <c r="A139" s="11" t="s">
        <v>276</v>
      </c>
      <c r="B139" s="244"/>
      <c r="C139" s="233">
        <f t="shared" si="73"/>
        <v>0</v>
      </c>
      <c r="D139" s="233">
        <f t="shared" ref="D139:AB139" si="92">IFERROR((12.011*$AD70/$B38)*D70,"")</f>
        <v>0</v>
      </c>
      <c r="E139" s="233">
        <f t="shared" si="92"/>
        <v>0</v>
      </c>
      <c r="F139" s="233">
        <f t="shared" si="92"/>
        <v>0</v>
      </c>
      <c r="G139" s="233">
        <f t="shared" si="92"/>
        <v>0</v>
      </c>
      <c r="H139" s="233">
        <f t="shared" si="92"/>
        <v>0</v>
      </c>
      <c r="I139" s="233">
        <f t="shared" si="92"/>
        <v>0</v>
      </c>
      <c r="J139" s="233">
        <f t="shared" si="92"/>
        <v>0</v>
      </c>
      <c r="K139" s="233">
        <f t="shared" si="92"/>
        <v>0</v>
      </c>
      <c r="L139" s="233">
        <f t="shared" si="92"/>
        <v>0</v>
      </c>
      <c r="M139" s="233">
        <f t="shared" si="92"/>
        <v>0</v>
      </c>
      <c r="N139" s="233">
        <f t="shared" si="92"/>
        <v>0</v>
      </c>
      <c r="O139" s="233">
        <f t="shared" si="92"/>
        <v>0</v>
      </c>
      <c r="P139" s="233" t="str">
        <f t="shared" si="92"/>
        <v/>
      </c>
      <c r="Q139" s="233" t="str">
        <f t="shared" si="92"/>
        <v/>
      </c>
      <c r="R139" s="233" t="str">
        <f t="shared" si="92"/>
        <v/>
      </c>
      <c r="S139" s="233" t="str">
        <f t="shared" si="92"/>
        <v/>
      </c>
      <c r="T139" s="233" t="str">
        <f t="shared" si="92"/>
        <v/>
      </c>
      <c r="U139" s="233" t="str">
        <f t="shared" si="92"/>
        <v/>
      </c>
      <c r="V139" s="233" t="str">
        <f t="shared" si="92"/>
        <v/>
      </c>
      <c r="W139" s="233" t="str">
        <f t="shared" si="92"/>
        <v/>
      </c>
      <c r="X139" s="233" t="str">
        <f t="shared" si="92"/>
        <v/>
      </c>
      <c r="Y139" s="233" t="str">
        <f t="shared" si="92"/>
        <v/>
      </c>
      <c r="Z139" s="233" t="str">
        <f t="shared" si="92"/>
        <v/>
      </c>
      <c r="AA139" s="233" t="str">
        <f t="shared" si="92"/>
        <v/>
      </c>
      <c r="AB139" s="233" t="str">
        <f t="shared" si="92"/>
        <v/>
      </c>
    </row>
    <row r="140" spans="1:28" ht="18" customHeight="1" x14ac:dyDescent="0.25">
      <c r="A140" s="11" t="s">
        <v>277</v>
      </c>
      <c r="B140" s="244"/>
      <c r="C140" s="233">
        <f t="shared" si="73"/>
        <v>3.4283494220651027E-4</v>
      </c>
      <c r="D140" s="233">
        <f t="shared" ref="D140:AB140" si="93">IFERROR((12.011*$AD71/$B39)*D71,"")</f>
        <v>4.7512491593131133E-5</v>
      </c>
      <c r="E140" s="233">
        <f t="shared" si="93"/>
        <v>5.9215254018518129E-4</v>
      </c>
      <c r="F140" s="233">
        <f t="shared" si="93"/>
        <v>5.499070054342599E-4</v>
      </c>
      <c r="G140" s="233">
        <f t="shared" si="93"/>
        <v>6.1920175643760352E-4</v>
      </c>
      <c r="H140" s="233">
        <f t="shared" si="93"/>
        <v>1.3883550903543089E-3</v>
      </c>
      <c r="I140" s="233">
        <f t="shared" si="93"/>
        <v>6.4550898360917776E-4</v>
      </c>
      <c r="J140" s="233">
        <f t="shared" si="93"/>
        <v>1.0400127550378378E-4</v>
      </c>
      <c r="K140" s="233">
        <f t="shared" si="93"/>
        <v>4.7839844125073118E-5</v>
      </c>
      <c r="L140" s="233">
        <f t="shared" si="93"/>
        <v>5.1500108716326995E-5</v>
      </c>
      <c r="M140" s="233">
        <f t="shared" si="93"/>
        <v>3.7058067661560487E-5</v>
      </c>
      <c r="N140" s="233">
        <f t="shared" si="93"/>
        <v>0</v>
      </c>
      <c r="O140" s="233">
        <f t="shared" si="93"/>
        <v>3.0982142857715846E-5</v>
      </c>
      <c r="P140" s="233" t="str">
        <f t="shared" si="93"/>
        <v/>
      </c>
      <c r="Q140" s="233" t="str">
        <f t="shared" si="93"/>
        <v/>
      </c>
      <c r="R140" s="233" t="str">
        <f t="shared" si="93"/>
        <v/>
      </c>
      <c r="S140" s="233" t="str">
        <f t="shared" si="93"/>
        <v/>
      </c>
      <c r="T140" s="233" t="str">
        <f t="shared" si="93"/>
        <v/>
      </c>
      <c r="U140" s="233" t="str">
        <f t="shared" si="93"/>
        <v/>
      </c>
      <c r="V140" s="233" t="str">
        <f t="shared" si="93"/>
        <v/>
      </c>
      <c r="W140" s="233" t="str">
        <f t="shared" si="93"/>
        <v/>
      </c>
      <c r="X140" s="233" t="str">
        <f t="shared" si="93"/>
        <v/>
      </c>
      <c r="Y140" s="233" t="str">
        <f t="shared" si="93"/>
        <v/>
      </c>
      <c r="Z140" s="233" t="str">
        <f t="shared" si="93"/>
        <v/>
      </c>
      <c r="AA140" s="233" t="str">
        <f t="shared" si="93"/>
        <v/>
      </c>
      <c r="AB140" s="233" t="str">
        <f t="shared" si="93"/>
        <v/>
      </c>
    </row>
    <row r="141" spans="1:28" ht="18" customHeight="1" x14ac:dyDescent="0.25">
      <c r="A141" s="11" t="s">
        <v>278</v>
      </c>
      <c r="B141" s="244"/>
      <c r="C141" s="233">
        <f t="shared" si="73"/>
        <v>0</v>
      </c>
      <c r="D141" s="233">
        <f t="shared" ref="D141:AB141" si="94">IFERROR((12.011*$AD72/$B40)*D72,"")</f>
        <v>0</v>
      </c>
      <c r="E141" s="233">
        <f t="shared" si="94"/>
        <v>0</v>
      </c>
      <c r="F141" s="233">
        <f t="shared" si="94"/>
        <v>0</v>
      </c>
      <c r="G141" s="233">
        <f t="shared" si="94"/>
        <v>0</v>
      </c>
      <c r="H141" s="233">
        <f t="shared" si="94"/>
        <v>0</v>
      </c>
      <c r="I141" s="233">
        <f t="shared" si="94"/>
        <v>0</v>
      </c>
      <c r="J141" s="233">
        <f t="shared" si="94"/>
        <v>0</v>
      </c>
      <c r="K141" s="233">
        <f t="shared" si="94"/>
        <v>0</v>
      </c>
      <c r="L141" s="233">
        <f t="shared" si="94"/>
        <v>0</v>
      </c>
      <c r="M141" s="233">
        <f t="shared" si="94"/>
        <v>0</v>
      </c>
      <c r="N141" s="233">
        <f t="shared" si="94"/>
        <v>0</v>
      </c>
      <c r="O141" s="233">
        <f t="shared" si="94"/>
        <v>0</v>
      </c>
      <c r="P141" s="233" t="str">
        <f t="shared" si="94"/>
        <v/>
      </c>
      <c r="Q141" s="233" t="str">
        <f t="shared" si="94"/>
        <v/>
      </c>
      <c r="R141" s="233" t="str">
        <f t="shared" si="94"/>
        <v/>
      </c>
      <c r="S141" s="233" t="str">
        <f t="shared" si="94"/>
        <v/>
      </c>
      <c r="T141" s="233" t="str">
        <f t="shared" si="94"/>
        <v/>
      </c>
      <c r="U141" s="233" t="str">
        <f t="shared" si="94"/>
        <v/>
      </c>
      <c r="V141" s="233" t="str">
        <f t="shared" si="94"/>
        <v/>
      </c>
      <c r="W141" s="233" t="str">
        <f t="shared" si="94"/>
        <v/>
      </c>
      <c r="X141" s="233" t="str">
        <f t="shared" si="94"/>
        <v/>
      </c>
      <c r="Y141" s="233" t="str">
        <f t="shared" si="94"/>
        <v/>
      </c>
      <c r="Z141" s="233" t="str">
        <f t="shared" si="94"/>
        <v/>
      </c>
      <c r="AA141" s="233" t="str">
        <f t="shared" si="94"/>
        <v/>
      </c>
      <c r="AB141" s="233" t="str">
        <f t="shared" si="94"/>
        <v/>
      </c>
    </row>
    <row r="142" spans="1:28" ht="18" customHeight="1" x14ac:dyDescent="0.25">
      <c r="A142" s="11" t="s">
        <v>279</v>
      </c>
      <c r="B142" s="244"/>
      <c r="C142" s="233">
        <f t="shared" si="73"/>
        <v>0</v>
      </c>
      <c r="D142" s="233">
        <f t="shared" ref="D142:AB142" si="95">IFERROR((12.011*$AD73/$B41)*D73,"")</f>
        <v>0</v>
      </c>
      <c r="E142" s="233">
        <f t="shared" si="95"/>
        <v>0</v>
      </c>
      <c r="F142" s="233">
        <f t="shared" si="95"/>
        <v>0</v>
      </c>
      <c r="G142" s="233">
        <f t="shared" si="95"/>
        <v>0</v>
      </c>
      <c r="H142" s="233">
        <f t="shared" si="95"/>
        <v>0</v>
      </c>
      <c r="I142" s="233">
        <f t="shared" si="95"/>
        <v>0</v>
      </c>
      <c r="J142" s="233">
        <f t="shared" si="95"/>
        <v>0</v>
      </c>
      <c r="K142" s="233">
        <f t="shared" si="95"/>
        <v>0</v>
      </c>
      <c r="L142" s="233">
        <f t="shared" si="95"/>
        <v>0</v>
      </c>
      <c r="M142" s="233">
        <f t="shared" si="95"/>
        <v>0</v>
      </c>
      <c r="N142" s="233">
        <f t="shared" si="95"/>
        <v>0</v>
      </c>
      <c r="O142" s="233">
        <f t="shared" si="95"/>
        <v>0</v>
      </c>
      <c r="P142" s="233" t="str">
        <f t="shared" si="95"/>
        <v/>
      </c>
      <c r="Q142" s="233" t="str">
        <f t="shared" si="95"/>
        <v/>
      </c>
      <c r="R142" s="233" t="str">
        <f t="shared" si="95"/>
        <v/>
      </c>
      <c r="S142" s="233" t="str">
        <f t="shared" si="95"/>
        <v/>
      </c>
      <c r="T142" s="233" t="str">
        <f t="shared" si="95"/>
        <v/>
      </c>
      <c r="U142" s="233" t="str">
        <f t="shared" si="95"/>
        <v/>
      </c>
      <c r="V142" s="233" t="str">
        <f t="shared" si="95"/>
        <v/>
      </c>
      <c r="W142" s="233" t="str">
        <f t="shared" si="95"/>
        <v/>
      </c>
      <c r="X142" s="233" t="str">
        <f t="shared" si="95"/>
        <v/>
      </c>
      <c r="Y142" s="233" t="str">
        <f t="shared" si="95"/>
        <v/>
      </c>
      <c r="Z142" s="233" t="str">
        <f t="shared" si="95"/>
        <v/>
      </c>
      <c r="AA142" s="233" t="str">
        <f t="shared" si="95"/>
        <v/>
      </c>
      <c r="AB142" s="233" t="str">
        <f t="shared" si="95"/>
        <v/>
      </c>
    </row>
    <row r="143" spans="1:28" ht="18" customHeight="1" x14ac:dyDescent="0.25">
      <c r="A143" s="11" t="s">
        <v>280</v>
      </c>
      <c r="B143" s="244"/>
      <c r="C143" s="233">
        <f t="shared" si="73"/>
        <v>0</v>
      </c>
      <c r="D143" s="233">
        <f t="shared" ref="D143:AB143" si="96">IFERROR((12.011*$AD74/$B42)*D74,"")</f>
        <v>0</v>
      </c>
      <c r="E143" s="233">
        <f t="shared" si="96"/>
        <v>0</v>
      </c>
      <c r="F143" s="233">
        <f t="shared" si="96"/>
        <v>0</v>
      </c>
      <c r="G143" s="233">
        <f t="shared" si="96"/>
        <v>0</v>
      </c>
      <c r="H143" s="233">
        <f t="shared" si="96"/>
        <v>0</v>
      </c>
      <c r="I143" s="233">
        <f t="shared" si="96"/>
        <v>0</v>
      </c>
      <c r="J143" s="233">
        <f t="shared" si="96"/>
        <v>0</v>
      </c>
      <c r="K143" s="233">
        <f t="shared" si="96"/>
        <v>0</v>
      </c>
      <c r="L143" s="233">
        <f t="shared" si="96"/>
        <v>0</v>
      </c>
      <c r="M143" s="233">
        <f t="shared" si="96"/>
        <v>0</v>
      </c>
      <c r="N143" s="233">
        <f t="shared" si="96"/>
        <v>0</v>
      </c>
      <c r="O143" s="233">
        <f t="shared" si="96"/>
        <v>0</v>
      </c>
      <c r="P143" s="233" t="str">
        <f t="shared" si="96"/>
        <v/>
      </c>
      <c r="Q143" s="233" t="str">
        <f t="shared" si="96"/>
        <v/>
      </c>
      <c r="R143" s="233" t="str">
        <f t="shared" si="96"/>
        <v/>
      </c>
      <c r="S143" s="233" t="str">
        <f t="shared" si="96"/>
        <v/>
      </c>
      <c r="T143" s="233" t="str">
        <f t="shared" si="96"/>
        <v/>
      </c>
      <c r="U143" s="233" t="str">
        <f t="shared" si="96"/>
        <v/>
      </c>
      <c r="V143" s="233" t="str">
        <f t="shared" si="96"/>
        <v/>
      </c>
      <c r="W143" s="233" t="str">
        <f t="shared" si="96"/>
        <v/>
      </c>
      <c r="X143" s="233" t="str">
        <f t="shared" si="96"/>
        <v/>
      </c>
      <c r="Y143" s="233" t="str">
        <f t="shared" si="96"/>
        <v/>
      </c>
      <c r="Z143" s="233" t="str">
        <f t="shared" si="96"/>
        <v/>
      </c>
      <c r="AA143" s="233" t="str">
        <f t="shared" si="96"/>
        <v/>
      </c>
      <c r="AB143" s="233" t="str">
        <f t="shared" si="96"/>
        <v/>
      </c>
    </row>
    <row r="144" spans="1:28" ht="18" customHeight="1" x14ac:dyDescent="0.25">
      <c r="A144" s="11" t="s">
        <v>281</v>
      </c>
      <c r="B144" s="244"/>
      <c r="C144" s="233">
        <f t="shared" si="73"/>
        <v>0</v>
      </c>
      <c r="D144" s="233">
        <f t="shared" ref="D144:AB144" si="97">IFERROR((12.011*$AD75/$B43)*D75,"")</f>
        <v>0</v>
      </c>
      <c r="E144" s="233">
        <f t="shared" si="97"/>
        <v>0</v>
      </c>
      <c r="F144" s="233">
        <f t="shared" si="97"/>
        <v>0</v>
      </c>
      <c r="G144" s="233">
        <f t="shared" si="97"/>
        <v>0</v>
      </c>
      <c r="H144" s="233">
        <f t="shared" si="97"/>
        <v>0</v>
      </c>
      <c r="I144" s="233">
        <f t="shared" si="97"/>
        <v>0</v>
      </c>
      <c r="J144" s="233">
        <f t="shared" si="97"/>
        <v>0</v>
      </c>
      <c r="K144" s="233">
        <f t="shared" si="97"/>
        <v>0</v>
      </c>
      <c r="L144" s="233">
        <f t="shared" si="97"/>
        <v>0</v>
      </c>
      <c r="M144" s="233">
        <f t="shared" si="97"/>
        <v>0</v>
      </c>
      <c r="N144" s="233">
        <f t="shared" si="97"/>
        <v>0</v>
      </c>
      <c r="O144" s="233">
        <f t="shared" si="97"/>
        <v>0</v>
      </c>
      <c r="P144" s="233" t="str">
        <f t="shared" si="97"/>
        <v/>
      </c>
      <c r="Q144" s="233" t="str">
        <f t="shared" si="97"/>
        <v/>
      </c>
      <c r="R144" s="233" t="str">
        <f t="shared" si="97"/>
        <v/>
      </c>
      <c r="S144" s="233" t="str">
        <f t="shared" si="97"/>
        <v/>
      </c>
      <c r="T144" s="233" t="str">
        <f t="shared" si="97"/>
        <v/>
      </c>
      <c r="U144" s="233" t="str">
        <f t="shared" si="97"/>
        <v/>
      </c>
      <c r="V144" s="233" t="str">
        <f t="shared" si="97"/>
        <v/>
      </c>
      <c r="W144" s="233" t="str">
        <f t="shared" si="97"/>
        <v/>
      </c>
      <c r="X144" s="233" t="str">
        <f t="shared" si="97"/>
        <v/>
      </c>
      <c r="Y144" s="233" t="str">
        <f t="shared" si="97"/>
        <v/>
      </c>
      <c r="Z144" s="233" t="str">
        <f t="shared" si="97"/>
        <v/>
      </c>
      <c r="AA144" s="233" t="str">
        <f t="shared" si="97"/>
        <v/>
      </c>
      <c r="AB144" s="233" t="str">
        <f t="shared" si="97"/>
        <v/>
      </c>
    </row>
    <row r="145" spans="1:28" ht="18" customHeight="1" x14ac:dyDescent="0.25">
      <c r="A145" s="11" t="s">
        <v>282</v>
      </c>
      <c r="B145" s="244"/>
      <c r="C145" s="233">
        <f t="shared" si="73"/>
        <v>0</v>
      </c>
      <c r="D145" s="233">
        <f t="shared" ref="D145:AB145" si="98">IFERROR((12.011*$AD76/$B44)*D76,"")</f>
        <v>0</v>
      </c>
      <c r="E145" s="233">
        <f t="shared" si="98"/>
        <v>0</v>
      </c>
      <c r="F145" s="233">
        <f t="shared" si="98"/>
        <v>0</v>
      </c>
      <c r="G145" s="233">
        <f t="shared" si="98"/>
        <v>0</v>
      </c>
      <c r="H145" s="233">
        <f t="shared" si="98"/>
        <v>0</v>
      </c>
      <c r="I145" s="233">
        <f t="shared" si="98"/>
        <v>0</v>
      </c>
      <c r="J145" s="233">
        <f t="shared" si="98"/>
        <v>0</v>
      </c>
      <c r="K145" s="233">
        <f t="shared" si="98"/>
        <v>0</v>
      </c>
      <c r="L145" s="233">
        <f t="shared" si="98"/>
        <v>0</v>
      </c>
      <c r="M145" s="233">
        <f t="shared" si="98"/>
        <v>0</v>
      </c>
      <c r="N145" s="233">
        <f t="shared" si="98"/>
        <v>0</v>
      </c>
      <c r="O145" s="233">
        <f t="shared" si="98"/>
        <v>0</v>
      </c>
      <c r="P145" s="233" t="str">
        <f t="shared" si="98"/>
        <v/>
      </c>
      <c r="Q145" s="233" t="str">
        <f t="shared" si="98"/>
        <v/>
      </c>
      <c r="R145" s="233" t="str">
        <f t="shared" si="98"/>
        <v/>
      </c>
      <c r="S145" s="233" t="str">
        <f t="shared" si="98"/>
        <v/>
      </c>
      <c r="T145" s="233" t="str">
        <f t="shared" si="98"/>
        <v/>
      </c>
      <c r="U145" s="233" t="str">
        <f t="shared" si="98"/>
        <v/>
      </c>
      <c r="V145" s="233" t="str">
        <f t="shared" si="98"/>
        <v/>
      </c>
      <c r="W145" s="233" t="str">
        <f t="shared" si="98"/>
        <v/>
      </c>
      <c r="X145" s="233" t="str">
        <f t="shared" si="98"/>
        <v/>
      </c>
      <c r="Y145" s="233" t="str">
        <f t="shared" si="98"/>
        <v/>
      </c>
      <c r="Z145" s="233" t="str">
        <f t="shared" si="98"/>
        <v/>
      </c>
      <c r="AA145" s="233" t="str">
        <f t="shared" si="98"/>
        <v/>
      </c>
      <c r="AB145" s="233" t="str">
        <f t="shared" si="98"/>
        <v/>
      </c>
    </row>
    <row r="146" spans="1:28" ht="18" customHeight="1" x14ac:dyDescent="0.25">
      <c r="A146" s="11" t="s">
        <v>283</v>
      </c>
      <c r="B146" s="244"/>
      <c r="C146" s="233">
        <f t="shared" si="73"/>
        <v>0</v>
      </c>
      <c r="D146" s="233">
        <f t="shared" ref="D146:AB146" si="99">IFERROR((12.011*$AD77/$B45)*D77,"")</f>
        <v>0</v>
      </c>
      <c r="E146" s="233">
        <f t="shared" si="99"/>
        <v>0</v>
      </c>
      <c r="F146" s="233">
        <f t="shared" si="99"/>
        <v>0</v>
      </c>
      <c r="G146" s="233">
        <f t="shared" si="99"/>
        <v>0</v>
      </c>
      <c r="H146" s="233">
        <f t="shared" si="99"/>
        <v>0</v>
      </c>
      <c r="I146" s="233">
        <f t="shared" si="99"/>
        <v>0</v>
      </c>
      <c r="J146" s="233">
        <f t="shared" si="99"/>
        <v>0</v>
      </c>
      <c r="K146" s="233">
        <f t="shared" si="99"/>
        <v>0</v>
      </c>
      <c r="L146" s="233">
        <f t="shared" si="99"/>
        <v>0</v>
      </c>
      <c r="M146" s="233">
        <f t="shared" si="99"/>
        <v>0</v>
      </c>
      <c r="N146" s="233">
        <f t="shared" si="99"/>
        <v>0</v>
      </c>
      <c r="O146" s="233">
        <f t="shared" si="99"/>
        <v>0</v>
      </c>
      <c r="P146" s="233" t="str">
        <f t="shared" si="99"/>
        <v/>
      </c>
      <c r="Q146" s="233" t="str">
        <f t="shared" si="99"/>
        <v/>
      </c>
      <c r="R146" s="233" t="str">
        <f t="shared" si="99"/>
        <v/>
      </c>
      <c r="S146" s="233" t="str">
        <f t="shared" si="99"/>
        <v/>
      </c>
      <c r="T146" s="233" t="str">
        <f t="shared" si="99"/>
        <v/>
      </c>
      <c r="U146" s="233" t="str">
        <f t="shared" si="99"/>
        <v/>
      </c>
      <c r="V146" s="233" t="str">
        <f t="shared" si="99"/>
        <v/>
      </c>
      <c r="W146" s="233" t="str">
        <f t="shared" si="99"/>
        <v/>
      </c>
      <c r="X146" s="233" t="str">
        <f t="shared" si="99"/>
        <v/>
      </c>
      <c r="Y146" s="233" t="str">
        <f t="shared" si="99"/>
        <v/>
      </c>
      <c r="Z146" s="233" t="str">
        <f t="shared" si="99"/>
        <v/>
      </c>
      <c r="AA146" s="233" t="str">
        <f t="shared" si="99"/>
        <v/>
      </c>
      <c r="AB146" s="233" t="str">
        <f t="shared" si="99"/>
        <v/>
      </c>
    </row>
    <row r="147" spans="1:28" ht="18" customHeight="1" x14ac:dyDescent="0.25">
      <c r="A147" s="11" t="s">
        <v>284</v>
      </c>
      <c r="B147" s="244"/>
      <c r="C147" s="233">
        <f t="shared" si="73"/>
        <v>0.26041614796915624</v>
      </c>
      <c r="D147" s="233">
        <f t="shared" ref="D147:AB147" si="100">IFERROR((12.011*$AD78/$B46)*D78,"")</f>
        <v>0.23046522950573656</v>
      </c>
      <c r="E147" s="233">
        <f t="shared" si="100"/>
        <v>0.26355789671651891</v>
      </c>
      <c r="F147" s="233">
        <f t="shared" si="100"/>
        <v>0.26544234691744817</v>
      </c>
      <c r="G147" s="233">
        <f t="shared" si="100"/>
        <v>0.27033447195538196</v>
      </c>
      <c r="H147" s="233">
        <f t="shared" si="100"/>
        <v>0.27154054319617493</v>
      </c>
      <c r="I147" s="233">
        <f t="shared" si="100"/>
        <v>0.2706511185863853</v>
      </c>
      <c r="J147" s="233">
        <f t="shared" si="100"/>
        <v>0.27334608185604092</v>
      </c>
      <c r="K147" s="233">
        <f t="shared" si="100"/>
        <v>0.27328299615771157</v>
      </c>
      <c r="L147" s="233">
        <f t="shared" si="100"/>
        <v>0.25094918092895913</v>
      </c>
      <c r="M147" s="233">
        <f t="shared" si="100"/>
        <v>0.25190976025766676</v>
      </c>
      <c r="N147" s="233">
        <f t="shared" si="100"/>
        <v>0.25169553173046855</v>
      </c>
      <c r="O147" s="233">
        <f t="shared" si="100"/>
        <v>0.2518186178213826</v>
      </c>
      <c r="P147" s="233" t="str">
        <f t="shared" si="100"/>
        <v/>
      </c>
      <c r="Q147" s="233" t="str">
        <f t="shared" si="100"/>
        <v/>
      </c>
      <c r="R147" s="233" t="str">
        <f t="shared" si="100"/>
        <v/>
      </c>
      <c r="S147" s="233" t="str">
        <f t="shared" si="100"/>
        <v/>
      </c>
      <c r="T147" s="233" t="str">
        <f t="shared" si="100"/>
        <v/>
      </c>
      <c r="U147" s="233" t="str">
        <f t="shared" si="100"/>
        <v/>
      </c>
      <c r="V147" s="233" t="str">
        <f t="shared" si="100"/>
        <v/>
      </c>
      <c r="W147" s="233" t="str">
        <f t="shared" si="100"/>
        <v/>
      </c>
      <c r="X147" s="233" t="str">
        <f t="shared" si="100"/>
        <v/>
      </c>
      <c r="Y147" s="233" t="str">
        <f t="shared" si="100"/>
        <v/>
      </c>
      <c r="Z147" s="233" t="str">
        <f t="shared" si="100"/>
        <v/>
      </c>
      <c r="AA147" s="233" t="str">
        <f t="shared" si="100"/>
        <v/>
      </c>
      <c r="AB147" s="233" t="str">
        <f t="shared" si="100"/>
        <v/>
      </c>
    </row>
    <row r="148" spans="1:28" ht="18" customHeight="1" x14ac:dyDescent="0.25">
      <c r="A148" s="11" t="s">
        <v>285</v>
      </c>
      <c r="B148" s="244"/>
      <c r="C148" s="233">
        <f t="shared" si="73"/>
        <v>0</v>
      </c>
      <c r="D148" s="233">
        <f t="shared" ref="D148:AB148" si="101">IFERROR((12.011*$AD79/$B47)*D79,"")</f>
        <v>0</v>
      </c>
      <c r="E148" s="233">
        <f t="shared" si="101"/>
        <v>0</v>
      </c>
      <c r="F148" s="233">
        <f t="shared" si="101"/>
        <v>0</v>
      </c>
      <c r="G148" s="233">
        <f t="shared" si="101"/>
        <v>0</v>
      </c>
      <c r="H148" s="233">
        <f t="shared" si="101"/>
        <v>0</v>
      </c>
      <c r="I148" s="233">
        <f t="shared" si="101"/>
        <v>0</v>
      </c>
      <c r="J148" s="233">
        <f t="shared" si="101"/>
        <v>0</v>
      </c>
      <c r="K148" s="233">
        <f t="shared" si="101"/>
        <v>0</v>
      </c>
      <c r="L148" s="233">
        <f t="shared" si="101"/>
        <v>0</v>
      </c>
      <c r="M148" s="233">
        <f t="shared" si="101"/>
        <v>0</v>
      </c>
      <c r="N148" s="233">
        <f t="shared" si="101"/>
        <v>0</v>
      </c>
      <c r="O148" s="233">
        <f t="shared" si="101"/>
        <v>0</v>
      </c>
      <c r="P148" s="233" t="str">
        <f t="shared" si="101"/>
        <v/>
      </c>
      <c r="Q148" s="233" t="str">
        <f t="shared" si="101"/>
        <v/>
      </c>
      <c r="R148" s="233" t="str">
        <f t="shared" si="101"/>
        <v/>
      </c>
      <c r="S148" s="233" t="str">
        <f t="shared" si="101"/>
        <v/>
      </c>
      <c r="T148" s="233" t="str">
        <f t="shared" si="101"/>
        <v/>
      </c>
      <c r="U148" s="233" t="str">
        <f t="shared" si="101"/>
        <v/>
      </c>
      <c r="V148" s="233" t="str">
        <f t="shared" si="101"/>
        <v/>
      </c>
      <c r="W148" s="233" t="str">
        <f t="shared" si="101"/>
        <v/>
      </c>
      <c r="X148" s="233" t="str">
        <f t="shared" si="101"/>
        <v/>
      </c>
      <c r="Y148" s="233" t="str">
        <f t="shared" si="101"/>
        <v/>
      </c>
      <c r="Z148" s="233" t="str">
        <f t="shared" si="101"/>
        <v/>
      </c>
      <c r="AA148" s="233" t="str">
        <f t="shared" si="101"/>
        <v/>
      </c>
      <c r="AB148" s="233" t="str">
        <f t="shared" si="101"/>
        <v/>
      </c>
    </row>
    <row r="149" spans="1:28" ht="18" customHeight="1" x14ac:dyDescent="0.25">
      <c r="A149" s="11" t="s">
        <v>286</v>
      </c>
      <c r="B149" s="244"/>
      <c r="C149" s="233">
        <f t="shared" si="73"/>
        <v>0</v>
      </c>
      <c r="D149" s="233">
        <f t="shared" ref="D149:AB149" si="102">IFERROR((12.011*$AD80/$B48)*D80,"")</f>
        <v>0</v>
      </c>
      <c r="E149" s="233">
        <f t="shared" si="102"/>
        <v>0</v>
      </c>
      <c r="F149" s="233">
        <f t="shared" si="102"/>
        <v>0</v>
      </c>
      <c r="G149" s="233">
        <f t="shared" si="102"/>
        <v>0</v>
      </c>
      <c r="H149" s="233">
        <f t="shared" si="102"/>
        <v>0</v>
      </c>
      <c r="I149" s="233">
        <f t="shared" si="102"/>
        <v>0</v>
      </c>
      <c r="J149" s="233">
        <f t="shared" si="102"/>
        <v>0</v>
      </c>
      <c r="K149" s="233">
        <f t="shared" si="102"/>
        <v>0</v>
      </c>
      <c r="L149" s="233">
        <f t="shared" si="102"/>
        <v>0</v>
      </c>
      <c r="M149" s="233">
        <f t="shared" si="102"/>
        <v>0</v>
      </c>
      <c r="N149" s="233">
        <f t="shared" si="102"/>
        <v>0</v>
      </c>
      <c r="O149" s="233">
        <f t="shared" si="102"/>
        <v>0</v>
      </c>
      <c r="P149" s="233" t="str">
        <f t="shared" si="102"/>
        <v/>
      </c>
      <c r="Q149" s="233" t="str">
        <f t="shared" si="102"/>
        <v/>
      </c>
      <c r="R149" s="233" t="str">
        <f t="shared" si="102"/>
        <v/>
      </c>
      <c r="S149" s="233" t="str">
        <f t="shared" si="102"/>
        <v/>
      </c>
      <c r="T149" s="233" t="str">
        <f t="shared" si="102"/>
        <v/>
      </c>
      <c r="U149" s="233" t="str">
        <f t="shared" si="102"/>
        <v/>
      </c>
      <c r="V149" s="233" t="str">
        <f t="shared" si="102"/>
        <v/>
      </c>
      <c r="W149" s="233" t="str">
        <f t="shared" si="102"/>
        <v/>
      </c>
      <c r="X149" s="233" t="str">
        <f t="shared" si="102"/>
        <v/>
      </c>
      <c r="Y149" s="233" t="str">
        <f t="shared" si="102"/>
        <v/>
      </c>
      <c r="Z149" s="233" t="str">
        <f t="shared" si="102"/>
        <v/>
      </c>
      <c r="AA149" s="233" t="str">
        <f t="shared" si="102"/>
        <v/>
      </c>
      <c r="AB149" s="233" t="str">
        <f t="shared" si="102"/>
        <v/>
      </c>
    </row>
    <row r="150" spans="1:28" ht="18" customHeight="1" x14ac:dyDescent="0.25">
      <c r="A150" s="252" t="s">
        <v>44</v>
      </c>
      <c r="B150" s="244"/>
      <c r="C150" s="253">
        <f>SUM(C121:C149)</f>
        <v>0.35612386913721028</v>
      </c>
      <c r="D150" s="253">
        <f t="shared" ref="D150:AB150" si="103">IF(SUM(D121:D149)=0,"",SUM(D121:D149))</f>
        <v>0.31504261029872221</v>
      </c>
      <c r="E150" s="253">
        <f t="shared" si="103"/>
        <v>0.3616130046339604</v>
      </c>
      <c r="F150" s="253">
        <f t="shared" si="103"/>
        <v>0.36297878084905816</v>
      </c>
      <c r="G150" s="253">
        <f t="shared" si="103"/>
        <v>0.36944953558670696</v>
      </c>
      <c r="H150" s="253">
        <f t="shared" si="103"/>
        <v>0.37358070475876537</v>
      </c>
      <c r="I150" s="253">
        <f t="shared" si="103"/>
        <v>0.36888565852689043</v>
      </c>
      <c r="J150" s="253">
        <f t="shared" si="103"/>
        <v>0.37064791785510798</v>
      </c>
      <c r="K150" s="253">
        <f t="shared" si="103"/>
        <v>0.36899971705827989</v>
      </c>
      <c r="L150" s="253">
        <f t="shared" si="103"/>
        <v>0.3447707005467921</v>
      </c>
      <c r="M150" s="253">
        <f t="shared" si="103"/>
        <v>0.3459408024479439</v>
      </c>
      <c r="N150" s="253">
        <f t="shared" si="103"/>
        <v>0.3456050017901996</v>
      </c>
      <c r="O150" s="253">
        <f t="shared" si="103"/>
        <v>0.34597199529409683</v>
      </c>
      <c r="P150" s="253" t="str">
        <f t="shared" si="103"/>
        <v/>
      </c>
      <c r="Q150" s="253" t="str">
        <f t="shared" si="103"/>
        <v/>
      </c>
      <c r="R150" s="253" t="str">
        <f t="shared" si="103"/>
        <v/>
      </c>
      <c r="S150" s="253" t="str">
        <f t="shared" si="103"/>
        <v/>
      </c>
      <c r="T150" s="253" t="str">
        <f t="shared" si="103"/>
        <v/>
      </c>
      <c r="U150" s="253" t="str">
        <f t="shared" si="103"/>
        <v/>
      </c>
      <c r="V150" s="253" t="str">
        <f t="shared" si="103"/>
        <v/>
      </c>
      <c r="W150" s="253" t="str">
        <f t="shared" si="103"/>
        <v/>
      </c>
      <c r="X150" s="253" t="str">
        <f t="shared" si="103"/>
        <v/>
      </c>
      <c r="Y150" s="253" t="str">
        <f t="shared" si="103"/>
        <v/>
      </c>
      <c r="Z150" s="253" t="str">
        <f t="shared" si="103"/>
        <v/>
      </c>
      <c r="AA150" s="253" t="str">
        <f t="shared" si="103"/>
        <v/>
      </c>
      <c r="AB150" s="253" t="str">
        <f t="shared" si="103"/>
        <v/>
      </c>
    </row>
  </sheetData>
  <sheetProtection sheet="1" objects="1" scenarios="1"/>
  <mergeCells count="1">
    <mergeCell ref="H5:K5"/>
  </mergeCells>
  <conditionalFormatting sqref="B52:AB84">
    <cfRule type="expression" dxfId="124" priority="3">
      <formula>NOT(B52="")</formula>
    </cfRule>
  </conditionalFormatting>
  <conditionalFormatting sqref="B88:AB118">
    <cfRule type="expression" dxfId="123" priority="5">
      <formula>NOT(B88="")</formula>
    </cfRule>
  </conditionalFormatting>
  <conditionalFormatting sqref="C121:C149">
    <cfRule type="expression" dxfId="122" priority="2">
      <formula>NOT(C121="")</formula>
    </cfRule>
  </conditionalFormatting>
  <conditionalFormatting sqref="D15:AB16">
    <cfRule type="expression" dxfId="121" priority="18">
      <formula>NOT(D15="")</formula>
    </cfRule>
  </conditionalFormatting>
  <conditionalFormatting sqref="D16:AB16">
    <cfRule type="expression" dxfId="120" priority="21">
      <formula>OR(D16&lt;$C$5, D16&gt;$C$6)</formula>
    </cfRule>
  </conditionalFormatting>
  <conditionalFormatting sqref="D17:AB18">
    <cfRule type="containsText" dxfId="119" priority="20" operator="containsText" text="ERROR">
      <formula>NOT(ISERROR(SEARCH("ERROR",D17)))</formula>
    </cfRule>
  </conditionalFormatting>
  <conditionalFormatting sqref="D20:AB49 B20:B49">
    <cfRule type="expression" dxfId="118" priority="17">
      <formula>NOT(B20="")</formula>
    </cfRule>
  </conditionalFormatting>
  <conditionalFormatting sqref="D20:AB49">
    <cfRule type="expression" dxfId="117" priority="10">
      <formula>D20&gt;$AE20</formula>
    </cfRule>
  </conditionalFormatting>
  <conditionalFormatting sqref="D120:AB149">
    <cfRule type="expression" dxfId="116" priority="1">
      <formula>NOT(D120="")</formula>
    </cfRule>
  </conditionalFormatting>
  <conditionalFormatting sqref="K6">
    <cfRule type="containsText" dxfId="115" priority="11" operator="containsText" text="Pass">
      <formula>NOT(ISERROR(SEARCH("Pass",K6)))</formula>
    </cfRule>
    <cfRule type="containsText" dxfId="114" priority="12" operator="containsText" text="Fail">
      <formula>NOT(ISERROR(SEARCH("Fail",K6)))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D150"/>
  <sheetViews>
    <sheetView showGridLines="0" topLeftCell="A11" zoomScaleNormal="100" workbookViewId="0">
      <selection activeCell="H28" sqref="H28"/>
    </sheetView>
  </sheetViews>
  <sheetFormatPr defaultColWidth="9.140625" defaultRowHeight="18" customHeight="1" outlineLevelRow="2" x14ac:dyDescent="0.25"/>
  <cols>
    <col min="1" max="1" width="38.42578125" style="1" customWidth="1"/>
    <col min="2" max="2" width="17.85546875" style="1" hidden="1" customWidth="1"/>
    <col min="3" max="4" width="17.85546875" style="1" customWidth="1"/>
    <col min="5" max="7" width="15.42578125" style="1" bestFit="1" customWidth="1"/>
    <col min="8" max="8" width="15.85546875" style="1" bestFit="1" customWidth="1"/>
    <col min="9" max="28" width="15.42578125" style="1" bestFit="1" customWidth="1"/>
    <col min="29" max="30" width="12.85546875" style="1" customWidth="1"/>
    <col min="31" max="32" width="9.140625" style="1" customWidth="1"/>
    <col min="33" max="16384" width="9.140625" style="1"/>
  </cols>
  <sheetData>
    <row r="1" spans="1:29" s="2" customFormat="1" ht="18" customHeight="1" x14ac:dyDescent="0.25">
      <c r="A1" s="9" t="s">
        <v>0</v>
      </c>
      <c r="B1" s="34"/>
      <c r="C1" s="34" t="str">
        <f>'R2_MB'!C1</f>
        <v>R6-C1-S1</v>
      </c>
    </row>
    <row r="2" spans="1:29" s="2" customFormat="1" ht="18" customHeight="1" x14ac:dyDescent="0.25">
      <c r="A2" s="9" t="s">
        <v>1</v>
      </c>
      <c r="B2" s="46"/>
      <c r="C2" s="46" t="str">
        <f>'R2_MB'!C2</f>
        <v/>
      </c>
      <c r="D2" s="45"/>
      <c r="E2" s="45"/>
      <c r="F2" s="45"/>
      <c r="G2" s="45"/>
      <c r="H2" s="45"/>
      <c r="I2" s="45"/>
      <c r="J2" s="44"/>
      <c r="K2" s="141"/>
      <c r="L2" s="141"/>
      <c r="M2" s="141"/>
      <c r="N2" s="141"/>
    </row>
    <row r="3" spans="1:29" s="2" customFormat="1" ht="18" customHeight="1" x14ac:dyDescent="0.25">
      <c r="A3" s="9" t="s">
        <v>3</v>
      </c>
      <c r="B3" s="43"/>
      <c r="C3" s="43">
        <f>Run_Plan!$B$3</f>
        <v>45425.583333333336</v>
      </c>
      <c r="D3" s="91"/>
      <c r="E3" s="9" t="s">
        <v>126</v>
      </c>
      <c r="F3" s="41">
        <f>(C6-C5)*1440</f>
        <v>5.9999999986030161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</row>
    <row r="4" spans="1:29" s="2" customFormat="1" ht="18" customHeight="1" x14ac:dyDescent="0.25">
      <c r="A4" s="9" t="s">
        <v>123</v>
      </c>
      <c r="B4" s="43"/>
      <c r="C4" s="43" t="str">
        <f>Liq!B4</f>
        <v>C1-S1</v>
      </c>
      <c r="D4" s="93"/>
      <c r="E4" s="12" t="s">
        <v>127</v>
      </c>
      <c r="F4" s="40">
        <f>24*((C5+C6)/2-C3)</f>
        <v>17.916666666569654</v>
      </c>
    </row>
    <row r="5" spans="1:29" s="2" customFormat="1" ht="18" customHeight="1" x14ac:dyDescent="0.25">
      <c r="A5" s="9" t="s">
        <v>124</v>
      </c>
      <c r="B5" s="92"/>
      <c r="C5" s="92">
        <f>Liq!B5</f>
        <v>45426.327777777777</v>
      </c>
      <c r="D5" s="91"/>
      <c r="E5" s="79" t="s">
        <v>212</v>
      </c>
      <c r="F5" s="158">
        <f>Gas!D20</f>
        <v>0</v>
      </c>
      <c r="H5" s="257" t="s">
        <v>213</v>
      </c>
      <c r="I5" s="258"/>
      <c r="J5" s="258"/>
      <c r="K5" s="259"/>
    </row>
    <row r="6" spans="1:29" s="2" customFormat="1" ht="18" customHeight="1" x14ac:dyDescent="0.25">
      <c r="A6" s="9" t="s">
        <v>125</v>
      </c>
      <c r="B6" s="43"/>
      <c r="C6" s="43">
        <f>Liq!B6</f>
        <v>45426.331944444442</v>
      </c>
      <c r="D6" s="42"/>
      <c r="E6" s="42"/>
      <c r="H6" s="185">
        <f t="array" ref="H6">MIN(IF(D16:XFD16&lt;&gt;0,D16:XFD16))</f>
        <v>0</v>
      </c>
      <c r="I6" s="185">
        <f t="array" ref="I6">MAX(IF(D16:XFD16&lt;&gt;0,D16:XFD16))</f>
        <v>0</v>
      </c>
      <c r="J6" s="70"/>
      <c r="K6" s="186" t="str">
        <f>IF(AND(H7=TRUE,I7=TRUE),"Pass","Fail")</f>
        <v>Pass</v>
      </c>
    </row>
    <row r="7" spans="1:29" s="2" customFormat="1" ht="18" customHeight="1" x14ac:dyDescent="0.25">
      <c r="H7" s="70" t="b">
        <f>IF(Liq!D3&gt;'R1_MB'!H6,"NA",TRUE)</f>
        <v>1</v>
      </c>
      <c r="I7" s="70" t="b">
        <f>IF(Liq!D6&lt;'R1_MB'!I6,"NA",TRUE)</f>
        <v>1</v>
      </c>
    </row>
    <row r="8" spans="1:29" s="2" customFormat="1" ht="18" customHeight="1" x14ac:dyDescent="0.25">
      <c r="A8" s="9" t="s">
        <v>214</v>
      </c>
      <c r="B8" s="43"/>
      <c r="C8" s="94" t="str">
        <f>Liq!D13</f>
        <v/>
      </c>
      <c r="D8" s="42"/>
      <c r="E8" s="42"/>
    </row>
    <row r="9" spans="1:29" s="2" customFormat="1" ht="18" customHeight="1" x14ac:dyDescent="0.25">
      <c r="A9" s="9" t="s">
        <v>215</v>
      </c>
      <c r="B9" s="43"/>
      <c r="C9" s="94">
        <f>IFERROR(Gas!D12-Gas!D20,"")</f>
        <v>0</v>
      </c>
      <c r="D9" s="142" t="s">
        <v>216</v>
      </c>
      <c r="E9" s="42"/>
    </row>
    <row r="10" spans="1:29" s="2" customFormat="1" ht="18" customHeight="1" x14ac:dyDescent="0.25">
      <c r="A10" s="9" t="s">
        <v>217</v>
      </c>
      <c r="B10" s="43"/>
      <c r="C10" s="94">
        <f>Liq!D40</f>
        <v>0</v>
      </c>
      <c r="D10" s="42"/>
      <c r="E10" s="42"/>
    </row>
    <row r="11" spans="1:29" s="2" customFormat="1" ht="18" customHeight="1" x14ac:dyDescent="0.25">
      <c r="A11" s="9" t="s">
        <v>218</v>
      </c>
      <c r="B11" s="43"/>
      <c r="C11" s="94" t="str">
        <f>Liq!D41</f>
        <v/>
      </c>
      <c r="D11" s="42"/>
      <c r="E11" s="42"/>
    </row>
    <row r="12" spans="1:29" s="2" customFormat="1" ht="18" customHeight="1" x14ac:dyDescent="0.25">
      <c r="A12" s="9" t="s">
        <v>219</v>
      </c>
      <c r="B12" s="43"/>
      <c r="C12" s="94">
        <f>SUM(C52:C74,C76:C80)</f>
        <v>0</v>
      </c>
      <c r="D12" s="142" t="s">
        <v>216</v>
      </c>
      <c r="E12" s="42"/>
    </row>
    <row r="13" spans="1:29" s="2" customFormat="1" ht="18" customHeight="1" x14ac:dyDescent="0.25">
      <c r="A13" s="9" t="s">
        <v>220</v>
      </c>
      <c r="B13" s="43"/>
      <c r="C13" s="36" t="str">
        <f>IFERROR(100*(C12+C11+C10)/(C9+C8),"")</f>
        <v/>
      </c>
      <c r="D13" s="142"/>
      <c r="E13" s="42"/>
    </row>
    <row r="14" spans="1:29" s="2" customFormat="1" ht="18" customHeight="1" x14ac:dyDescent="0.25"/>
    <row r="15" spans="1:29" ht="18" customHeight="1" outlineLevel="1" x14ac:dyDescent="0.25">
      <c r="A15" s="9" t="s">
        <v>221</v>
      </c>
      <c r="B15" s="143"/>
      <c r="C15" s="151"/>
      <c r="D15" s="130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</row>
    <row r="16" spans="1:29" s="134" customFormat="1" ht="18" customHeight="1" outlineLevel="1" x14ac:dyDescent="0.25">
      <c r="A16" s="139" t="s">
        <v>222</v>
      </c>
      <c r="B16" s="144"/>
      <c r="C16" s="152"/>
      <c r="D16" s="168"/>
      <c r="E16" s="169"/>
      <c r="F16" s="168"/>
      <c r="G16" s="169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30" ht="18" customHeight="1" outlineLevel="1" x14ac:dyDescent="0.25">
      <c r="A17" s="9" t="s">
        <v>223</v>
      </c>
      <c r="B17" s="145"/>
      <c r="C17" s="153"/>
      <c r="D17" s="148" t="str">
        <f>IF(D15="", "", (D16-$D$16)*1440)</f>
        <v/>
      </c>
      <c r="E17" s="140" t="str">
        <f>IF(E15="", "", (E16-$D$16)*1440)</f>
        <v/>
      </c>
      <c r="F17" s="140" t="str">
        <f>IF(F15="", "", (F16-$D$16)*1440)</f>
        <v/>
      </c>
      <c r="G17" s="140" t="str">
        <f>IF(G15="", "", (G16-$D$16)*1440)</f>
        <v/>
      </c>
      <c r="H17" s="140"/>
      <c r="I17" s="140" t="str">
        <f t="shared" ref="I17:AB17" si="0">IF(I15="", "", (I16-$D$16)*1440)</f>
        <v/>
      </c>
      <c r="J17" s="140" t="str">
        <f t="shared" si="0"/>
        <v/>
      </c>
      <c r="K17" s="140" t="str">
        <f t="shared" si="0"/>
        <v/>
      </c>
      <c r="L17" s="140" t="str">
        <f t="shared" si="0"/>
        <v/>
      </c>
      <c r="M17" s="140" t="str">
        <f t="shared" si="0"/>
        <v/>
      </c>
      <c r="N17" s="140" t="str">
        <f t="shared" si="0"/>
        <v/>
      </c>
      <c r="O17" s="140" t="str">
        <f t="shared" si="0"/>
        <v/>
      </c>
      <c r="P17" s="140" t="str">
        <f t="shared" si="0"/>
        <v/>
      </c>
      <c r="Q17" s="140" t="str">
        <f t="shared" si="0"/>
        <v/>
      </c>
      <c r="R17" s="140" t="str">
        <f t="shared" si="0"/>
        <v/>
      </c>
      <c r="S17" s="140" t="str">
        <f t="shared" si="0"/>
        <v/>
      </c>
      <c r="T17" s="140" t="str">
        <f t="shared" si="0"/>
        <v/>
      </c>
      <c r="U17" s="140" t="str">
        <f t="shared" si="0"/>
        <v/>
      </c>
      <c r="V17" s="140" t="str">
        <f t="shared" si="0"/>
        <v/>
      </c>
      <c r="W17" s="140" t="str">
        <f t="shared" si="0"/>
        <v/>
      </c>
      <c r="X17" s="140" t="str">
        <f t="shared" si="0"/>
        <v/>
      </c>
      <c r="Y17" s="140" t="str">
        <f t="shared" si="0"/>
        <v/>
      </c>
      <c r="Z17" s="140" t="str">
        <f t="shared" si="0"/>
        <v/>
      </c>
      <c r="AA17" s="140" t="str">
        <f t="shared" si="0"/>
        <v/>
      </c>
      <c r="AB17" s="140" t="str">
        <f t="shared" si="0"/>
        <v/>
      </c>
    </row>
    <row r="18" spans="1:30" ht="18" customHeight="1" outlineLevel="1" x14ac:dyDescent="0.25">
      <c r="A18" s="9" t="s">
        <v>224</v>
      </c>
      <c r="B18" s="146"/>
      <c r="C18" s="154"/>
      <c r="D18" s="149"/>
      <c r="E18" s="140" t="str">
        <f>IF(E17="", "", E17-D17)</f>
        <v/>
      </c>
      <c r="F18" s="140" t="str">
        <f>IF(F17="", "", F17-E17)</f>
        <v/>
      </c>
      <c r="G18" s="140" t="str">
        <f>IF(G17="", "", G17-F17)</f>
        <v/>
      </c>
      <c r="H18" s="140"/>
      <c r="I18" s="140" t="str">
        <f t="shared" ref="I18:AB18" si="1">IF(I17="", "", I17-H17)</f>
        <v/>
      </c>
      <c r="J18" s="140" t="str">
        <f t="shared" si="1"/>
        <v/>
      </c>
      <c r="K18" s="140" t="str">
        <f t="shared" si="1"/>
        <v/>
      </c>
      <c r="L18" s="140" t="str">
        <f t="shared" si="1"/>
        <v/>
      </c>
      <c r="M18" s="140" t="str">
        <f t="shared" si="1"/>
        <v/>
      </c>
      <c r="N18" s="140" t="str">
        <f t="shared" si="1"/>
        <v/>
      </c>
      <c r="O18" s="140" t="str">
        <f t="shared" si="1"/>
        <v/>
      </c>
      <c r="P18" s="140" t="str">
        <f t="shared" si="1"/>
        <v/>
      </c>
      <c r="Q18" s="140" t="str">
        <f t="shared" si="1"/>
        <v/>
      </c>
      <c r="R18" s="140" t="str">
        <f t="shared" si="1"/>
        <v/>
      </c>
      <c r="S18" s="140" t="str">
        <f t="shared" si="1"/>
        <v/>
      </c>
      <c r="T18" s="140" t="str">
        <f t="shared" si="1"/>
        <v/>
      </c>
      <c r="U18" s="140" t="str">
        <f t="shared" si="1"/>
        <v/>
      </c>
      <c r="V18" s="140" t="str">
        <f t="shared" si="1"/>
        <v/>
      </c>
      <c r="W18" s="140" t="str">
        <f t="shared" si="1"/>
        <v/>
      </c>
      <c r="X18" s="140" t="str">
        <f t="shared" si="1"/>
        <v/>
      </c>
      <c r="Y18" s="140" t="str">
        <f t="shared" si="1"/>
        <v/>
      </c>
      <c r="Z18" s="140" t="str">
        <f t="shared" si="1"/>
        <v/>
      </c>
      <c r="AA18" s="140" t="str">
        <f t="shared" si="1"/>
        <v/>
      </c>
      <c r="AB18" s="140" t="str">
        <f t="shared" si="1"/>
        <v/>
      </c>
      <c r="AC18" s="2"/>
      <c r="AD18" s="135"/>
    </row>
    <row r="19" spans="1:30" ht="18" customHeight="1" outlineLevel="1" x14ac:dyDescent="0.25">
      <c r="A19" s="9" t="s">
        <v>225</v>
      </c>
      <c r="B19" s="147" t="s">
        <v>60</v>
      </c>
      <c r="C19" s="155"/>
      <c r="D19" s="16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</row>
    <row r="20" spans="1:30" ht="18" customHeight="1" outlineLevel="1" x14ac:dyDescent="0.25">
      <c r="A20" s="9" t="s">
        <v>34</v>
      </c>
      <c r="B20" s="127">
        <v>16.04</v>
      </c>
      <c r="C20" s="156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204"/>
      <c r="AD20" s="205"/>
    </row>
    <row r="21" spans="1:30" ht="18" customHeight="1" outlineLevel="1" x14ac:dyDescent="0.25">
      <c r="A21" s="9" t="s">
        <v>35</v>
      </c>
      <c r="B21" s="127">
        <v>30.07</v>
      </c>
      <c r="C21" s="156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206"/>
      <c r="AD21" s="207"/>
    </row>
    <row r="22" spans="1:30" ht="18" customHeight="1" outlineLevel="1" x14ac:dyDescent="0.25">
      <c r="A22" s="9" t="s">
        <v>33</v>
      </c>
      <c r="B22" s="127">
        <v>28.05</v>
      </c>
      <c r="C22" s="156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206"/>
      <c r="AD22" s="205"/>
    </row>
    <row r="23" spans="1:30" ht="18" customHeight="1" outlineLevel="1" x14ac:dyDescent="0.25">
      <c r="A23" s="9" t="s">
        <v>57</v>
      </c>
      <c r="B23" s="127">
        <v>44.1</v>
      </c>
      <c r="C23" s="156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206"/>
      <c r="AD23" s="205"/>
    </row>
    <row r="24" spans="1:30" ht="18" customHeight="1" outlineLevel="1" x14ac:dyDescent="0.25">
      <c r="A24" s="9" t="s">
        <v>56</v>
      </c>
      <c r="B24" s="127">
        <v>42.08</v>
      </c>
      <c r="C24" s="156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206"/>
      <c r="AD24" s="205"/>
    </row>
    <row r="25" spans="1:30" ht="18" customHeight="1" outlineLevel="1" x14ac:dyDescent="0.25">
      <c r="A25" s="9" t="s">
        <v>226</v>
      </c>
      <c r="B25" s="127">
        <v>58.12</v>
      </c>
      <c r="C25" s="156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206"/>
      <c r="AD25" s="205"/>
    </row>
    <row r="26" spans="1:30" ht="18" customHeight="1" outlineLevel="1" x14ac:dyDescent="0.25">
      <c r="A26" s="9" t="s">
        <v>227</v>
      </c>
      <c r="B26" s="127">
        <v>72.150000000000006</v>
      </c>
      <c r="C26" s="156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206"/>
      <c r="AD26" s="205"/>
    </row>
    <row r="27" spans="1:30" ht="18" customHeight="1" outlineLevel="1" x14ac:dyDescent="0.25">
      <c r="A27" s="9" t="s">
        <v>228</v>
      </c>
      <c r="B27" s="127">
        <v>86.18</v>
      </c>
      <c r="C27" s="156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206"/>
      <c r="AD27" s="205"/>
    </row>
    <row r="28" spans="1:30" ht="18" customHeight="1" outlineLevel="1" x14ac:dyDescent="0.25">
      <c r="A28" s="9" t="s">
        <v>229</v>
      </c>
      <c r="B28" s="127">
        <v>86.18</v>
      </c>
      <c r="C28" s="156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206"/>
      <c r="AD28" s="205"/>
    </row>
    <row r="29" spans="1:30" ht="18" customHeight="1" outlineLevel="1" x14ac:dyDescent="0.25">
      <c r="A29" s="9" t="s">
        <v>230</v>
      </c>
      <c r="B29" s="127">
        <v>58.12</v>
      </c>
      <c r="C29" s="156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206"/>
      <c r="AD29" s="205"/>
    </row>
    <row r="30" spans="1:30" ht="18" customHeight="1" outlineLevel="1" x14ac:dyDescent="0.25">
      <c r="A30" s="9" t="s">
        <v>231</v>
      </c>
      <c r="B30" s="127">
        <v>72.150000000000006</v>
      </c>
      <c r="C30" s="156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206"/>
      <c r="AD30" s="205"/>
    </row>
    <row r="31" spans="1:30" ht="18" customHeight="1" outlineLevel="1" x14ac:dyDescent="0.25">
      <c r="A31" s="9" t="s">
        <v>232</v>
      </c>
      <c r="B31" s="127">
        <v>86.18</v>
      </c>
      <c r="C31" s="156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206"/>
      <c r="AD31" s="205"/>
    </row>
    <row r="32" spans="1:30" ht="18" customHeight="1" outlineLevel="1" x14ac:dyDescent="0.25">
      <c r="A32" s="9" t="s">
        <v>233</v>
      </c>
      <c r="B32" s="127">
        <v>100.21</v>
      </c>
      <c r="C32" s="156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206"/>
      <c r="AD32" s="205"/>
    </row>
    <row r="33" spans="1:30" ht="18" customHeight="1" outlineLevel="1" x14ac:dyDescent="0.25">
      <c r="A33" s="9" t="s">
        <v>234</v>
      </c>
      <c r="B33" s="127">
        <v>78.11</v>
      </c>
      <c r="C33" s="156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206"/>
      <c r="AD33" s="205"/>
    </row>
    <row r="34" spans="1:30" ht="18" customHeight="1" outlineLevel="1" x14ac:dyDescent="0.25">
      <c r="A34" s="9" t="s">
        <v>235</v>
      </c>
      <c r="B34" s="127">
        <v>92.14</v>
      </c>
      <c r="C34" s="156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206"/>
      <c r="AD34" s="205"/>
    </row>
    <row r="35" spans="1:30" ht="18" customHeight="1" outlineLevel="1" x14ac:dyDescent="0.25">
      <c r="A35" s="9" t="s">
        <v>236</v>
      </c>
      <c r="B35" s="127">
        <v>106.167</v>
      </c>
      <c r="C35" s="156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206"/>
      <c r="AD35" s="205"/>
    </row>
    <row r="36" spans="1:30" ht="18" customHeight="1" outlineLevel="1" x14ac:dyDescent="0.25">
      <c r="A36" s="9" t="s">
        <v>237</v>
      </c>
      <c r="B36" s="127">
        <v>106.167</v>
      </c>
      <c r="C36" s="156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206"/>
      <c r="AD36" s="205"/>
    </row>
    <row r="37" spans="1:30" ht="18" customHeight="1" outlineLevel="1" x14ac:dyDescent="0.25">
      <c r="A37" s="9" t="s">
        <v>238</v>
      </c>
      <c r="B37" s="127">
        <v>106.167</v>
      </c>
      <c r="C37" s="156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206"/>
      <c r="AD37" s="205"/>
    </row>
    <row r="38" spans="1:30" ht="18" customHeight="1" outlineLevel="1" x14ac:dyDescent="0.25">
      <c r="A38" s="9" t="s">
        <v>239</v>
      </c>
      <c r="B38" s="127">
        <v>106.167</v>
      </c>
      <c r="C38" s="156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206"/>
      <c r="AD38" s="205"/>
    </row>
    <row r="39" spans="1:30" ht="18" customHeight="1" outlineLevel="1" x14ac:dyDescent="0.25">
      <c r="A39" s="9" t="s">
        <v>240</v>
      </c>
      <c r="B39" s="127">
        <v>86.18</v>
      </c>
      <c r="C39" s="156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206"/>
      <c r="AD39" s="205"/>
    </row>
    <row r="40" spans="1:30" ht="18" customHeight="1" outlineLevel="1" x14ac:dyDescent="0.25">
      <c r="A40" s="9" t="s">
        <v>241</v>
      </c>
      <c r="B40" s="127">
        <v>114.23</v>
      </c>
      <c r="C40" s="156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206"/>
      <c r="AD40" s="205"/>
    </row>
    <row r="41" spans="1:30" ht="18" customHeight="1" outlineLevel="1" x14ac:dyDescent="0.25">
      <c r="A41" s="9" t="s">
        <v>242</v>
      </c>
      <c r="B41" s="127">
        <v>100.21</v>
      </c>
      <c r="C41" s="156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206"/>
      <c r="AD41" s="205"/>
    </row>
    <row r="42" spans="1:30" ht="18" customHeight="1" outlineLevel="1" x14ac:dyDescent="0.25">
      <c r="A42" s="9" t="s">
        <v>37</v>
      </c>
      <c r="B42" s="127">
        <v>44.01</v>
      </c>
      <c r="C42" s="156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206"/>
      <c r="AD42" s="205"/>
    </row>
    <row r="43" spans="1:30" ht="18" customHeight="1" outlineLevel="1" x14ac:dyDescent="0.25">
      <c r="A43" s="9" t="s">
        <v>39</v>
      </c>
      <c r="B43" s="127">
        <v>39.948</v>
      </c>
      <c r="C43" s="156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206"/>
      <c r="AD43" s="205"/>
    </row>
    <row r="44" spans="1:30" ht="18" customHeight="1" outlineLevel="1" x14ac:dyDescent="0.25">
      <c r="A44" s="9" t="s">
        <v>38</v>
      </c>
      <c r="B44" s="127">
        <v>28.01</v>
      </c>
      <c r="C44" s="156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206"/>
      <c r="AD44" s="205"/>
    </row>
    <row r="45" spans="1:30" ht="18" customHeight="1" outlineLevel="1" x14ac:dyDescent="0.25">
      <c r="A45" s="9" t="s">
        <v>243</v>
      </c>
      <c r="B45" s="127">
        <v>2.016</v>
      </c>
      <c r="C45" s="156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206"/>
      <c r="AD45" s="205"/>
    </row>
    <row r="46" spans="1:30" ht="18" customHeight="1" outlineLevel="1" x14ac:dyDescent="0.25">
      <c r="A46" s="9" t="s">
        <v>55</v>
      </c>
      <c r="B46" s="127">
        <v>26.04</v>
      </c>
      <c r="C46" s="156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206"/>
      <c r="AD46" s="205"/>
    </row>
    <row r="47" spans="1:30" ht="18" customHeight="1" outlineLevel="1" x14ac:dyDescent="0.25">
      <c r="A47" s="9" t="s">
        <v>244</v>
      </c>
      <c r="B47" s="127">
        <v>58.12</v>
      </c>
      <c r="C47" s="156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206"/>
      <c r="AD47" s="205"/>
    </row>
    <row r="48" spans="1:30" ht="18" customHeight="1" outlineLevel="1" x14ac:dyDescent="0.25">
      <c r="A48" s="9" t="s">
        <v>245</v>
      </c>
      <c r="B48" s="127">
        <v>28.013400000000001</v>
      </c>
      <c r="C48" s="156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206"/>
      <c r="AD48" s="205"/>
    </row>
    <row r="49" spans="1:30" ht="18" customHeight="1" outlineLevel="1" x14ac:dyDescent="0.25">
      <c r="A49" s="9"/>
      <c r="B49" s="127"/>
      <c r="C49" s="157"/>
      <c r="D49" s="150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206"/>
      <c r="AD49" s="205"/>
    </row>
    <row r="51" spans="1:30" ht="18" customHeight="1" outlineLevel="1" x14ac:dyDescent="0.25">
      <c r="A51" s="9" t="s">
        <v>246</v>
      </c>
      <c r="B51" s="7"/>
      <c r="C51" s="7" t="s">
        <v>247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208" t="s">
        <v>248</v>
      </c>
      <c r="AD51" s="189" t="s">
        <v>249</v>
      </c>
    </row>
    <row r="52" spans="1:30" ht="18" customHeight="1" outlineLevel="1" x14ac:dyDescent="0.25">
      <c r="A52" s="9" t="str">
        <f t="shared" ref="A52:A81" si="2">IF(A20="", "", CONCATENATE(A20, " [g/h]"))</f>
        <v>Methane [g/h]</v>
      </c>
      <c r="B52" s="102"/>
      <c r="C52" s="103" t="str">
        <f t="shared" ref="C52:C84" si="3">IFERROR(AVERAGE(D52:AB52), "")</f>
        <v/>
      </c>
      <c r="D52" s="103" t="str">
        <f t="shared" ref="D52:AB52" si="4">IF(SUM(D20:D48)=0, "", (D20*$B20/(D$43*$B$43))*$F$5)</f>
        <v/>
      </c>
      <c r="E52" s="103" t="str">
        <f t="shared" si="4"/>
        <v/>
      </c>
      <c r="F52" s="103" t="str">
        <f t="shared" si="4"/>
        <v/>
      </c>
      <c r="G52" s="103" t="str">
        <f t="shared" si="4"/>
        <v/>
      </c>
      <c r="H52" s="103" t="str">
        <f t="shared" si="4"/>
        <v/>
      </c>
      <c r="I52" s="103" t="str">
        <f t="shared" si="4"/>
        <v/>
      </c>
      <c r="J52" s="103" t="str">
        <f t="shared" si="4"/>
        <v/>
      </c>
      <c r="K52" s="103" t="str">
        <f t="shared" si="4"/>
        <v/>
      </c>
      <c r="L52" s="103" t="str">
        <f t="shared" si="4"/>
        <v/>
      </c>
      <c r="M52" s="103" t="str">
        <f t="shared" si="4"/>
        <v/>
      </c>
      <c r="N52" s="103" t="str">
        <f t="shared" si="4"/>
        <v/>
      </c>
      <c r="O52" s="103" t="str">
        <f t="shared" si="4"/>
        <v/>
      </c>
      <c r="P52" s="103" t="str">
        <f t="shared" si="4"/>
        <v/>
      </c>
      <c r="Q52" s="103" t="str">
        <f t="shared" si="4"/>
        <v/>
      </c>
      <c r="R52" s="103" t="str">
        <f t="shared" si="4"/>
        <v/>
      </c>
      <c r="S52" s="103" t="str">
        <f t="shared" si="4"/>
        <v/>
      </c>
      <c r="T52" s="103" t="str">
        <f t="shared" si="4"/>
        <v/>
      </c>
      <c r="U52" s="103" t="str">
        <f t="shared" si="4"/>
        <v/>
      </c>
      <c r="V52" s="103" t="str">
        <f t="shared" si="4"/>
        <v/>
      </c>
      <c r="W52" s="103" t="str">
        <f t="shared" si="4"/>
        <v/>
      </c>
      <c r="X52" s="103" t="str">
        <f t="shared" si="4"/>
        <v/>
      </c>
      <c r="Y52" s="103" t="str">
        <f t="shared" si="4"/>
        <v/>
      </c>
      <c r="Z52" s="103" t="str">
        <f t="shared" si="4"/>
        <v/>
      </c>
      <c r="AA52" s="103" t="str">
        <f t="shared" si="4"/>
        <v/>
      </c>
      <c r="AB52" s="103" t="str">
        <f t="shared" si="4"/>
        <v/>
      </c>
      <c r="AC52" s="192" t="e">
        <f t="shared" ref="AC52:AC80" si="5">(12.011*$AD52/$B20)*$C52</f>
        <v>#VALUE!</v>
      </c>
      <c r="AD52" s="191">
        <v>1</v>
      </c>
    </row>
    <row r="53" spans="1:30" ht="18" customHeight="1" outlineLevel="1" x14ac:dyDescent="0.25">
      <c r="A53" s="9" t="str">
        <f t="shared" si="2"/>
        <v>Ethane [g/h]</v>
      </c>
      <c r="B53" s="102"/>
      <c r="C53" s="103" t="str">
        <f t="shared" si="3"/>
        <v/>
      </c>
      <c r="D53" s="103" t="str">
        <f t="shared" ref="D53:AB53" si="6">IF(SUM(D21:D49)=0, "", (D21*$B21/(D$43*$B$43))*$F$5)</f>
        <v/>
      </c>
      <c r="E53" s="103" t="str">
        <f t="shared" si="6"/>
        <v/>
      </c>
      <c r="F53" s="103" t="str">
        <f t="shared" si="6"/>
        <v/>
      </c>
      <c r="G53" s="103" t="str">
        <f t="shared" si="6"/>
        <v/>
      </c>
      <c r="H53" s="103" t="str">
        <f t="shared" si="6"/>
        <v/>
      </c>
      <c r="I53" s="103" t="str">
        <f t="shared" si="6"/>
        <v/>
      </c>
      <c r="J53" s="103" t="str">
        <f t="shared" si="6"/>
        <v/>
      </c>
      <c r="K53" s="103" t="str">
        <f t="shared" si="6"/>
        <v/>
      </c>
      <c r="L53" s="103" t="str">
        <f t="shared" si="6"/>
        <v/>
      </c>
      <c r="M53" s="103" t="str">
        <f t="shared" si="6"/>
        <v/>
      </c>
      <c r="N53" s="103" t="str">
        <f t="shared" si="6"/>
        <v/>
      </c>
      <c r="O53" s="103" t="str">
        <f t="shared" si="6"/>
        <v/>
      </c>
      <c r="P53" s="103" t="str">
        <f t="shared" si="6"/>
        <v/>
      </c>
      <c r="Q53" s="103" t="str">
        <f t="shared" si="6"/>
        <v/>
      </c>
      <c r="R53" s="103" t="str">
        <f t="shared" si="6"/>
        <v/>
      </c>
      <c r="S53" s="103" t="str">
        <f t="shared" si="6"/>
        <v/>
      </c>
      <c r="T53" s="103" t="str">
        <f t="shared" si="6"/>
        <v/>
      </c>
      <c r="U53" s="103" t="str">
        <f t="shared" si="6"/>
        <v/>
      </c>
      <c r="V53" s="103" t="str">
        <f t="shared" si="6"/>
        <v/>
      </c>
      <c r="W53" s="103" t="str">
        <f t="shared" si="6"/>
        <v/>
      </c>
      <c r="X53" s="103" t="str">
        <f t="shared" si="6"/>
        <v/>
      </c>
      <c r="Y53" s="103" t="str">
        <f t="shared" si="6"/>
        <v/>
      </c>
      <c r="Z53" s="103" t="str">
        <f t="shared" si="6"/>
        <v/>
      </c>
      <c r="AA53" s="103" t="str">
        <f t="shared" si="6"/>
        <v/>
      </c>
      <c r="AB53" s="103" t="str">
        <f t="shared" si="6"/>
        <v/>
      </c>
      <c r="AC53" s="192" t="e">
        <f t="shared" si="5"/>
        <v>#VALUE!</v>
      </c>
      <c r="AD53" s="189">
        <v>2</v>
      </c>
    </row>
    <row r="54" spans="1:30" ht="18" customHeight="1" outlineLevel="1" x14ac:dyDescent="0.25">
      <c r="A54" s="9" t="str">
        <f t="shared" si="2"/>
        <v>Ethylene [g/h]</v>
      </c>
      <c r="B54" s="102"/>
      <c r="C54" s="103" t="str">
        <f t="shared" si="3"/>
        <v/>
      </c>
      <c r="D54" s="103" t="str">
        <f t="shared" ref="D54:AB54" si="7">IF(SUM(D22:D50)=0, "", (D22*$B22/(D$43*$B$43))*$F$5)</f>
        <v/>
      </c>
      <c r="E54" s="103" t="str">
        <f t="shared" si="7"/>
        <v/>
      </c>
      <c r="F54" s="103" t="str">
        <f t="shared" si="7"/>
        <v/>
      </c>
      <c r="G54" s="103" t="str">
        <f t="shared" si="7"/>
        <v/>
      </c>
      <c r="H54" s="103" t="str">
        <f t="shared" si="7"/>
        <v/>
      </c>
      <c r="I54" s="103" t="str">
        <f t="shared" si="7"/>
        <v/>
      </c>
      <c r="J54" s="103" t="str">
        <f t="shared" si="7"/>
        <v/>
      </c>
      <c r="K54" s="103" t="str">
        <f t="shared" si="7"/>
        <v/>
      </c>
      <c r="L54" s="103" t="str">
        <f t="shared" si="7"/>
        <v/>
      </c>
      <c r="M54" s="103" t="str">
        <f t="shared" si="7"/>
        <v/>
      </c>
      <c r="N54" s="103" t="str">
        <f t="shared" si="7"/>
        <v/>
      </c>
      <c r="O54" s="103" t="str">
        <f t="shared" si="7"/>
        <v/>
      </c>
      <c r="P54" s="103" t="str">
        <f t="shared" si="7"/>
        <v/>
      </c>
      <c r="Q54" s="103" t="str">
        <f t="shared" si="7"/>
        <v/>
      </c>
      <c r="R54" s="103" t="str">
        <f t="shared" si="7"/>
        <v/>
      </c>
      <c r="S54" s="103" t="str">
        <f t="shared" si="7"/>
        <v/>
      </c>
      <c r="T54" s="103" t="str">
        <f t="shared" si="7"/>
        <v/>
      </c>
      <c r="U54" s="103" t="str">
        <f t="shared" si="7"/>
        <v/>
      </c>
      <c r="V54" s="103" t="str">
        <f t="shared" si="7"/>
        <v/>
      </c>
      <c r="W54" s="103" t="str">
        <f t="shared" si="7"/>
        <v/>
      </c>
      <c r="X54" s="103" t="str">
        <f t="shared" si="7"/>
        <v/>
      </c>
      <c r="Y54" s="103" t="str">
        <f t="shared" si="7"/>
        <v/>
      </c>
      <c r="Z54" s="103" t="str">
        <f t="shared" si="7"/>
        <v/>
      </c>
      <c r="AA54" s="103" t="str">
        <f t="shared" si="7"/>
        <v/>
      </c>
      <c r="AB54" s="103" t="str">
        <f t="shared" si="7"/>
        <v/>
      </c>
      <c r="AC54" s="192" t="e">
        <f t="shared" si="5"/>
        <v>#VALUE!</v>
      </c>
      <c r="AD54" s="189">
        <v>2</v>
      </c>
    </row>
    <row r="55" spans="1:30" ht="18" customHeight="1" outlineLevel="1" x14ac:dyDescent="0.25">
      <c r="A55" s="9" t="str">
        <f t="shared" si="2"/>
        <v>Propane [g/h]</v>
      </c>
      <c r="B55" s="102"/>
      <c r="C55" s="103" t="str">
        <f t="shared" si="3"/>
        <v/>
      </c>
      <c r="D55" s="103" t="str">
        <f t="shared" ref="D55:AB55" si="8">IF(SUM(D23:D51)=0, "", (D23*$B23/(D$43*$B$43))*$F$5)</f>
        <v/>
      </c>
      <c r="E55" s="103" t="str">
        <f t="shared" si="8"/>
        <v/>
      </c>
      <c r="F55" s="103" t="str">
        <f t="shared" si="8"/>
        <v/>
      </c>
      <c r="G55" s="103" t="str">
        <f t="shared" si="8"/>
        <v/>
      </c>
      <c r="H55" s="103" t="str">
        <f t="shared" si="8"/>
        <v/>
      </c>
      <c r="I55" s="103" t="str">
        <f t="shared" si="8"/>
        <v/>
      </c>
      <c r="J55" s="103" t="str">
        <f t="shared" si="8"/>
        <v/>
      </c>
      <c r="K55" s="103" t="str">
        <f t="shared" si="8"/>
        <v/>
      </c>
      <c r="L55" s="103" t="str">
        <f t="shared" si="8"/>
        <v/>
      </c>
      <c r="M55" s="103" t="str">
        <f t="shared" si="8"/>
        <v/>
      </c>
      <c r="N55" s="103" t="str">
        <f t="shared" si="8"/>
        <v/>
      </c>
      <c r="O55" s="103" t="str">
        <f t="shared" si="8"/>
        <v/>
      </c>
      <c r="P55" s="103" t="str">
        <f t="shared" si="8"/>
        <v/>
      </c>
      <c r="Q55" s="103" t="str">
        <f t="shared" si="8"/>
        <v/>
      </c>
      <c r="R55" s="103" t="str">
        <f t="shared" si="8"/>
        <v/>
      </c>
      <c r="S55" s="103" t="str">
        <f t="shared" si="8"/>
        <v/>
      </c>
      <c r="T55" s="103" t="str">
        <f t="shared" si="8"/>
        <v/>
      </c>
      <c r="U55" s="103" t="str">
        <f t="shared" si="8"/>
        <v/>
      </c>
      <c r="V55" s="103" t="str">
        <f t="shared" si="8"/>
        <v/>
      </c>
      <c r="W55" s="103" t="str">
        <f t="shared" si="8"/>
        <v/>
      </c>
      <c r="X55" s="103" t="str">
        <f t="shared" si="8"/>
        <v/>
      </c>
      <c r="Y55" s="103" t="str">
        <f t="shared" si="8"/>
        <v/>
      </c>
      <c r="Z55" s="103" t="str">
        <f t="shared" si="8"/>
        <v/>
      </c>
      <c r="AA55" s="103" t="str">
        <f t="shared" si="8"/>
        <v/>
      </c>
      <c r="AB55" s="103" t="str">
        <f t="shared" si="8"/>
        <v/>
      </c>
      <c r="AC55" s="192" t="e">
        <f t="shared" si="5"/>
        <v>#VALUE!</v>
      </c>
      <c r="AD55" s="189">
        <v>3</v>
      </c>
    </row>
    <row r="56" spans="1:30" ht="18" customHeight="1" outlineLevel="1" x14ac:dyDescent="0.25">
      <c r="A56" s="9" t="str">
        <f t="shared" si="2"/>
        <v>Propylene [g/h]</v>
      </c>
      <c r="B56" s="102"/>
      <c r="C56" s="103" t="str">
        <f t="shared" si="3"/>
        <v/>
      </c>
      <c r="D56" s="103" t="str">
        <f t="shared" ref="D56:AB56" si="9">IF(SUM(D24:D52)=0, "", (D24*$B24/(D$43*$B$43))*$F$5)</f>
        <v/>
      </c>
      <c r="E56" s="103" t="str">
        <f t="shared" si="9"/>
        <v/>
      </c>
      <c r="F56" s="103" t="str">
        <f t="shared" si="9"/>
        <v/>
      </c>
      <c r="G56" s="103" t="str">
        <f t="shared" si="9"/>
        <v/>
      </c>
      <c r="H56" s="103" t="str">
        <f t="shared" si="9"/>
        <v/>
      </c>
      <c r="I56" s="103" t="str">
        <f t="shared" si="9"/>
        <v/>
      </c>
      <c r="J56" s="103" t="str">
        <f t="shared" si="9"/>
        <v/>
      </c>
      <c r="K56" s="103" t="str">
        <f t="shared" si="9"/>
        <v/>
      </c>
      <c r="L56" s="103" t="str">
        <f t="shared" si="9"/>
        <v/>
      </c>
      <c r="M56" s="103" t="str">
        <f t="shared" si="9"/>
        <v/>
      </c>
      <c r="N56" s="103" t="str">
        <f t="shared" si="9"/>
        <v/>
      </c>
      <c r="O56" s="103" t="str">
        <f t="shared" si="9"/>
        <v/>
      </c>
      <c r="P56" s="103" t="str">
        <f t="shared" si="9"/>
        <v/>
      </c>
      <c r="Q56" s="103" t="str">
        <f t="shared" si="9"/>
        <v/>
      </c>
      <c r="R56" s="103" t="str">
        <f t="shared" si="9"/>
        <v/>
      </c>
      <c r="S56" s="103" t="str">
        <f t="shared" si="9"/>
        <v/>
      </c>
      <c r="T56" s="103" t="str">
        <f t="shared" si="9"/>
        <v/>
      </c>
      <c r="U56" s="103" t="str">
        <f t="shared" si="9"/>
        <v/>
      </c>
      <c r="V56" s="103" t="str">
        <f t="shared" si="9"/>
        <v/>
      </c>
      <c r="W56" s="103" t="str">
        <f t="shared" si="9"/>
        <v/>
      </c>
      <c r="X56" s="103" t="str">
        <f t="shared" si="9"/>
        <v/>
      </c>
      <c r="Y56" s="103" t="str">
        <f t="shared" si="9"/>
        <v/>
      </c>
      <c r="Z56" s="103" t="str">
        <f t="shared" si="9"/>
        <v/>
      </c>
      <c r="AA56" s="103" t="str">
        <f t="shared" si="9"/>
        <v/>
      </c>
      <c r="AB56" s="103" t="str">
        <f t="shared" si="9"/>
        <v/>
      </c>
      <c r="AC56" s="192" t="e">
        <f t="shared" si="5"/>
        <v>#VALUE!</v>
      </c>
      <c r="AD56" s="189">
        <v>3</v>
      </c>
    </row>
    <row r="57" spans="1:30" ht="18" customHeight="1" outlineLevel="1" x14ac:dyDescent="0.25">
      <c r="A57" s="9" t="str">
        <f t="shared" si="2"/>
        <v>Butane [g/h]</v>
      </c>
      <c r="B57" s="102"/>
      <c r="C57" s="103" t="str">
        <f t="shared" si="3"/>
        <v/>
      </c>
      <c r="D57" s="103" t="str">
        <f t="shared" ref="D57:AB57" si="10">IF(SUM(D25:D53)=0, "", (D25*$B25/(D$43*$B$43))*$F$5)</f>
        <v/>
      </c>
      <c r="E57" s="103" t="str">
        <f t="shared" si="10"/>
        <v/>
      </c>
      <c r="F57" s="103" t="str">
        <f t="shared" si="10"/>
        <v/>
      </c>
      <c r="G57" s="103" t="str">
        <f t="shared" si="10"/>
        <v/>
      </c>
      <c r="H57" s="103" t="str">
        <f t="shared" si="10"/>
        <v/>
      </c>
      <c r="I57" s="103" t="str">
        <f t="shared" si="10"/>
        <v/>
      </c>
      <c r="J57" s="103" t="str">
        <f t="shared" si="10"/>
        <v/>
      </c>
      <c r="K57" s="103" t="str">
        <f t="shared" si="10"/>
        <v/>
      </c>
      <c r="L57" s="103" t="str">
        <f t="shared" si="10"/>
        <v/>
      </c>
      <c r="M57" s="103" t="str">
        <f t="shared" si="10"/>
        <v/>
      </c>
      <c r="N57" s="103" t="str">
        <f t="shared" si="10"/>
        <v/>
      </c>
      <c r="O57" s="103" t="str">
        <f t="shared" si="10"/>
        <v/>
      </c>
      <c r="P57" s="103" t="str">
        <f t="shared" si="10"/>
        <v/>
      </c>
      <c r="Q57" s="103" t="str">
        <f t="shared" si="10"/>
        <v/>
      </c>
      <c r="R57" s="103" t="str">
        <f t="shared" si="10"/>
        <v/>
      </c>
      <c r="S57" s="103" t="str">
        <f t="shared" si="10"/>
        <v/>
      </c>
      <c r="T57" s="103" t="str">
        <f t="shared" si="10"/>
        <v/>
      </c>
      <c r="U57" s="103" t="str">
        <f t="shared" si="10"/>
        <v/>
      </c>
      <c r="V57" s="103" t="str">
        <f t="shared" si="10"/>
        <v/>
      </c>
      <c r="W57" s="103" t="str">
        <f t="shared" si="10"/>
        <v/>
      </c>
      <c r="X57" s="103" t="str">
        <f t="shared" si="10"/>
        <v/>
      </c>
      <c r="Y57" s="103" t="str">
        <f t="shared" si="10"/>
        <v/>
      </c>
      <c r="Z57" s="103" t="str">
        <f t="shared" si="10"/>
        <v/>
      </c>
      <c r="AA57" s="103" t="str">
        <f t="shared" si="10"/>
        <v/>
      </c>
      <c r="AB57" s="103" t="str">
        <f t="shared" si="10"/>
        <v/>
      </c>
      <c r="AC57" s="192" t="e">
        <f t="shared" si="5"/>
        <v>#VALUE!</v>
      </c>
      <c r="AD57" s="189">
        <v>4</v>
      </c>
    </row>
    <row r="58" spans="1:30" ht="18" customHeight="1" outlineLevel="1" x14ac:dyDescent="0.25">
      <c r="A58" s="9" t="str">
        <f t="shared" si="2"/>
        <v>Pentane [g/h]</v>
      </c>
      <c r="B58" s="102"/>
      <c r="C58" s="103" t="str">
        <f t="shared" si="3"/>
        <v/>
      </c>
      <c r="D58" s="103" t="str">
        <f t="shared" ref="D58:AB58" si="11">IF(SUM(D26:D54)=0, "", (D26*$B26/(D$43*$B$43))*$F$5)</f>
        <v/>
      </c>
      <c r="E58" s="103" t="str">
        <f t="shared" si="11"/>
        <v/>
      </c>
      <c r="F58" s="103" t="str">
        <f t="shared" si="11"/>
        <v/>
      </c>
      <c r="G58" s="103" t="str">
        <f t="shared" si="11"/>
        <v/>
      </c>
      <c r="H58" s="103" t="str">
        <f t="shared" si="11"/>
        <v/>
      </c>
      <c r="I58" s="103" t="str">
        <f t="shared" si="11"/>
        <v/>
      </c>
      <c r="J58" s="103" t="str">
        <f t="shared" si="11"/>
        <v/>
      </c>
      <c r="K58" s="103" t="str">
        <f t="shared" si="11"/>
        <v/>
      </c>
      <c r="L58" s="103" t="str">
        <f t="shared" si="11"/>
        <v/>
      </c>
      <c r="M58" s="103" t="str">
        <f t="shared" si="11"/>
        <v/>
      </c>
      <c r="N58" s="103" t="str">
        <f t="shared" si="11"/>
        <v/>
      </c>
      <c r="O58" s="103" t="str">
        <f t="shared" si="11"/>
        <v/>
      </c>
      <c r="P58" s="103" t="str">
        <f t="shared" si="11"/>
        <v/>
      </c>
      <c r="Q58" s="103" t="str">
        <f t="shared" si="11"/>
        <v/>
      </c>
      <c r="R58" s="103" t="str">
        <f t="shared" si="11"/>
        <v/>
      </c>
      <c r="S58" s="103" t="str">
        <f t="shared" si="11"/>
        <v/>
      </c>
      <c r="T58" s="103" t="str">
        <f t="shared" si="11"/>
        <v/>
      </c>
      <c r="U58" s="103" t="str">
        <f t="shared" si="11"/>
        <v/>
      </c>
      <c r="V58" s="103" t="str">
        <f t="shared" si="11"/>
        <v/>
      </c>
      <c r="W58" s="103" t="str">
        <f t="shared" si="11"/>
        <v/>
      </c>
      <c r="X58" s="103" t="str">
        <f t="shared" si="11"/>
        <v/>
      </c>
      <c r="Y58" s="103" t="str">
        <f t="shared" si="11"/>
        <v/>
      </c>
      <c r="Z58" s="103" t="str">
        <f t="shared" si="11"/>
        <v/>
      </c>
      <c r="AA58" s="103" t="str">
        <f t="shared" si="11"/>
        <v/>
      </c>
      <c r="AB58" s="103" t="str">
        <f t="shared" si="11"/>
        <v/>
      </c>
      <c r="AC58" s="192" t="e">
        <f t="shared" si="5"/>
        <v>#VALUE!</v>
      </c>
      <c r="AD58" s="189">
        <v>5</v>
      </c>
    </row>
    <row r="59" spans="1:30" ht="18" customHeight="1" outlineLevel="1" x14ac:dyDescent="0.25">
      <c r="A59" s="9" t="str">
        <f t="shared" si="2"/>
        <v>C6s (Isomers of hexane?) [g/h]</v>
      </c>
      <c r="B59" s="102"/>
      <c r="C59" s="103" t="str">
        <f t="shared" si="3"/>
        <v/>
      </c>
      <c r="D59" s="103" t="str">
        <f t="shared" ref="D59:AB59" si="12">IF(SUM(D27:D55)=0, "", (D27*$B27/(D$43*$B$43))*$F$5)</f>
        <v/>
      </c>
      <c r="E59" s="103" t="str">
        <f t="shared" si="12"/>
        <v/>
      </c>
      <c r="F59" s="103" t="str">
        <f t="shared" si="12"/>
        <v/>
      </c>
      <c r="G59" s="103" t="str">
        <f t="shared" si="12"/>
        <v/>
      </c>
      <c r="H59" s="103" t="str">
        <f t="shared" si="12"/>
        <v/>
      </c>
      <c r="I59" s="103" t="str">
        <f t="shared" si="12"/>
        <v/>
      </c>
      <c r="J59" s="103" t="str">
        <f t="shared" si="12"/>
        <v/>
      </c>
      <c r="K59" s="103" t="str">
        <f t="shared" si="12"/>
        <v/>
      </c>
      <c r="L59" s="103" t="str">
        <f t="shared" si="12"/>
        <v/>
      </c>
      <c r="M59" s="103" t="str">
        <f t="shared" si="12"/>
        <v/>
      </c>
      <c r="N59" s="103" t="str">
        <f t="shared" si="12"/>
        <v/>
      </c>
      <c r="O59" s="103" t="str">
        <f t="shared" si="12"/>
        <v/>
      </c>
      <c r="P59" s="103" t="str">
        <f t="shared" si="12"/>
        <v/>
      </c>
      <c r="Q59" s="103" t="str">
        <f t="shared" si="12"/>
        <v/>
      </c>
      <c r="R59" s="103" t="str">
        <f t="shared" si="12"/>
        <v/>
      </c>
      <c r="S59" s="103" t="str">
        <f t="shared" si="12"/>
        <v/>
      </c>
      <c r="T59" s="103" t="str">
        <f t="shared" si="12"/>
        <v/>
      </c>
      <c r="U59" s="103" t="str">
        <f t="shared" si="12"/>
        <v/>
      </c>
      <c r="V59" s="103" t="str">
        <f t="shared" si="12"/>
        <v/>
      </c>
      <c r="W59" s="103" t="str">
        <f t="shared" si="12"/>
        <v/>
      </c>
      <c r="X59" s="103" t="str">
        <f t="shared" si="12"/>
        <v/>
      </c>
      <c r="Y59" s="103" t="str">
        <f t="shared" si="12"/>
        <v/>
      </c>
      <c r="Z59" s="103" t="str">
        <f t="shared" si="12"/>
        <v/>
      </c>
      <c r="AA59" s="103" t="str">
        <f t="shared" si="12"/>
        <v/>
      </c>
      <c r="AB59" s="103" t="str">
        <f t="shared" si="12"/>
        <v/>
      </c>
      <c r="AC59" s="192" t="e">
        <f t="shared" si="5"/>
        <v>#VALUE!</v>
      </c>
      <c r="AD59" s="189">
        <v>6</v>
      </c>
    </row>
    <row r="60" spans="1:30" ht="18" customHeight="1" outlineLevel="1" x14ac:dyDescent="0.25">
      <c r="A60" s="9" t="str">
        <f t="shared" si="2"/>
        <v>Hexane [g/h]</v>
      </c>
      <c r="B60" s="102"/>
      <c r="C60" s="103" t="str">
        <f t="shared" si="3"/>
        <v/>
      </c>
      <c r="D60" s="103" t="str">
        <f t="shared" ref="D60:AB60" si="13">IF(SUM(D28:D56)=0, "", (D28*$B28/(D$43*$B$43))*$F$5)</f>
        <v/>
      </c>
      <c r="E60" s="103" t="str">
        <f t="shared" si="13"/>
        <v/>
      </c>
      <c r="F60" s="103" t="str">
        <f t="shared" si="13"/>
        <v/>
      </c>
      <c r="G60" s="103" t="str">
        <f t="shared" si="13"/>
        <v/>
      </c>
      <c r="H60" s="103" t="str">
        <f t="shared" si="13"/>
        <v/>
      </c>
      <c r="I60" s="103" t="str">
        <f t="shared" si="13"/>
        <v/>
      </c>
      <c r="J60" s="103" t="str">
        <f t="shared" si="13"/>
        <v/>
      </c>
      <c r="K60" s="103" t="str">
        <f t="shared" si="13"/>
        <v/>
      </c>
      <c r="L60" s="103" t="str">
        <f t="shared" si="13"/>
        <v/>
      </c>
      <c r="M60" s="103" t="str">
        <f t="shared" si="13"/>
        <v/>
      </c>
      <c r="N60" s="103" t="str">
        <f t="shared" si="13"/>
        <v/>
      </c>
      <c r="O60" s="103" t="str">
        <f t="shared" si="13"/>
        <v/>
      </c>
      <c r="P60" s="103" t="str">
        <f t="shared" si="13"/>
        <v/>
      </c>
      <c r="Q60" s="103" t="str">
        <f t="shared" si="13"/>
        <v/>
      </c>
      <c r="R60" s="103" t="str">
        <f t="shared" si="13"/>
        <v/>
      </c>
      <c r="S60" s="103" t="str">
        <f t="shared" si="13"/>
        <v/>
      </c>
      <c r="T60" s="103" t="str">
        <f t="shared" si="13"/>
        <v/>
      </c>
      <c r="U60" s="103" t="str">
        <f t="shared" si="13"/>
        <v/>
      </c>
      <c r="V60" s="103" t="str">
        <f t="shared" si="13"/>
        <v/>
      </c>
      <c r="W60" s="103" t="str">
        <f t="shared" si="13"/>
        <v/>
      </c>
      <c r="X60" s="103" t="str">
        <f t="shared" si="13"/>
        <v/>
      </c>
      <c r="Y60" s="103" t="str">
        <f t="shared" si="13"/>
        <v/>
      </c>
      <c r="Z60" s="103" t="str">
        <f t="shared" si="13"/>
        <v/>
      </c>
      <c r="AA60" s="103" t="str">
        <f t="shared" si="13"/>
        <v/>
      </c>
      <c r="AB60" s="103" t="str">
        <f t="shared" si="13"/>
        <v/>
      </c>
      <c r="AC60" s="192" t="e">
        <f t="shared" si="5"/>
        <v>#VALUE!</v>
      </c>
      <c r="AD60" s="189">
        <v>6</v>
      </c>
    </row>
    <row r="61" spans="1:30" ht="18" customHeight="1" outlineLevel="1" x14ac:dyDescent="0.25">
      <c r="A61" s="9" t="str">
        <f t="shared" si="2"/>
        <v>C4 [g/h]</v>
      </c>
      <c r="B61" s="102"/>
      <c r="C61" s="103" t="str">
        <f t="shared" si="3"/>
        <v/>
      </c>
      <c r="D61" s="103" t="str">
        <f t="shared" ref="D61:AB61" si="14">IF(SUM(D29:D57)=0, "", (D29*$B29/(D$43*$B$43))*$F$5)</f>
        <v/>
      </c>
      <c r="E61" s="103" t="str">
        <f t="shared" si="14"/>
        <v/>
      </c>
      <c r="F61" s="103" t="str">
        <f t="shared" si="14"/>
        <v/>
      </c>
      <c r="G61" s="103" t="str">
        <f t="shared" si="14"/>
        <v/>
      </c>
      <c r="H61" s="103" t="str">
        <f t="shared" si="14"/>
        <v/>
      </c>
      <c r="I61" s="103" t="str">
        <f t="shared" si="14"/>
        <v/>
      </c>
      <c r="J61" s="103" t="str">
        <f t="shared" si="14"/>
        <v/>
      </c>
      <c r="K61" s="103" t="str">
        <f t="shared" si="14"/>
        <v/>
      </c>
      <c r="L61" s="103" t="str">
        <f t="shared" si="14"/>
        <v/>
      </c>
      <c r="M61" s="103" t="str">
        <f t="shared" si="14"/>
        <v/>
      </c>
      <c r="N61" s="103" t="str">
        <f t="shared" si="14"/>
        <v/>
      </c>
      <c r="O61" s="103" t="str">
        <f t="shared" si="14"/>
        <v/>
      </c>
      <c r="P61" s="103" t="str">
        <f t="shared" si="14"/>
        <v/>
      </c>
      <c r="Q61" s="103" t="str">
        <f t="shared" si="14"/>
        <v/>
      </c>
      <c r="R61" s="103" t="str">
        <f t="shared" si="14"/>
        <v/>
      </c>
      <c r="S61" s="103" t="str">
        <f t="shared" si="14"/>
        <v/>
      </c>
      <c r="T61" s="103" t="str">
        <f t="shared" si="14"/>
        <v/>
      </c>
      <c r="U61" s="103" t="str">
        <f t="shared" si="14"/>
        <v/>
      </c>
      <c r="V61" s="103" t="str">
        <f t="shared" si="14"/>
        <v/>
      </c>
      <c r="W61" s="103" t="str">
        <f t="shared" si="14"/>
        <v/>
      </c>
      <c r="X61" s="103" t="str">
        <f t="shared" si="14"/>
        <v/>
      </c>
      <c r="Y61" s="103" t="str">
        <f t="shared" si="14"/>
        <v/>
      </c>
      <c r="Z61" s="103" t="str">
        <f t="shared" si="14"/>
        <v/>
      </c>
      <c r="AA61" s="103" t="str">
        <f t="shared" si="14"/>
        <v/>
      </c>
      <c r="AB61" s="103" t="str">
        <f t="shared" si="14"/>
        <v/>
      </c>
      <c r="AC61" s="192" t="e">
        <f t="shared" si="5"/>
        <v>#VALUE!</v>
      </c>
      <c r="AD61" s="189">
        <v>4</v>
      </c>
    </row>
    <row r="62" spans="1:30" ht="18" customHeight="1" outlineLevel="1" x14ac:dyDescent="0.25">
      <c r="A62" s="9" t="str">
        <f t="shared" si="2"/>
        <v>C5 [g/h]</v>
      </c>
      <c r="B62" s="102"/>
      <c r="C62" s="103" t="str">
        <f t="shared" si="3"/>
        <v/>
      </c>
      <c r="D62" s="103" t="str">
        <f t="shared" ref="D62:AB62" si="15">IF(SUM(D30:D58)=0, "", (D30*$B30/(D$43*$B$43))*$F$5)</f>
        <v/>
      </c>
      <c r="E62" s="103" t="str">
        <f t="shared" si="15"/>
        <v/>
      </c>
      <c r="F62" s="103" t="str">
        <f t="shared" si="15"/>
        <v/>
      </c>
      <c r="G62" s="103" t="str">
        <f t="shared" si="15"/>
        <v/>
      </c>
      <c r="H62" s="103" t="str">
        <f t="shared" si="15"/>
        <v/>
      </c>
      <c r="I62" s="103" t="str">
        <f t="shared" si="15"/>
        <v/>
      </c>
      <c r="J62" s="103" t="str">
        <f t="shared" si="15"/>
        <v/>
      </c>
      <c r="K62" s="103" t="str">
        <f t="shared" si="15"/>
        <v/>
      </c>
      <c r="L62" s="103" t="str">
        <f t="shared" si="15"/>
        <v/>
      </c>
      <c r="M62" s="103" t="str">
        <f t="shared" si="15"/>
        <v/>
      </c>
      <c r="N62" s="103" t="str">
        <f t="shared" si="15"/>
        <v/>
      </c>
      <c r="O62" s="103" t="str">
        <f t="shared" si="15"/>
        <v/>
      </c>
      <c r="P62" s="103" t="str">
        <f t="shared" si="15"/>
        <v/>
      </c>
      <c r="Q62" s="103" t="str">
        <f t="shared" si="15"/>
        <v/>
      </c>
      <c r="R62" s="103" t="str">
        <f t="shared" si="15"/>
        <v/>
      </c>
      <c r="S62" s="103" t="str">
        <f t="shared" si="15"/>
        <v/>
      </c>
      <c r="T62" s="103" t="str">
        <f t="shared" si="15"/>
        <v/>
      </c>
      <c r="U62" s="103" t="str">
        <f t="shared" si="15"/>
        <v/>
      </c>
      <c r="V62" s="103" t="str">
        <f t="shared" si="15"/>
        <v/>
      </c>
      <c r="W62" s="103" t="str">
        <f t="shared" si="15"/>
        <v/>
      </c>
      <c r="X62" s="103" t="str">
        <f t="shared" si="15"/>
        <v/>
      </c>
      <c r="Y62" s="103" t="str">
        <f t="shared" si="15"/>
        <v/>
      </c>
      <c r="Z62" s="103" t="str">
        <f t="shared" si="15"/>
        <v/>
      </c>
      <c r="AA62" s="103" t="str">
        <f t="shared" si="15"/>
        <v/>
      </c>
      <c r="AB62" s="103" t="str">
        <f t="shared" si="15"/>
        <v/>
      </c>
      <c r="AC62" s="192" t="e">
        <f t="shared" si="5"/>
        <v>#VALUE!</v>
      </c>
      <c r="AD62" s="189">
        <v>5</v>
      </c>
    </row>
    <row r="63" spans="1:30" ht="18" customHeight="1" outlineLevel="1" x14ac:dyDescent="0.25">
      <c r="A63" s="9" t="str">
        <f t="shared" si="2"/>
        <v>C6 [g/h]</v>
      </c>
      <c r="B63" s="102"/>
      <c r="C63" s="103" t="str">
        <f t="shared" si="3"/>
        <v/>
      </c>
      <c r="D63" s="103" t="str">
        <f t="shared" ref="D63:AB63" si="16">IF(SUM(D31:D59)=0, "", (D31*$B31/(D$43*$B$43))*$F$5)</f>
        <v/>
      </c>
      <c r="E63" s="103" t="str">
        <f t="shared" si="16"/>
        <v/>
      </c>
      <c r="F63" s="103" t="str">
        <f t="shared" si="16"/>
        <v/>
      </c>
      <c r="G63" s="103" t="str">
        <f t="shared" si="16"/>
        <v/>
      </c>
      <c r="H63" s="103" t="str">
        <f t="shared" si="16"/>
        <v/>
      </c>
      <c r="I63" s="103" t="str">
        <f t="shared" si="16"/>
        <v/>
      </c>
      <c r="J63" s="103" t="str">
        <f t="shared" si="16"/>
        <v/>
      </c>
      <c r="K63" s="103" t="str">
        <f t="shared" si="16"/>
        <v/>
      </c>
      <c r="L63" s="103" t="str">
        <f t="shared" si="16"/>
        <v/>
      </c>
      <c r="M63" s="103" t="str">
        <f t="shared" si="16"/>
        <v/>
      </c>
      <c r="N63" s="103" t="str">
        <f t="shared" si="16"/>
        <v/>
      </c>
      <c r="O63" s="103" t="str">
        <f t="shared" si="16"/>
        <v/>
      </c>
      <c r="P63" s="103" t="str">
        <f t="shared" si="16"/>
        <v/>
      </c>
      <c r="Q63" s="103" t="str">
        <f t="shared" si="16"/>
        <v/>
      </c>
      <c r="R63" s="103" t="str">
        <f t="shared" si="16"/>
        <v/>
      </c>
      <c r="S63" s="103" t="str">
        <f t="shared" si="16"/>
        <v/>
      </c>
      <c r="T63" s="103" t="str">
        <f t="shared" si="16"/>
        <v/>
      </c>
      <c r="U63" s="103" t="str">
        <f t="shared" si="16"/>
        <v/>
      </c>
      <c r="V63" s="103" t="str">
        <f t="shared" si="16"/>
        <v/>
      </c>
      <c r="W63" s="103" t="str">
        <f t="shared" si="16"/>
        <v/>
      </c>
      <c r="X63" s="103" t="str">
        <f t="shared" si="16"/>
        <v/>
      </c>
      <c r="Y63" s="103" t="str">
        <f t="shared" si="16"/>
        <v/>
      </c>
      <c r="Z63" s="103" t="str">
        <f t="shared" si="16"/>
        <v/>
      </c>
      <c r="AA63" s="103" t="str">
        <f t="shared" si="16"/>
        <v/>
      </c>
      <c r="AB63" s="103" t="str">
        <f t="shared" si="16"/>
        <v/>
      </c>
      <c r="AC63" s="192" t="e">
        <f t="shared" si="5"/>
        <v>#VALUE!</v>
      </c>
      <c r="AD63" s="189">
        <v>6</v>
      </c>
    </row>
    <row r="64" spans="1:30" ht="18" customHeight="1" outlineLevel="1" x14ac:dyDescent="0.25">
      <c r="A64" s="9" t="str">
        <f t="shared" si="2"/>
        <v>C6 Above [g/h]</v>
      </c>
      <c r="B64" s="102"/>
      <c r="C64" s="103" t="str">
        <f t="shared" si="3"/>
        <v/>
      </c>
      <c r="D64" s="103" t="str">
        <f t="shared" ref="D64:AB64" si="17">IF(SUM(D32:D60)=0, "", (D32*$B32/(D$43*$B$43))*$F$5)</f>
        <v/>
      </c>
      <c r="E64" s="103" t="str">
        <f t="shared" si="17"/>
        <v/>
      </c>
      <c r="F64" s="103" t="str">
        <f t="shared" si="17"/>
        <v/>
      </c>
      <c r="G64" s="103" t="str">
        <f t="shared" si="17"/>
        <v/>
      </c>
      <c r="H64" s="103" t="str">
        <f t="shared" si="17"/>
        <v/>
      </c>
      <c r="I64" s="103" t="str">
        <f t="shared" si="17"/>
        <v/>
      </c>
      <c r="J64" s="103" t="str">
        <f t="shared" si="17"/>
        <v/>
      </c>
      <c r="K64" s="103" t="str">
        <f t="shared" si="17"/>
        <v/>
      </c>
      <c r="L64" s="103" t="str">
        <f t="shared" si="17"/>
        <v/>
      </c>
      <c r="M64" s="103" t="str">
        <f t="shared" si="17"/>
        <v/>
      </c>
      <c r="N64" s="103" t="str">
        <f t="shared" si="17"/>
        <v/>
      </c>
      <c r="O64" s="103" t="str">
        <f t="shared" si="17"/>
        <v/>
      </c>
      <c r="P64" s="103" t="str">
        <f t="shared" si="17"/>
        <v/>
      </c>
      <c r="Q64" s="103" t="str">
        <f t="shared" si="17"/>
        <v/>
      </c>
      <c r="R64" s="103" t="str">
        <f t="shared" si="17"/>
        <v/>
      </c>
      <c r="S64" s="103" t="str">
        <f t="shared" si="17"/>
        <v/>
      </c>
      <c r="T64" s="103" t="str">
        <f t="shared" si="17"/>
        <v/>
      </c>
      <c r="U64" s="103" t="str">
        <f t="shared" si="17"/>
        <v/>
      </c>
      <c r="V64" s="103" t="str">
        <f t="shared" si="17"/>
        <v/>
      </c>
      <c r="W64" s="103" t="str">
        <f t="shared" si="17"/>
        <v/>
      </c>
      <c r="X64" s="103" t="str">
        <f t="shared" si="17"/>
        <v/>
      </c>
      <c r="Y64" s="103" t="str">
        <f t="shared" si="17"/>
        <v/>
      </c>
      <c r="Z64" s="103" t="str">
        <f t="shared" si="17"/>
        <v/>
      </c>
      <c r="AA64" s="103" t="str">
        <f t="shared" si="17"/>
        <v/>
      </c>
      <c r="AB64" s="103" t="str">
        <f t="shared" si="17"/>
        <v/>
      </c>
      <c r="AC64" s="192" t="e">
        <f t="shared" si="5"/>
        <v>#VALUE!</v>
      </c>
      <c r="AD64" s="189">
        <v>6</v>
      </c>
    </row>
    <row r="65" spans="1:30" ht="18" customHeight="1" outlineLevel="1" x14ac:dyDescent="0.25">
      <c r="A65" s="9" t="str">
        <f t="shared" si="2"/>
        <v>Benzene [g/h]</v>
      </c>
      <c r="B65" s="102"/>
      <c r="C65" s="103" t="str">
        <f t="shared" si="3"/>
        <v/>
      </c>
      <c r="D65" s="103" t="str">
        <f t="shared" ref="D65:AB65" si="18">IF(SUM(D33:D61)=0, "", (D33*$B33/(D$43*$B$43))*$F$5)</f>
        <v/>
      </c>
      <c r="E65" s="103" t="str">
        <f t="shared" si="18"/>
        <v/>
      </c>
      <c r="F65" s="103" t="str">
        <f t="shared" si="18"/>
        <v/>
      </c>
      <c r="G65" s="103" t="str">
        <f t="shared" si="18"/>
        <v/>
      </c>
      <c r="H65" s="103" t="str">
        <f t="shared" si="18"/>
        <v/>
      </c>
      <c r="I65" s="103" t="str">
        <f t="shared" si="18"/>
        <v/>
      </c>
      <c r="J65" s="103" t="str">
        <f t="shared" si="18"/>
        <v/>
      </c>
      <c r="K65" s="103" t="str">
        <f t="shared" si="18"/>
        <v/>
      </c>
      <c r="L65" s="103" t="str">
        <f t="shared" si="18"/>
        <v/>
      </c>
      <c r="M65" s="103" t="str">
        <f t="shared" si="18"/>
        <v/>
      </c>
      <c r="N65" s="103" t="str">
        <f t="shared" si="18"/>
        <v/>
      </c>
      <c r="O65" s="103" t="str">
        <f t="shared" si="18"/>
        <v/>
      </c>
      <c r="P65" s="103" t="str">
        <f t="shared" si="18"/>
        <v/>
      </c>
      <c r="Q65" s="103" t="str">
        <f t="shared" si="18"/>
        <v/>
      </c>
      <c r="R65" s="103" t="str">
        <f t="shared" si="18"/>
        <v/>
      </c>
      <c r="S65" s="103" t="str">
        <f t="shared" si="18"/>
        <v/>
      </c>
      <c r="T65" s="103" t="str">
        <f t="shared" si="18"/>
        <v/>
      </c>
      <c r="U65" s="103" t="str">
        <f t="shared" si="18"/>
        <v/>
      </c>
      <c r="V65" s="103" t="str">
        <f t="shared" si="18"/>
        <v/>
      </c>
      <c r="W65" s="103" t="str">
        <f t="shared" si="18"/>
        <v/>
      </c>
      <c r="X65" s="103" t="str">
        <f t="shared" si="18"/>
        <v/>
      </c>
      <c r="Y65" s="103" t="str">
        <f t="shared" si="18"/>
        <v/>
      </c>
      <c r="Z65" s="103" t="str">
        <f t="shared" si="18"/>
        <v/>
      </c>
      <c r="AA65" s="103" t="str">
        <f t="shared" si="18"/>
        <v/>
      </c>
      <c r="AB65" s="103" t="str">
        <f t="shared" si="18"/>
        <v/>
      </c>
      <c r="AC65" s="192" t="e">
        <f t="shared" si="5"/>
        <v>#VALUE!</v>
      </c>
      <c r="AD65" s="189">
        <v>6</v>
      </c>
    </row>
    <row r="66" spans="1:30" ht="18" customHeight="1" outlineLevel="1" x14ac:dyDescent="0.25">
      <c r="A66" s="9" t="str">
        <f t="shared" si="2"/>
        <v>Toluene [g/h]</v>
      </c>
      <c r="B66" s="102"/>
      <c r="C66" s="103" t="str">
        <f t="shared" si="3"/>
        <v/>
      </c>
      <c r="D66" s="103" t="str">
        <f t="shared" ref="D66:AB66" si="19">IF(SUM(D34:D62)=0, "", (D34*$B34/(D$43*$B$43))*$F$5)</f>
        <v/>
      </c>
      <c r="E66" s="103" t="str">
        <f t="shared" si="19"/>
        <v/>
      </c>
      <c r="F66" s="103" t="str">
        <f t="shared" si="19"/>
        <v/>
      </c>
      <c r="G66" s="103" t="str">
        <f t="shared" si="19"/>
        <v/>
      </c>
      <c r="H66" s="103" t="str">
        <f t="shared" si="19"/>
        <v/>
      </c>
      <c r="I66" s="103" t="str">
        <f t="shared" si="19"/>
        <v/>
      </c>
      <c r="J66" s="103" t="str">
        <f t="shared" si="19"/>
        <v/>
      </c>
      <c r="K66" s="103" t="str">
        <f t="shared" si="19"/>
        <v/>
      </c>
      <c r="L66" s="103" t="str">
        <f t="shared" si="19"/>
        <v/>
      </c>
      <c r="M66" s="103" t="str">
        <f t="shared" si="19"/>
        <v/>
      </c>
      <c r="N66" s="103" t="str">
        <f t="shared" si="19"/>
        <v/>
      </c>
      <c r="O66" s="103" t="str">
        <f t="shared" si="19"/>
        <v/>
      </c>
      <c r="P66" s="103" t="str">
        <f t="shared" si="19"/>
        <v/>
      </c>
      <c r="Q66" s="103" t="str">
        <f t="shared" si="19"/>
        <v/>
      </c>
      <c r="R66" s="103" t="str">
        <f t="shared" si="19"/>
        <v/>
      </c>
      <c r="S66" s="103" t="str">
        <f t="shared" si="19"/>
        <v/>
      </c>
      <c r="T66" s="103" t="str">
        <f t="shared" si="19"/>
        <v/>
      </c>
      <c r="U66" s="103" t="str">
        <f t="shared" si="19"/>
        <v/>
      </c>
      <c r="V66" s="103" t="str">
        <f t="shared" si="19"/>
        <v/>
      </c>
      <c r="W66" s="103" t="str">
        <f t="shared" si="19"/>
        <v/>
      </c>
      <c r="X66" s="103" t="str">
        <f t="shared" si="19"/>
        <v/>
      </c>
      <c r="Y66" s="103" t="str">
        <f t="shared" si="19"/>
        <v/>
      </c>
      <c r="Z66" s="103" t="str">
        <f t="shared" si="19"/>
        <v/>
      </c>
      <c r="AA66" s="103" t="str">
        <f t="shared" si="19"/>
        <v/>
      </c>
      <c r="AB66" s="103" t="str">
        <f t="shared" si="19"/>
        <v/>
      </c>
      <c r="AC66" s="192" t="e">
        <f t="shared" si="5"/>
        <v>#VALUE!</v>
      </c>
      <c r="AD66" s="189">
        <v>7</v>
      </c>
    </row>
    <row r="67" spans="1:30" ht="18" customHeight="1" outlineLevel="1" x14ac:dyDescent="0.25">
      <c r="A67" s="9" t="str">
        <f t="shared" si="2"/>
        <v>Ethylbenzene [g/h]</v>
      </c>
      <c r="B67" s="102"/>
      <c r="C67" s="103" t="str">
        <f t="shared" si="3"/>
        <v/>
      </c>
      <c r="D67" s="103" t="str">
        <f t="shared" ref="D67:AB67" si="20">IF(SUM(D35:D63)=0, "", (D35*$B35/(D$43*$B$43))*$F$5)</f>
        <v/>
      </c>
      <c r="E67" s="103" t="str">
        <f t="shared" si="20"/>
        <v/>
      </c>
      <c r="F67" s="103" t="str">
        <f t="shared" si="20"/>
        <v/>
      </c>
      <c r="G67" s="103" t="str">
        <f t="shared" si="20"/>
        <v/>
      </c>
      <c r="H67" s="103" t="str">
        <f t="shared" si="20"/>
        <v/>
      </c>
      <c r="I67" s="103" t="str">
        <f t="shared" si="20"/>
        <v/>
      </c>
      <c r="J67" s="103" t="str">
        <f t="shared" si="20"/>
        <v/>
      </c>
      <c r="K67" s="103" t="str">
        <f t="shared" si="20"/>
        <v/>
      </c>
      <c r="L67" s="103" t="str">
        <f t="shared" si="20"/>
        <v/>
      </c>
      <c r="M67" s="103" t="str">
        <f t="shared" si="20"/>
        <v/>
      </c>
      <c r="N67" s="103" t="str">
        <f t="shared" si="20"/>
        <v/>
      </c>
      <c r="O67" s="103" t="str">
        <f t="shared" si="20"/>
        <v/>
      </c>
      <c r="P67" s="103" t="str">
        <f t="shared" si="20"/>
        <v/>
      </c>
      <c r="Q67" s="103" t="str">
        <f t="shared" si="20"/>
        <v/>
      </c>
      <c r="R67" s="103" t="str">
        <f t="shared" si="20"/>
        <v/>
      </c>
      <c r="S67" s="103" t="str">
        <f t="shared" si="20"/>
        <v/>
      </c>
      <c r="T67" s="103" t="str">
        <f t="shared" si="20"/>
        <v/>
      </c>
      <c r="U67" s="103" t="str">
        <f t="shared" si="20"/>
        <v/>
      </c>
      <c r="V67" s="103" t="str">
        <f t="shared" si="20"/>
        <v/>
      </c>
      <c r="W67" s="103" t="str">
        <f t="shared" si="20"/>
        <v/>
      </c>
      <c r="X67" s="103" t="str">
        <f t="shared" si="20"/>
        <v/>
      </c>
      <c r="Y67" s="103" t="str">
        <f t="shared" si="20"/>
        <v/>
      </c>
      <c r="Z67" s="103" t="str">
        <f t="shared" si="20"/>
        <v/>
      </c>
      <c r="AA67" s="103" t="str">
        <f t="shared" si="20"/>
        <v/>
      </c>
      <c r="AB67" s="103" t="str">
        <f t="shared" si="20"/>
        <v/>
      </c>
      <c r="AC67" s="192" t="e">
        <f t="shared" si="5"/>
        <v>#VALUE!</v>
      </c>
      <c r="AD67" s="189">
        <v>8</v>
      </c>
    </row>
    <row r="68" spans="1:30" ht="18" customHeight="1" outlineLevel="1" x14ac:dyDescent="0.25">
      <c r="A68" s="9" t="str">
        <f t="shared" si="2"/>
        <v>p-Xylene [g/h]</v>
      </c>
      <c r="B68" s="102"/>
      <c r="C68" s="103" t="str">
        <f t="shared" si="3"/>
        <v/>
      </c>
      <c r="D68" s="103" t="str">
        <f t="shared" ref="D68:AB68" si="21">IF(SUM(D36:D64)=0, "", (D36*$B36/(D$43*$B$43))*$F$5)</f>
        <v/>
      </c>
      <c r="E68" s="103" t="str">
        <f t="shared" si="21"/>
        <v/>
      </c>
      <c r="F68" s="103" t="str">
        <f t="shared" si="21"/>
        <v/>
      </c>
      <c r="G68" s="103" t="str">
        <f t="shared" si="21"/>
        <v/>
      </c>
      <c r="H68" s="103" t="str">
        <f t="shared" si="21"/>
        <v/>
      </c>
      <c r="I68" s="103" t="str">
        <f t="shared" si="21"/>
        <v/>
      </c>
      <c r="J68" s="103" t="str">
        <f t="shared" si="21"/>
        <v/>
      </c>
      <c r="K68" s="103" t="str">
        <f t="shared" si="21"/>
        <v/>
      </c>
      <c r="L68" s="103" t="str">
        <f t="shared" si="21"/>
        <v/>
      </c>
      <c r="M68" s="103" t="str">
        <f t="shared" si="21"/>
        <v/>
      </c>
      <c r="N68" s="103" t="str">
        <f t="shared" si="21"/>
        <v/>
      </c>
      <c r="O68" s="103" t="str">
        <f t="shared" si="21"/>
        <v/>
      </c>
      <c r="P68" s="103" t="str">
        <f t="shared" si="21"/>
        <v/>
      </c>
      <c r="Q68" s="103" t="str">
        <f t="shared" si="21"/>
        <v/>
      </c>
      <c r="R68" s="103" t="str">
        <f t="shared" si="21"/>
        <v/>
      </c>
      <c r="S68" s="103" t="str">
        <f t="shared" si="21"/>
        <v/>
      </c>
      <c r="T68" s="103" t="str">
        <f t="shared" si="21"/>
        <v/>
      </c>
      <c r="U68" s="103" t="str">
        <f t="shared" si="21"/>
        <v/>
      </c>
      <c r="V68" s="103" t="str">
        <f t="shared" si="21"/>
        <v/>
      </c>
      <c r="W68" s="103" t="str">
        <f t="shared" si="21"/>
        <v/>
      </c>
      <c r="X68" s="103" t="str">
        <f t="shared" si="21"/>
        <v/>
      </c>
      <c r="Y68" s="103" t="str">
        <f t="shared" si="21"/>
        <v/>
      </c>
      <c r="Z68" s="103" t="str">
        <f t="shared" si="21"/>
        <v/>
      </c>
      <c r="AA68" s="103" t="str">
        <f t="shared" si="21"/>
        <v/>
      </c>
      <c r="AB68" s="103" t="str">
        <f t="shared" si="21"/>
        <v/>
      </c>
      <c r="AC68" s="192" t="e">
        <f t="shared" si="5"/>
        <v>#VALUE!</v>
      </c>
      <c r="AD68" s="189">
        <v>8</v>
      </c>
    </row>
    <row r="69" spans="1:30" ht="18" customHeight="1" outlineLevel="1" x14ac:dyDescent="0.25">
      <c r="A69" s="9" t="str">
        <f t="shared" si="2"/>
        <v>m-Xylene [g/h]</v>
      </c>
      <c r="B69" s="102"/>
      <c r="C69" s="103" t="str">
        <f t="shared" si="3"/>
        <v/>
      </c>
      <c r="D69" s="103" t="str">
        <f t="shared" ref="D69:AB69" si="22">IF(SUM(D37:D65)=0, "", (D37*$B37/(D$43*$B$43))*$F$5)</f>
        <v/>
      </c>
      <c r="E69" s="103" t="str">
        <f t="shared" si="22"/>
        <v/>
      </c>
      <c r="F69" s="103" t="str">
        <f t="shared" si="22"/>
        <v/>
      </c>
      <c r="G69" s="103" t="str">
        <f t="shared" si="22"/>
        <v/>
      </c>
      <c r="H69" s="103" t="str">
        <f t="shared" si="22"/>
        <v/>
      </c>
      <c r="I69" s="103" t="str">
        <f t="shared" si="22"/>
        <v/>
      </c>
      <c r="J69" s="103" t="str">
        <f t="shared" si="22"/>
        <v/>
      </c>
      <c r="K69" s="103" t="str">
        <f t="shared" si="22"/>
        <v/>
      </c>
      <c r="L69" s="103" t="str">
        <f t="shared" si="22"/>
        <v/>
      </c>
      <c r="M69" s="103" t="str">
        <f t="shared" si="22"/>
        <v/>
      </c>
      <c r="N69" s="103" t="str">
        <f t="shared" si="22"/>
        <v/>
      </c>
      <c r="O69" s="103" t="str">
        <f t="shared" si="22"/>
        <v/>
      </c>
      <c r="P69" s="103" t="str">
        <f t="shared" si="22"/>
        <v/>
      </c>
      <c r="Q69" s="103" t="str">
        <f t="shared" si="22"/>
        <v/>
      </c>
      <c r="R69" s="103" t="str">
        <f t="shared" si="22"/>
        <v/>
      </c>
      <c r="S69" s="103" t="str">
        <f t="shared" si="22"/>
        <v/>
      </c>
      <c r="T69" s="103" t="str">
        <f t="shared" si="22"/>
        <v/>
      </c>
      <c r="U69" s="103" t="str">
        <f t="shared" si="22"/>
        <v/>
      </c>
      <c r="V69" s="103" t="str">
        <f t="shared" si="22"/>
        <v/>
      </c>
      <c r="W69" s="103" t="str">
        <f t="shared" si="22"/>
        <v/>
      </c>
      <c r="X69" s="103" t="str">
        <f t="shared" si="22"/>
        <v/>
      </c>
      <c r="Y69" s="103" t="str">
        <f t="shared" si="22"/>
        <v/>
      </c>
      <c r="Z69" s="103" t="str">
        <f t="shared" si="22"/>
        <v/>
      </c>
      <c r="AA69" s="103" t="str">
        <f t="shared" si="22"/>
        <v/>
      </c>
      <c r="AB69" s="103" t="str">
        <f t="shared" si="22"/>
        <v/>
      </c>
      <c r="AC69" s="192" t="e">
        <f t="shared" si="5"/>
        <v>#VALUE!</v>
      </c>
      <c r="AD69" s="189">
        <v>8</v>
      </c>
    </row>
    <row r="70" spans="1:30" ht="18" customHeight="1" outlineLevel="1" x14ac:dyDescent="0.25">
      <c r="A70" s="9" t="str">
        <f t="shared" si="2"/>
        <v>o-Xylene [g/h]</v>
      </c>
      <c r="B70" s="102"/>
      <c r="C70" s="103" t="str">
        <f t="shared" si="3"/>
        <v/>
      </c>
      <c r="D70" s="103" t="str">
        <f t="shared" ref="D70:AB70" si="23">IF(SUM(D38:D66)=0, "", (D38*$B38/(D$43*$B$43))*$F$5)</f>
        <v/>
      </c>
      <c r="E70" s="103" t="str">
        <f t="shared" si="23"/>
        <v/>
      </c>
      <c r="F70" s="103" t="str">
        <f t="shared" si="23"/>
        <v/>
      </c>
      <c r="G70" s="103" t="str">
        <f t="shared" si="23"/>
        <v/>
      </c>
      <c r="H70" s="103" t="str">
        <f t="shared" si="23"/>
        <v/>
      </c>
      <c r="I70" s="103" t="str">
        <f t="shared" si="23"/>
        <v/>
      </c>
      <c r="J70" s="103" t="str">
        <f t="shared" si="23"/>
        <v/>
      </c>
      <c r="K70" s="103" t="str">
        <f t="shared" si="23"/>
        <v/>
      </c>
      <c r="L70" s="103" t="str">
        <f t="shared" si="23"/>
        <v/>
      </c>
      <c r="M70" s="103" t="str">
        <f t="shared" si="23"/>
        <v/>
      </c>
      <c r="N70" s="103" t="str">
        <f t="shared" si="23"/>
        <v/>
      </c>
      <c r="O70" s="103" t="str">
        <f t="shared" si="23"/>
        <v/>
      </c>
      <c r="P70" s="103" t="str">
        <f t="shared" si="23"/>
        <v/>
      </c>
      <c r="Q70" s="103" t="str">
        <f t="shared" si="23"/>
        <v/>
      </c>
      <c r="R70" s="103" t="str">
        <f t="shared" si="23"/>
        <v/>
      </c>
      <c r="S70" s="103" t="str">
        <f t="shared" si="23"/>
        <v/>
      </c>
      <c r="T70" s="103" t="str">
        <f t="shared" si="23"/>
        <v/>
      </c>
      <c r="U70" s="103" t="str">
        <f t="shared" si="23"/>
        <v/>
      </c>
      <c r="V70" s="103" t="str">
        <f t="shared" si="23"/>
        <v/>
      </c>
      <c r="W70" s="103" t="str">
        <f t="shared" si="23"/>
        <v/>
      </c>
      <c r="X70" s="103" t="str">
        <f t="shared" si="23"/>
        <v/>
      </c>
      <c r="Y70" s="103" t="str">
        <f t="shared" si="23"/>
        <v/>
      </c>
      <c r="Z70" s="103" t="str">
        <f t="shared" si="23"/>
        <v/>
      </c>
      <c r="AA70" s="103" t="str">
        <f t="shared" si="23"/>
        <v/>
      </c>
      <c r="AB70" s="103" t="str">
        <f t="shared" si="23"/>
        <v/>
      </c>
      <c r="AC70" s="192" t="e">
        <f t="shared" si="5"/>
        <v>#VALUE!</v>
      </c>
      <c r="AD70" s="189">
        <v>8</v>
      </c>
    </row>
    <row r="71" spans="1:30" ht="18" customHeight="1" outlineLevel="1" x14ac:dyDescent="0.25">
      <c r="A71" s="9" t="str">
        <f t="shared" si="2"/>
        <v>C6 Unknowns [g/h]</v>
      </c>
      <c r="B71" s="102"/>
      <c r="C71" s="103" t="str">
        <f t="shared" si="3"/>
        <v/>
      </c>
      <c r="D71" s="103" t="str">
        <f t="shared" ref="D71:AB71" si="24">IF(SUM(D39:D67)=0, "", (D39*$B39/(D$43*$B$43))*$F$5)</f>
        <v/>
      </c>
      <c r="E71" s="103" t="str">
        <f t="shared" si="24"/>
        <v/>
      </c>
      <c r="F71" s="103" t="str">
        <f t="shared" si="24"/>
        <v/>
      </c>
      <c r="G71" s="103" t="str">
        <f t="shared" si="24"/>
        <v/>
      </c>
      <c r="H71" s="103" t="str">
        <f t="shared" si="24"/>
        <v/>
      </c>
      <c r="I71" s="103" t="str">
        <f t="shared" si="24"/>
        <v/>
      </c>
      <c r="J71" s="103" t="str">
        <f t="shared" si="24"/>
        <v/>
      </c>
      <c r="K71" s="103" t="str">
        <f t="shared" si="24"/>
        <v/>
      </c>
      <c r="L71" s="103" t="str">
        <f t="shared" si="24"/>
        <v/>
      </c>
      <c r="M71" s="103" t="str">
        <f t="shared" si="24"/>
        <v/>
      </c>
      <c r="N71" s="103" t="str">
        <f t="shared" si="24"/>
        <v/>
      </c>
      <c r="O71" s="103" t="str">
        <f t="shared" si="24"/>
        <v/>
      </c>
      <c r="P71" s="103" t="str">
        <f t="shared" si="24"/>
        <v/>
      </c>
      <c r="Q71" s="103" t="str">
        <f t="shared" si="24"/>
        <v/>
      </c>
      <c r="R71" s="103" t="str">
        <f t="shared" si="24"/>
        <v/>
      </c>
      <c r="S71" s="103" t="str">
        <f t="shared" si="24"/>
        <v/>
      </c>
      <c r="T71" s="103" t="str">
        <f t="shared" si="24"/>
        <v/>
      </c>
      <c r="U71" s="103" t="str">
        <f t="shared" si="24"/>
        <v/>
      </c>
      <c r="V71" s="103" t="str">
        <f t="shared" si="24"/>
        <v/>
      </c>
      <c r="W71" s="103" t="str">
        <f t="shared" si="24"/>
        <v/>
      </c>
      <c r="X71" s="103" t="str">
        <f t="shared" si="24"/>
        <v/>
      </c>
      <c r="Y71" s="103" t="str">
        <f t="shared" si="24"/>
        <v/>
      </c>
      <c r="Z71" s="103" t="str">
        <f t="shared" si="24"/>
        <v/>
      </c>
      <c r="AA71" s="103" t="str">
        <f t="shared" si="24"/>
        <v/>
      </c>
      <c r="AB71" s="103" t="str">
        <f t="shared" si="24"/>
        <v/>
      </c>
      <c r="AC71" s="192" t="e">
        <f t="shared" si="5"/>
        <v>#VALUE!</v>
      </c>
      <c r="AD71" s="189">
        <v>6</v>
      </c>
    </row>
    <row r="72" spans="1:30" ht="18" customHeight="1" outlineLevel="1" x14ac:dyDescent="0.25">
      <c r="A72" s="9" t="str">
        <f t="shared" si="2"/>
        <v>C8 Unknowns [g/h]</v>
      </c>
      <c r="B72" s="102"/>
      <c r="C72" s="103" t="str">
        <f t="shared" si="3"/>
        <v/>
      </c>
      <c r="D72" s="103" t="str">
        <f t="shared" ref="D72:AB72" si="25">IF(SUM(D40:D68)=0, "", (D40*$B40/(D$43*$B$43))*$F$5)</f>
        <v/>
      </c>
      <c r="E72" s="103" t="str">
        <f t="shared" si="25"/>
        <v/>
      </c>
      <c r="F72" s="103" t="str">
        <f t="shared" si="25"/>
        <v/>
      </c>
      <c r="G72" s="103" t="str">
        <f t="shared" si="25"/>
        <v/>
      </c>
      <c r="H72" s="103" t="str">
        <f t="shared" si="25"/>
        <v/>
      </c>
      <c r="I72" s="103" t="str">
        <f t="shared" si="25"/>
        <v/>
      </c>
      <c r="J72" s="103" t="str">
        <f t="shared" si="25"/>
        <v/>
      </c>
      <c r="K72" s="103" t="str">
        <f t="shared" si="25"/>
        <v/>
      </c>
      <c r="L72" s="103" t="str">
        <f t="shared" si="25"/>
        <v/>
      </c>
      <c r="M72" s="103" t="str">
        <f t="shared" si="25"/>
        <v/>
      </c>
      <c r="N72" s="103" t="str">
        <f t="shared" si="25"/>
        <v/>
      </c>
      <c r="O72" s="103" t="str">
        <f t="shared" si="25"/>
        <v/>
      </c>
      <c r="P72" s="103" t="str">
        <f t="shared" si="25"/>
        <v/>
      </c>
      <c r="Q72" s="103" t="str">
        <f t="shared" si="25"/>
        <v/>
      </c>
      <c r="R72" s="103" t="str">
        <f t="shared" si="25"/>
        <v/>
      </c>
      <c r="S72" s="103" t="str">
        <f t="shared" si="25"/>
        <v/>
      </c>
      <c r="T72" s="103" t="str">
        <f t="shared" si="25"/>
        <v/>
      </c>
      <c r="U72" s="103" t="str">
        <f t="shared" si="25"/>
        <v/>
      </c>
      <c r="V72" s="103" t="str">
        <f t="shared" si="25"/>
        <v/>
      </c>
      <c r="W72" s="103" t="str">
        <f t="shared" si="25"/>
        <v/>
      </c>
      <c r="X72" s="103" t="str">
        <f t="shared" si="25"/>
        <v/>
      </c>
      <c r="Y72" s="103" t="str">
        <f t="shared" si="25"/>
        <v/>
      </c>
      <c r="Z72" s="103" t="str">
        <f t="shared" si="25"/>
        <v/>
      </c>
      <c r="AA72" s="103" t="str">
        <f t="shared" si="25"/>
        <v/>
      </c>
      <c r="AB72" s="103" t="str">
        <f t="shared" si="25"/>
        <v/>
      </c>
      <c r="AC72" s="192" t="e">
        <f t="shared" si="5"/>
        <v>#VALUE!</v>
      </c>
      <c r="AD72" s="189">
        <v>8</v>
      </c>
    </row>
    <row r="73" spans="1:30" ht="18" customHeight="1" outlineLevel="1" x14ac:dyDescent="0.25">
      <c r="A73" s="9" t="str">
        <f t="shared" si="2"/>
        <v>C7 Unknowns [g/h]</v>
      </c>
      <c r="B73" s="102"/>
      <c r="C73" s="103" t="str">
        <f t="shared" si="3"/>
        <v/>
      </c>
      <c r="D73" s="103" t="str">
        <f t="shared" ref="D73:AB73" si="26">IF(SUM(D41:D69)=0, "", (D41*$B41/(D$43*$B$43))*$F$5)</f>
        <v/>
      </c>
      <c r="E73" s="103" t="str">
        <f t="shared" si="26"/>
        <v/>
      </c>
      <c r="F73" s="103" t="str">
        <f t="shared" si="26"/>
        <v/>
      </c>
      <c r="G73" s="103" t="str">
        <f t="shared" si="26"/>
        <v/>
      </c>
      <c r="H73" s="103" t="str">
        <f t="shared" si="26"/>
        <v/>
      </c>
      <c r="I73" s="103" t="str">
        <f t="shared" si="26"/>
        <v/>
      </c>
      <c r="J73" s="103" t="str">
        <f t="shared" si="26"/>
        <v/>
      </c>
      <c r="K73" s="103" t="str">
        <f t="shared" si="26"/>
        <v/>
      </c>
      <c r="L73" s="103" t="str">
        <f t="shared" si="26"/>
        <v/>
      </c>
      <c r="M73" s="103" t="str">
        <f t="shared" si="26"/>
        <v/>
      </c>
      <c r="N73" s="103" t="str">
        <f t="shared" si="26"/>
        <v/>
      </c>
      <c r="O73" s="103" t="str">
        <f t="shared" si="26"/>
        <v/>
      </c>
      <c r="P73" s="103" t="str">
        <f t="shared" si="26"/>
        <v/>
      </c>
      <c r="Q73" s="103" t="str">
        <f t="shared" si="26"/>
        <v/>
      </c>
      <c r="R73" s="103" t="str">
        <f t="shared" si="26"/>
        <v/>
      </c>
      <c r="S73" s="103" t="str">
        <f t="shared" si="26"/>
        <v/>
      </c>
      <c r="T73" s="103" t="str">
        <f t="shared" si="26"/>
        <v/>
      </c>
      <c r="U73" s="103" t="str">
        <f t="shared" si="26"/>
        <v/>
      </c>
      <c r="V73" s="103" t="str">
        <f t="shared" si="26"/>
        <v/>
      </c>
      <c r="W73" s="103" t="str">
        <f t="shared" si="26"/>
        <v/>
      </c>
      <c r="X73" s="103" t="str">
        <f t="shared" si="26"/>
        <v/>
      </c>
      <c r="Y73" s="103" t="str">
        <f t="shared" si="26"/>
        <v/>
      </c>
      <c r="Z73" s="103" t="str">
        <f t="shared" si="26"/>
        <v/>
      </c>
      <c r="AA73" s="103" t="str">
        <f t="shared" si="26"/>
        <v/>
      </c>
      <c r="AB73" s="103" t="str">
        <f t="shared" si="26"/>
        <v/>
      </c>
      <c r="AC73" s="192" t="e">
        <f t="shared" si="5"/>
        <v>#VALUE!</v>
      </c>
      <c r="AD73" s="189">
        <v>7</v>
      </c>
    </row>
    <row r="74" spans="1:30" ht="18" customHeight="1" outlineLevel="1" x14ac:dyDescent="0.25">
      <c r="A74" s="9" t="str">
        <f t="shared" si="2"/>
        <v>CO2 [g/h]</v>
      </c>
      <c r="B74" s="102"/>
      <c r="C74" s="103" t="str">
        <f t="shared" si="3"/>
        <v/>
      </c>
      <c r="D74" s="103" t="str">
        <f t="shared" ref="D74:AB74" si="27">IF(SUM(D42:D70)=0, "", (D42*$B42/(D$43*$B$43))*$F$5)</f>
        <v/>
      </c>
      <c r="E74" s="103" t="str">
        <f t="shared" si="27"/>
        <v/>
      </c>
      <c r="F74" s="103" t="str">
        <f t="shared" si="27"/>
        <v/>
      </c>
      <c r="G74" s="103" t="str">
        <f t="shared" si="27"/>
        <v/>
      </c>
      <c r="H74" s="103" t="str">
        <f t="shared" si="27"/>
        <v/>
      </c>
      <c r="I74" s="103" t="str">
        <f t="shared" si="27"/>
        <v/>
      </c>
      <c r="J74" s="103" t="str">
        <f t="shared" si="27"/>
        <v/>
      </c>
      <c r="K74" s="103" t="str">
        <f t="shared" si="27"/>
        <v/>
      </c>
      <c r="L74" s="103" t="str">
        <f t="shared" si="27"/>
        <v/>
      </c>
      <c r="M74" s="103" t="str">
        <f t="shared" si="27"/>
        <v/>
      </c>
      <c r="N74" s="103" t="str">
        <f t="shared" si="27"/>
        <v/>
      </c>
      <c r="O74" s="103" t="str">
        <f t="shared" si="27"/>
        <v/>
      </c>
      <c r="P74" s="103" t="str">
        <f t="shared" si="27"/>
        <v/>
      </c>
      <c r="Q74" s="103" t="str">
        <f t="shared" si="27"/>
        <v/>
      </c>
      <c r="R74" s="103" t="str">
        <f t="shared" si="27"/>
        <v/>
      </c>
      <c r="S74" s="103" t="str">
        <f t="shared" si="27"/>
        <v/>
      </c>
      <c r="T74" s="103" t="str">
        <f t="shared" si="27"/>
        <v/>
      </c>
      <c r="U74" s="103" t="str">
        <f t="shared" si="27"/>
        <v/>
      </c>
      <c r="V74" s="103" t="str">
        <f t="shared" si="27"/>
        <v/>
      </c>
      <c r="W74" s="103" t="str">
        <f t="shared" si="27"/>
        <v/>
      </c>
      <c r="X74" s="103" t="str">
        <f t="shared" si="27"/>
        <v/>
      </c>
      <c r="Y74" s="103" t="str">
        <f t="shared" si="27"/>
        <v/>
      </c>
      <c r="Z74" s="103" t="str">
        <f t="shared" si="27"/>
        <v/>
      </c>
      <c r="AA74" s="103" t="str">
        <f t="shared" si="27"/>
        <v/>
      </c>
      <c r="AB74" s="103" t="str">
        <f t="shared" si="27"/>
        <v/>
      </c>
      <c r="AC74" s="192" t="e">
        <f t="shared" si="5"/>
        <v>#VALUE!</v>
      </c>
      <c r="AD74" s="189">
        <v>1</v>
      </c>
    </row>
    <row r="75" spans="1:30" ht="18" customHeight="1" outlineLevel="1" x14ac:dyDescent="0.25">
      <c r="A75" s="9" t="str">
        <f t="shared" si="2"/>
        <v>Argon [g/h]</v>
      </c>
      <c r="B75" s="102"/>
      <c r="C75" s="103" t="str">
        <f t="shared" si="3"/>
        <v/>
      </c>
      <c r="D75" s="103" t="str">
        <f t="shared" ref="D75:AB75" si="28">IF(SUM(D43:D71)=0, "", (D43*$B43/(D$43*$B$43))*$F$5)</f>
        <v/>
      </c>
      <c r="E75" s="103" t="str">
        <f t="shared" si="28"/>
        <v/>
      </c>
      <c r="F75" s="103" t="str">
        <f t="shared" si="28"/>
        <v/>
      </c>
      <c r="G75" s="103" t="str">
        <f t="shared" si="28"/>
        <v/>
      </c>
      <c r="H75" s="103" t="str">
        <f t="shared" si="28"/>
        <v/>
      </c>
      <c r="I75" s="103" t="str">
        <f t="shared" si="28"/>
        <v/>
      </c>
      <c r="J75" s="103" t="str">
        <f t="shared" si="28"/>
        <v/>
      </c>
      <c r="K75" s="103" t="str">
        <f t="shared" si="28"/>
        <v/>
      </c>
      <c r="L75" s="103" t="str">
        <f t="shared" si="28"/>
        <v/>
      </c>
      <c r="M75" s="103" t="str">
        <f t="shared" si="28"/>
        <v/>
      </c>
      <c r="N75" s="103" t="str">
        <f t="shared" si="28"/>
        <v/>
      </c>
      <c r="O75" s="103" t="str">
        <f t="shared" si="28"/>
        <v/>
      </c>
      <c r="P75" s="103" t="str">
        <f t="shared" si="28"/>
        <v/>
      </c>
      <c r="Q75" s="103" t="str">
        <f t="shared" si="28"/>
        <v/>
      </c>
      <c r="R75" s="103" t="str">
        <f t="shared" si="28"/>
        <v/>
      </c>
      <c r="S75" s="103" t="str">
        <f t="shared" si="28"/>
        <v/>
      </c>
      <c r="T75" s="103" t="str">
        <f t="shared" si="28"/>
        <v/>
      </c>
      <c r="U75" s="103" t="str">
        <f t="shared" si="28"/>
        <v/>
      </c>
      <c r="V75" s="103" t="str">
        <f t="shared" si="28"/>
        <v/>
      </c>
      <c r="W75" s="103" t="str">
        <f t="shared" si="28"/>
        <v/>
      </c>
      <c r="X75" s="103" t="str">
        <f t="shared" si="28"/>
        <v/>
      </c>
      <c r="Y75" s="103" t="str">
        <f t="shared" si="28"/>
        <v/>
      </c>
      <c r="Z75" s="103" t="str">
        <f t="shared" si="28"/>
        <v/>
      </c>
      <c r="AA75" s="103" t="str">
        <f t="shared" si="28"/>
        <v/>
      </c>
      <c r="AB75" s="103" t="str">
        <f t="shared" si="28"/>
        <v/>
      </c>
      <c r="AC75" s="192" t="e">
        <f t="shared" si="5"/>
        <v>#VALUE!</v>
      </c>
      <c r="AD75" s="189">
        <v>0</v>
      </c>
    </row>
    <row r="76" spans="1:30" ht="18" customHeight="1" outlineLevel="1" x14ac:dyDescent="0.25">
      <c r="A76" s="9" t="str">
        <f t="shared" si="2"/>
        <v>CO [g/h]</v>
      </c>
      <c r="B76" s="102"/>
      <c r="C76" s="103" t="str">
        <f t="shared" si="3"/>
        <v/>
      </c>
      <c r="D76" s="103" t="str">
        <f t="shared" ref="D76:AB76" si="29">IF(SUM(D44:D72)=0, "", (D44*$B44/(D$43*$B$43))*$F$5)</f>
        <v/>
      </c>
      <c r="E76" s="103" t="str">
        <f t="shared" si="29"/>
        <v/>
      </c>
      <c r="F76" s="103" t="str">
        <f t="shared" si="29"/>
        <v/>
      </c>
      <c r="G76" s="103" t="str">
        <f t="shared" si="29"/>
        <v/>
      </c>
      <c r="H76" s="103" t="str">
        <f t="shared" si="29"/>
        <v/>
      </c>
      <c r="I76" s="103" t="str">
        <f t="shared" si="29"/>
        <v/>
      </c>
      <c r="J76" s="103" t="str">
        <f t="shared" si="29"/>
        <v/>
      </c>
      <c r="K76" s="103" t="str">
        <f t="shared" si="29"/>
        <v/>
      </c>
      <c r="L76" s="103" t="str">
        <f t="shared" si="29"/>
        <v/>
      </c>
      <c r="M76" s="103" t="str">
        <f t="shared" si="29"/>
        <v/>
      </c>
      <c r="N76" s="103" t="str">
        <f t="shared" si="29"/>
        <v/>
      </c>
      <c r="O76" s="103" t="str">
        <f t="shared" si="29"/>
        <v/>
      </c>
      <c r="P76" s="103" t="str">
        <f t="shared" si="29"/>
        <v/>
      </c>
      <c r="Q76" s="103" t="str">
        <f t="shared" si="29"/>
        <v/>
      </c>
      <c r="R76" s="103" t="str">
        <f t="shared" si="29"/>
        <v/>
      </c>
      <c r="S76" s="103" t="str">
        <f t="shared" si="29"/>
        <v/>
      </c>
      <c r="T76" s="103" t="str">
        <f t="shared" si="29"/>
        <v/>
      </c>
      <c r="U76" s="103" t="str">
        <f t="shared" si="29"/>
        <v/>
      </c>
      <c r="V76" s="103" t="str">
        <f t="shared" si="29"/>
        <v/>
      </c>
      <c r="W76" s="103" t="str">
        <f t="shared" si="29"/>
        <v/>
      </c>
      <c r="X76" s="103" t="str">
        <f t="shared" si="29"/>
        <v/>
      </c>
      <c r="Y76" s="103" t="str">
        <f t="shared" si="29"/>
        <v/>
      </c>
      <c r="Z76" s="103" t="str">
        <f t="shared" si="29"/>
        <v/>
      </c>
      <c r="AA76" s="103" t="str">
        <f t="shared" si="29"/>
        <v/>
      </c>
      <c r="AB76" s="103" t="str">
        <f t="shared" si="29"/>
        <v/>
      </c>
      <c r="AC76" s="192" t="e">
        <f t="shared" si="5"/>
        <v>#VALUE!</v>
      </c>
      <c r="AD76" s="189">
        <v>1</v>
      </c>
    </row>
    <row r="77" spans="1:30" ht="18" customHeight="1" outlineLevel="1" x14ac:dyDescent="0.25">
      <c r="A77" s="9" t="str">
        <f t="shared" si="2"/>
        <v>H2 [g/h]</v>
      </c>
      <c r="B77" s="102"/>
      <c r="C77" s="103" t="str">
        <f t="shared" si="3"/>
        <v/>
      </c>
      <c r="D77" s="103" t="str">
        <f t="shared" ref="D77:AB77" si="30">IF(SUM(D45:D73)=0, "", (D45*$B45/(D$43*$B$43))*$F$5)</f>
        <v/>
      </c>
      <c r="E77" s="103" t="str">
        <f t="shared" si="30"/>
        <v/>
      </c>
      <c r="F77" s="103" t="str">
        <f t="shared" si="30"/>
        <v/>
      </c>
      <c r="G77" s="103" t="str">
        <f t="shared" si="30"/>
        <v/>
      </c>
      <c r="H77" s="103" t="str">
        <f t="shared" si="30"/>
        <v/>
      </c>
      <c r="I77" s="103" t="str">
        <f t="shared" si="30"/>
        <v/>
      </c>
      <c r="J77" s="103" t="str">
        <f t="shared" si="30"/>
        <v/>
      </c>
      <c r="K77" s="103" t="str">
        <f t="shared" si="30"/>
        <v/>
      </c>
      <c r="L77" s="103" t="str">
        <f t="shared" si="30"/>
        <v/>
      </c>
      <c r="M77" s="103" t="str">
        <f t="shared" si="30"/>
        <v/>
      </c>
      <c r="N77" s="103" t="str">
        <f t="shared" si="30"/>
        <v/>
      </c>
      <c r="O77" s="103" t="str">
        <f t="shared" si="30"/>
        <v/>
      </c>
      <c r="P77" s="103" t="str">
        <f t="shared" si="30"/>
        <v/>
      </c>
      <c r="Q77" s="103" t="str">
        <f t="shared" si="30"/>
        <v/>
      </c>
      <c r="R77" s="103" t="str">
        <f t="shared" si="30"/>
        <v/>
      </c>
      <c r="S77" s="103" t="str">
        <f t="shared" si="30"/>
        <v/>
      </c>
      <c r="T77" s="103" t="str">
        <f t="shared" si="30"/>
        <v/>
      </c>
      <c r="U77" s="103" t="str">
        <f t="shared" si="30"/>
        <v/>
      </c>
      <c r="V77" s="103" t="str">
        <f t="shared" si="30"/>
        <v/>
      </c>
      <c r="W77" s="103" t="str">
        <f t="shared" si="30"/>
        <v/>
      </c>
      <c r="X77" s="103" t="str">
        <f t="shared" si="30"/>
        <v/>
      </c>
      <c r="Y77" s="103" t="str">
        <f t="shared" si="30"/>
        <v/>
      </c>
      <c r="Z77" s="103" t="str">
        <f t="shared" si="30"/>
        <v/>
      </c>
      <c r="AA77" s="103" t="str">
        <f t="shared" si="30"/>
        <v/>
      </c>
      <c r="AB77" s="103" t="str">
        <f t="shared" si="30"/>
        <v/>
      </c>
      <c r="AC77" s="192" t="e">
        <f t="shared" si="5"/>
        <v>#VALUE!</v>
      </c>
      <c r="AD77" s="189">
        <v>0</v>
      </c>
    </row>
    <row r="78" spans="1:30" ht="18" customHeight="1" outlineLevel="1" x14ac:dyDescent="0.25">
      <c r="A78" s="9" t="str">
        <f t="shared" si="2"/>
        <v>Acetylene [g/h]</v>
      </c>
      <c r="B78" s="102"/>
      <c r="C78" s="103" t="str">
        <f t="shared" si="3"/>
        <v/>
      </c>
      <c r="D78" s="103" t="str">
        <f t="shared" ref="D78:AB78" si="31">IF(SUM(D46:D74)=0, "", (D46*$B46/(D$43*$B$43))*$F$5)</f>
        <v/>
      </c>
      <c r="E78" s="103" t="str">
        <f t="shared" si="31"/>
        <v/>
      </c>
      <c r="F78" s="103" t="str">
        <f t="shared" si="31"/>
        <v/>
      </c>
      <c r="G78" s="103" t="str">
        <f t="shared" si="31"/>
        <v/>
      </c>
      <c r="H78" s="103" t="str">
        <f t="shared" si="31"/>
        <v/>
      </c>
      <c r="I78" s="103" t="str">
        <f t="shared" si="31"/>
        <v/>
      </c>
      <c r="J78" s="103" t="str">
        <f t="shared" si="31"/>
        <v/>
      </c>
      <c r="K78" s="103" t="str">
        <f t="shared" si="31"/>
        <v/>
      </c>
      <c r="L78" s="103" t="str">
        <f t="shared" si="31"/>
        <v/>
      </c>
      <c r="M78" s="103" t="str">
        <f t="shared" si="31"/>
        <v/>
      </c>
      <c r="N78" s="103" t="str">
        <f t="shared" si="31"/>
        <v/>
      </c>
      <c r="O78" s="103" t="str">
        <f t="shared" si="31"/>
        <v/>
      </c>
      <c r="P78" s="103" t="str">
        <f t="shared" si="31"/>
        <v/>
      </c>
      <c r="Q78" s="103" t="str">
        <f t="shared" si="31"/>
        <v/>
      </c>
      <c r="R78" s="103" t="str">
        <f t="shared" si="31"/>
        <v/>
      </c>
      <c r="S78" s="103" t="str">
        <f t="shared" si="31"/>
        <v/>
      </c>
      <c r="T78" s="103" t="str">
        <f t="shared" si="31"/>
        <v/>
      </c>
      <c r="U78" s="103" t="str">
        <f t="shared" si="31"/>
        <v/>
      </c>
      <c r="V78" s="103" t="str">
        <f t="shared" si="31"/>
        <v/>
      </c>
      <c r="W78" s="103" t="str">
        <f t="shared" si="31"/>
        <v/>
      </c>
      <c r="X78" s="103" t="str">
        <f t="shared" si="31"/>
        <v/>
      </c>
      <c r="Y78" s="103" t="str">
        <f t="shared" si="31"/>
        <v/>
      </c>
      <c r="Z78" s="103" t="str">
        <f t="shared" si="31"/>
        <v/>
      </c>
      <c r="AA78" s="103" t="str">
        <f t="shared" si="31"/>
        <v/>
      </c>
      <c r="AB78" s="103" t="str">
        <f t="shared" si="31"/>
        <v/>
      </c>
      <c r="AC78" s="192" t="e">
        <f t="shared" si="5"/>
        <v>#VALUE!</v>
      </c>
      <c r="AD78" s="189">
        <v>2</v>
      </c>
    </row>
    <row r="79" spans="1:30" ht="18" customHeight="1" outlineLevel="1" x14ac:dyDescent="0.25">
      <c r="A79" s="9" t="str">
        <f t="shared" si="2"/>
        <v>Isobutane [g/h]</v>
      </c>
      <c r="B79" s="102"/>
      <c r="C79" s="103" t="str">
        <f t="shared" si="3"/>
        <v/>
      </c>
      <c r="D79" s="103" t="str">
        <f t="shared" ref="D79:AB79" si="32">IF(SUM(D47:D75)=0, "", (D47*$B47/(D$43*$B$43))*$F$5)</f>
        <v/>
      </c>
      <c r="E79" s="103" t="str">
        <f t="shared" si="32"/>
        <v/>
      </c>
      <c r="F79" s="103" t="str">
        <f t="shared" si="32"/>
        <v/>
      </c>
      <c r="G79" s="103" t="str">
        <f t="shared" si="32"/>
        <v/>
      </c>
      <c r="H79" s="103" t="str">
        <f t="shared" si="32"/>
        <v/>
      </c>
      <c r="I79" s="103" t="str">
        <f t="shared" si="32"/>
        <v/>
      </c>
      <c r="J79" s="103" t="str">
        <f t="shared" si="32"/>
        <v/>
      </c>
      <c r="K79" s="103" t="str">
        <f t="shared" si="32"/>
        <v/>
      </c>
      <c r="L79" s="103" t="str">
        <f t="shared" si="32"/>
        <v/>
      </c>
      <c r="M79" s="103" t="str">
        <f t="shared" si="32"/>
        <v/>
      </c>
      <c r="N79" s="103" t="str">
        <f t="shared" si="32"/>
        <v/>
      </c>
      <c r="O79" s="103" t="str">
        <f t="shared" si="32"/>
        <v/>
      </c>
      <c r="P79" s="103" t="str">
        <f t="shared" si="32"/>
        <v/>
      </c>
      <c r="Q79" s="103" t="str">
        <f t="shared" si="32"/>
        <v/>
      </c>
      <c r="R79" s="103" t="str">
        <f t="shared" si="32"/>
        <v/>
      </c>
      <c r="S79" s="103" t="str">
        <f t="shared" si="32"/>
        <v/>
      </c>
      <c r="T79" s="103" t="str">
        <f t="shared" si="32"/>
        <v/>
      </c>
      <c r="U79" s="103" t="str">
        <f t="shared" si="32"/>
        <v/>
      </c>
      <c r="V79" s="103" t="str">
        <f t="shared" si="32"/>
        <v/>
      </c>
      <c r="W79" s="103" t="str">
        <f t="shared" si="32"/>
        <v/>
      </c>
      <c r="X79" s="103" t="str">
        <f t="shared" si="32"/>
        <v/>
      </c>
      <c r="Y79" s="103" t="str">
        <f t="shared" si="32"/>
        <v/>
      </c>
      <c r="Z79" s="103" t="str">
        <f t="shared" si="32"/>
        <v/>
      </c>
      <c r="AA79" s="103" t="str">
        <f t="shared" si="32"/>
        <v/>
      </c>
      <c r="AB79" s="103" t="str">
        <f t="shared" si="32"/>
        <v/>
      </c>
      <c r="AC79" s="192" t="e">
        <f t="shared" si="5"/>
        <v>#VALUE!</v>
      </c>
      <c r="AD79" s="189">
        <v>4</v>
      </c>
    </row>
    <row r="80" spans="1:30" ht="18" customHeight="1" outlineLevel="1" x14ac:dyDescent="0.25">
      <c r="A80" s="9" t="str">
        <f t="shared" si="2"/>
        <v>N2 [g/h]</v>
      </c>
      <c r="B80" s="102"/>
      <c r="C80" s="103" t="str">
        <f t="shared" si="3"/>
        <v/>
      </c>
      <c r="D80" s="103" t="str">
        <f t="shared" ref="D80:AB80" si="33">IF(SUM(D48:D76)=0, "", (D48*$B48/(D$43*$B$43))*$F$5)</f>
        <v/>
      </c>
      <c r="E80" s="103" t="str">
        <f t="shared" si="33"/>
        <v/>
      </c>
      <c r="F80" s="103" t="str">
        <f t="shared" si="33"/>
        <v/>
      </c>
      <c r="G80" s="103" t="str">
        <f t="shared" si="33"/>
        <v/>
      </c>
      <c r="H80" s="103" t="str">
        <f t="shared" si="33"/>
        <v/>
      </c>
      <c r="I80" s="103" t="str">
        <f t="shared" si="33"/>
        <v/>
      </c>
      <c r="J80" s="103" t="str">
        <f t="shared" si="33"/>
        <v/>
      </c>
      <c r="K80" s="103" t="str">
        <f t="shared" si="33"/>
        <v/>
      </c>
      <c r="L80" s="103" t="str">
        <f t="shared" si="33"/>
        <v/>
      </c>
      <c r="M80" s="103" t="str">
        <f t="shared" si="33"/>
        <v/>
      </c>
      <c r="N80" s="103" t="str">
        <f t="shared" si="33"/>
        <v/>
      </c>
      <c r="O80" s="103" t="str">
        <f t="shared" si="33"/>
        <v/>
      </c>
      <c r="P80" s="103" t="str">
        <f t="shared" si="33"/>
        <v/>
      </c>
      <c r="Q80" s="103" t="str">
        <f t="shared" si="33"/>
        <v/>
      </c>
      <c r="R80" s="103" t="str">
        <f t="shared" si="33"/>
        <v/>
      </c>
      <c r="S80" s="103" t="str">
        <f t="shared" si="33"/>
        <v/>
      </c>
      <c r="T80" s="103" t="str">
        <f t="shared" si="33"/>
        <v/>
      </c>
      <c r="U80" s="103" t="str">
        <f t="shared" si="33"/>
        <v/>
      </c>
      <c r="V80" s="103" t="str">
        <f t="shared" si="33"/>
        <v/>
      </c>
      <c r="W80" s="103" t="str">
        <f t="shared" si="33"/>
        <v/>
      </c>
      <c r="X80" s="103" t="str">
        <f t="shared" si="33"/>
        <v/>
      </c>
      <c r="Y80" s="103" t="str">
        <f t="shared" si="33"/>
        <v/>
      </c>
      <c r="Z80" s="103" t="str">
        <f t="shared" si="33"/>
        <v/>
      </c>
      <c r="AA80" s="103" t="str">
        <f t="shared" si="33"/>
        <v/>
      </c>
      <c r="AB80" s="103" t="str">
        <f t="shared" si="33"/>
        <v/>
      </c>
      <c r="AC80" s="192" t="e">
        <f t="shared" si="5"/>
        <v>#VALUE!</v>
      </c>
      <c r="AD80" s="189">
        <v>0</v>
      </c>
    </row>
    <row r="81" spans="1:30" ht="18" customHeight="1" outlineLevel="1" x14ac:dyDescent="0.25">
      <c r="A81" s="9" t="str">
        <f t="shared" si="2"/>
        <v/>
      </c>
      <c r="B81" s="102"/>
      <c r="C81" s="103" t="str">
        <f t="shared" si="3"/>
        <v/>
      </c>
      <c r="D81" s="103" t="str">
        <f t="shared" ref="D81:AB81" si="34">IF(SUM(D49:D77)=0, "", (D49*$B49/(D$43*$B$43))*$F$5)</f>
        <v/>
      </c>
      <c r="E81" s="103" t="str">
        <f t="shared" si="34"/>
        <v/>
      </c>
      <c r="F81" s="103" t="str">
        <f t="shared" si="34"/>
        <v/>
      </c>
      <c r="G81" s="103" t="str">
        <f t="shared" si="34"/>
        <v/>
      </c>
      <c r="H81" s="103" t="str">
        <f t="shared" si="34"/>
        <v/>
      </c>
      <c r="I81" s="103" t="str">
        <f t="shared" si="34"/>
        <v/>
      </c>
      <c r="J81" s="103" t="str">
        <f t="shared" si="34"/>
        <v/>
      </c>
      <c r="K81" s="103" t="str">
        <f t="shared" si="34"/>
        <v/>
      </c>
      <c r="L81" s="103" t="str">
        <f t="shared" si="34"/>
        <v/>
      </c>
      <c r="M81" s="103" t="str">
        <f t="shared" si="34"/>
        <v/>
      </c>
      <c r="N81" s="103" t="str">
        <f t="shared" si="34"/>
        <v/>
      </c>
      <c r="O81" s="103" t="str">
        <f t="shared" si="34"/>
        <v/>
      </c>
      <c r="P81" s="103" t="str">
        <f t="shared" si="34"/>
        <v/>
      </c>
      <c r="Q81" s="103" t="str">
        <f t="shared" si="34"/>
        <v/>
      </c>
      <c r="R81" s="103" t="str">
        <f t="shared" si="34"/>
        <v/>
      </c>
      <c r="S81" s="103" t="str">
        <f t="shared" si="34"/>
        <v/>
      </c>
      <c r="T81" s="103" t="str">
        <f t="shared" si="34"/>
        <v/>
      </c>
      <c r="U81" s="103" t="str">
        <f t="shared" si="34"/>
        <v/>
      </c>
      <c r="V81" s="103" t="str">
        <f t="shared" si="34"/>
        <v/>
      </c>
      <c r="W81" s="103" t="str">
        <f t="shared" si="34"/>
        <v/>
      </c>
      <c r="X81" s="103" t="str">
        <f t="shared" si="34"/>
        <v/>
      </c>
      <c r="Y81" s="103" t="str">
        <f t="shared" si="34"/>
        <v/>
      </c>
      <c r="Z81" s="103" t="str">
        <f t="shared" si="34"/>
        <v/>
      </c>
      <c r="AA81" s="103" t="str">
        <f t="shared" si="34"/>
        <v/>
      </c>
      <c r="AB81" s="103" t="str">
        <f t="shared" si="34"/>
        <v/>
      </c>
    </row>
    <row r="82" spans="1:30" ht="18" customHeight="1" outlineLevel="1" x14ac:dyDescent="0.25">
      <c r="A82" s="9" t="s">
        <v>250</v>
      </c>
      <c r="B82" s="102"/>
      <c r="C82" s="103" t="str">
        <f t="shared" si="3"/>
        <v/>
      </c>
      <c r="D82" s="103" t="str">
        <f t="shared" ref="D82:AB82" si="35">IF(SUM(D52:D81)=0,"",SUM(D52:D73,D78,D79))</f>
        <v/>
      </c>
      <c r="E82" s="103" t="str">
        <f t="shared" si="35"/>
        <v/>
      </c>
      <c r="F82" s="103" t="str">
        <f t="shared" si="35"/>
        <v/>
      </c>
      <c r="G82" s="103" t="str">
        <f t="shared" si="35"/>
        <v/>
      </c>
      <c r="H82" s="103" t="str">
        <f t="shared" si="35"/>
        <v/>
      </c>
      <c r="I82" s="103" t="str">
        <f t="shared" si="35"/>
        <v/>
      </c>
      <c r="J82" s="103" t="str">
        <f t="shared" si="35"/>
        <v/>
      </c>
      <c r="K82" s="103" t="str">
        <f t="shared" si="35"/>
        <v/>
      </c>
      <c r="L82" s="103" t="str">
        <f t="shared" si="35"/>
        <v/>
      </c>
      <c r="M82" s="103" t="str">
        <f t="shared" si="35"/>
        <v/>
      </c>
      <c r="N82" s="103" t="str">
        <f t="shared" si="35"/>
        <v/>
      </c>
      <c r="O82" s="103" t="str">
        <f t="shared" si="35"/>
        <v/>
      </c>
      <c r="P82" s="103" t="str">
        <f t="shared" si="35"/>
        <v/>
      </c>
      <c r="Q82" s="103" t="str">
        <f t="shared" si="35"/>
        <v/>
      </c>
      <c r="R82" s="103" t="str">
        <f t="shared" si="35"/>
        <v/>
      </c>
      <c r="S82" s="103" t="str">
        <f t="shared" si="35"/>
        <v/>
      </c>
      <c r="T82" s="103" t="str">
        <f t="shared" si="35"/>
        <v/>
      </c>
      <c r="U82" s="103" t="str">
        <f t="shared" si="35"/>
        <v/>
      </c>
      <c r="V82" s="103" t="str">
        <f t="shared" si="35"/>
        <v/>
      </c>
      <c r="W82" s="103" t="str">
        <f t="shared" si="35"/>
        <v/>
      </c>
      <c r="X82" s="103" t="str">
        <f t="shared" si="35"/>
        <v/>
      </c>
      <c r="Y82" s="103" t="str">
        <f t="shared" si="35"/>
        <v/>
      </c>
      <c r="Z82" s="103" t="str">
        <f t="shared" si="35"/>
        <v/>
      </c>
      <c r="AA82" s="103" t="str">
        <f t="shared" si="35"/>
        <v/>
      </c>
      <c r="AB82" s="103" t="str">
        <f t="shared" si="35"/>
        <v/>
      </c>
    </row>
    <row r="83" spans="1:30" ht="18" customHeight="1" outlineLevel="1" x14ac:dyDescent="0.25">
      <c r="A83" s="9" t="s">
        <v>251</v>
      </c>
      <c r="B83" s="102"/>
      <c r="C83" s="103" t="str">
        <f t="shared" si="3"/>
        <v/>
      </c>
      <c r="D83" s="103" t="str">
        <f t="shared" ref="D83:AB83" si="36">IFERROR(D74+D76,"")</f>
        <v/>
      </c>
      <c r="E83" s="103" t="str">
        <f t="shared" si="36"/>
        <v/>
      </c>
      <c r="F83" s="103" t="str">
        <f t="shared" si="36"/>
        <v/>
      </c>
      <c r="G83" s="103" t="str">
        <f t="shared" si="36"/>
        <v/>
      </c>
      <c r="H83" s="103" t="str">
        <f t="shared" si="36"/>
        <v/>
      </c>
      <c r="I83" s="103" t="str">
        <f t="shared" si="36"/>
        <v/>
      </c>
      <c r="J83" s="103" t="str">
        <f t="shared" si="36"/>
        <v/>
      </c>
      <c r="K83" s="103" t="str">
        <f t="shared" si="36"/>
        <v/>
      </c>
      <c r="L83" s="103" t="str">
        <f t="shared" si="36"/>
        <v/>
      </c>
      <c r="M83" s="103" t="str">
        <f t="shared" si="36"/>
        <v/>
      </c>
      <c r="N83" s="103" t="str">
        <f t="shared" si="36"/>
        <v/>
      </c>
      <c r="O83" s="103" t="str">
        <f t="shared" si="36"/>
        <v/>
      </c>
      <c r="P83" s="103" t="str">
        <f t="shared" si="36"/>
        <v/>
      </c>
      <c r="Q83" s="103" t="str">
        <f t="shared" si="36"/>
        <v/>
      </c>
      <c r="R83" s="103" t="str">
        <f t="shared" si="36"/>
        <v/>
      </c>
      <c r="S83" s="103" t="str">
        <f t="shared" si="36"/>
        <v/>
      </c>
      <c r="T83" s="103" t="str">
        <f t="shared" si="36"/>
        <v/>
      </c>
      <c r="U83" s="103" t="str">
        <f t="shared" si="36"/>
        <v/>
      </c>
      <c r="V83" s="103" t="str">
        <f t="shared" si="36"/>
        <v/>
      </c>
      <c r="W83" s="103" t="str">
        <f t="shared" si="36"/>
        <v/>
      </c>
      <c r="X83" s="103" t="str">
        <f t="shared" si="36"/>
        <v/>
      </c>
      <c r="Y83" s="103" t="str">
        <f t="shared" si="36"/>
        <v/>
      </c>
      <c r="Z83" s="103" t="str">
        <f t="shared" si="36"/>
        <v/>
      </c>
      <c r="AA83" s="103" t="str">
        <f t="shared" si="36"/>
        <v/>
      </c>
      <c r="AB83" s="103" t="str">
        <f t="shared" si="36"/>
        <v/>
      </c>
    </row>
    <row r="84" spans="1:30" ht="18" customHeight="1" outlineLevel="1" x14ac:dyDescent="0.25">
      <c r="A84" s="9" t="s">
        <v>252</v>
      </c>
      <c r="B84" s="102"/>
      <c r="C84" s="103" t="str">
        <f t="shared" si="3"/>
        <v/>
      </c>
      <c r="D84" s="103" t="str">
        <f t="shared" ref="D84:AB84" si="37">IF(SUM(D82:D83)=0,"",SUM(D82:D83))</f>
        <v/>
      </c>
      <c r="E84" s="103" t="str">
        <f t="shared" si="37"/>
        <v/>
      </c>
      <c r="F84" s="103" t="str">
        <f t="shared" si="37"/>
        <v/>
      </c>
      <c r="G84" s="103" t="str">
        <f t="shared" si="37"/>
        <v/>
      </c>
      <c r="H84" s="103" t="str">
        <f t="shared" si="37"/>
        <v/>
      </c>
      <c r="I84" s="103" t="str">
        <f t="shared" si="37"/>
        <v/>
      </c>
      <c r="J84" s="103" t="str">
        <f t="shared" si="37"/>
        <v/>
      </c>
      <c r="K84" s="103" t="str">
        <f t="shared" si="37"/>
        <v/>
      </c>
      <c r="L84" s="103" t="str">
        <f t="shared" si="37"/>
        <v/>
      </c>
      <c r="M84" s="103" t="str">
        <f t="shared" si="37"/>
        <v/>
      </c>
      <c r="N84" s="103" t="str">
        <f t="shared" si="37"/>
        <v/>
      </c>
      <c r="O84" s="103" t="str">
        <f t="shared" si="37"/>
        <v/>
      </c>
      <c r="P84" s="103" t="str">
        <f t="shared" si="37"/>
        <v/>
      </c>
      <c r="Q84" s="103" t="str">
        <f t="shared" si="37"/>
        <v/>
      </c>
      <c r="R84" s="103" t="str">
        <f t="shared" si="37"/>
        <v/>
      </c>
      <c r="S84" s="103" t="str">
        <f t="shared" si="37"/>
        <v/>
      </c>
      <c r="T84" s="103" t="str">
        <f t="shared" si="37"/>
        <v/>
      </c>
      <c r="U84" s="103" t="str">
        <f t="shared" si="37"/>
        <v/>
      </c>
      <c r="V84" s="103" t="str">
        <f t="shared" si="37"/>
        <v/>
      </c>
      <c r="W84" s="103" t="str">
        <f t="shared" si="37"/>
        <v/>
      </c>
      <c r="X84" s="103" t="str">
        <f t="shared" si="37"/>
        <v/>
      </c>
      <c r="Y84" s="103" t="str">
        <f t="shared" si="37"/>
        <v/>
      </c>
      <c r="Z84" s="103" t="str">
        <f t="shared" si="37"/>
        <v/>
      </c>
      <c r="AA84" s="103" t="str">
        <f t="shared" si="37"/>
        <v/>
      </c>
      <c r="AB84" s="103" t="str">
        <f t="shared" si="37"/>
        <v/>
      </c>
    </row>
    <row r="86" spans="1:30" ht="18" customHeight="1" outlineLevel="2" x14ac:dyDescent="0.25">
      <c r="A86" s="9" t="s">
        <v>253</v>
      </c>
      <c r="B86" s="189"/>
      <c r="C86" s="7" t="str">
        <f>IFERROR(AVERAGE(D86:AB86), "")</f>
        <v/>
      </c>
      <c r="D86" s="7" t="str">
        <f>IF(D$75="","",D$75/Gas!$I$35*Gas!$B$11)</f>
        <v/>
      </c>
      <c r="E86" s="7" t="str">
        <f>IF(E$75="","",E$75/Gas!$I$35*Gas!$B$11)</f>
        <v/>
      </c>
      <c r="F86" s="7" t="str">
        <f>IF(F$75="","",F$75/Gas!$I$35*Gas!$B$11)</f>
        <v/>
      </c>
      <c r="G86" s="7" t="str">
        <f>IF(G$75="","",G$75/Gas!$I$35*Gas!$B$11)</f>
        <v/>
      </c>
      <c r="H86" s="7" t="str">
        <f>IF(H$75="","",H$75/Gas!$I$35*Gas!$B$11)</f>
        <v/>
      </c>
      <c r="I86" s="7" t="str">
        <f>IF(I$75="","",I$75/Gas!$I$35*Gas!$B$11)</f>
        <v/>
      </c>
      <c r="J86" s="7" t="str">
        <f>IF(J$75="","",J$75/Gas!$I$35*Gas!$B$11)</f>
        <v/>
      </c>
      <c r="K86" s="7" t="str">
        <f>IF(K$75="","",K$75/Gas!$I$35*Gas!$B$11)</f>
        <v/>
      </c>
      <c r="L86" s="7" t="str">
        <f>IF(L$75="","",L$75/Gas!$I$35*Gas!$B$11)</f>
        <v/>
      </c>
      <c r="M86" s="7" t="str">
        <f>IF(M$75="","",M$75/Gas!$I$35*Gas!$B$11)</f>
        <v/>
      </c>
      <c r="N86" s="7" t="str">
        <f>IF(N$75="","",N$75/Gas!$I$35*Gas!$B$11)</f>
        <v/>
      </c>
      <c r="O86" s="7" t="str">
        <f>IF(O$75="","",O$75/Gas!$I$35*Gas!$B$11)</f>
        <v/>
      </c>
      <c r="P86" s="7" t="str">
        <f>IF(P$75="","",P$75/Gas!$I$35*Gas!$B$11)</f>
        <v/>
      </c>
      <c r="Q86" s="7" t="str">
        <f>IF(Q$75="","",Q$75/Gas!$I$35*Gas!$B$11)</f>
        <v/>
      </c>
      <c r="R86" s="7" t="str">
        <f>IF(R$75="","",R$75/Gas!$I$35*Gas!$B$11)</f>
        <v/>
      </c>
      <c r="S86" s="7" t="str">
        <f>IF(S$75="","",S$75/Gas!$I$35*Gas!$B$11)</f>
        <v/>
      </c>
      <c r="T86" s="7" t="str">
        <f>IF(T$75="","",T$75/Gas!$I$35*Gas!$B$11)</f>
        <v/>
      </c>
      <c r="U86" s="7" t="str">
        <f>IF(U$75="","",U$75/Gas!$I$35*Gas!$B$11)</f>
        <v/>
      </c>
      <c r="V86" s="7" t="str">
        <f>IF(V$75="","",V$75/Gas!$I$35*Gas!$B$11)</f>
        <v/>
      </c>
      <c r="W86" s="7" t="str">
        <f>IF(W$75="","",W$75/Gas!$I$35*Gas!$B$11)</f>
        <v/>
      </c>
      <c r="X86" s="7" t="str">
        <f>IF(X$75="","",X$75/Gas!$I$35*Gas!$B$11)</f>
        <v/>
      </c>
      <c r="Y86" s="7" t="str">
        <f>IF(Y$75="","",Y$75/Gas!$I$35*Gas!$B$11)</f>
        <v/>
      </c>
      <c r="Z86" s="7" t="str">
        <f>IF(Z$75="","",Z$75/Gas!$I$35*Gas!$B$11)</f>
        <v/>
      </c>
      <c r="AA86" s="7" t="str">
        <f>IF(AA$75="","",AA$75/Gas!$I$35*Gas!$B$11)</f>
        <v/>
      </c>
      <c r="AB86" s="7" t="str">
        <f>IF(AB$75="","",AB$75/Gas!$I$35*Gas!$B$11)</f>
        <v/>
      </c>
    </row>
    <row r="87" spans="1:30" ht="18" customHeight="1" outlineLevel="2" x14ac:dyDescent="0.25">
      <c r="A87" s="9" t="s">
        <v>254</v>
      </c>
      <c r="B87" s="218"/>
      <c r="C87" s="7" t="s">
        <v>247</v>
      </c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D87" s="136"/>
    </row>
    <row r="88" spans="1:30" ht="18" customHeight="1" outlineLevel="2" x14ac:dyDescent="0.25">
      <c r="A88" s="9" t="str">
        <f t="shared" ref="A88:A118" si="38">IF(A20="", "", CONCATENATE(A20, " [Nl/h]"))</f>
        <v>Methane [Nl/h]</v>
      </c>
      <c r="B88" s="219"/>
      <c r="C88" s="103" t="str">
        <f t="shared" ref="C88:C118" si="39">IFERROR(AVERAGE(D88:AB88), "")</f>
        <v/>
      </c>
      <c r="D88" s="103" t="str">
        <f t="shared" ref="D88:AB88" si="40">IF(D$86="","",D20/100*D$86)</f>
        <v/>
      </c>
      <c r="E88" s="103" t="str">
        <f t="shared" si="40"/>
        <v/>
      </c>
      <c r="F88" s="103" t="str">
        <f t="shared" si="40"/>
        <v/>
      </c>
      <c r="G88" s="103" t="str">
        <f t="shared" si="40"/>
        <v/>
      </c>
      <c r="H88" s="103" t="str">
        <f t="shared" si="40"/>
        <v/>
      </c>
      <c r="I88" s="103" t="str">
        <f t="shared" si="40"/>
        <v/>
      </c>
      <c r="J88" s="103" t="str">
        <f t="shared" si="40"/>
        <v/>
      </c>
      <c r="K88" s="103" t="str">
        <f t="shared" si="40"/>
        <v/>
      </c>
      <c r="L88" s="103" t="str">
        <f t="shared" si="40"/>
        <v/>
      </c>
      <c r="M88" s="103" t="str">
        <f t="shared" si="40"/>
        <v/>
      </c>
      <c r="N88" s="103" t="str">
        <f t="shared" si="40"/>
        <v/>
      </c>
      <c r="O88" s="103" t="str">
        <f t="shared" si="40"/>
        <v/>
      </c>
      <c r="P88" s="103" t="str">
        <f t="shared" si="40"/>
        <v/>
      </c>
      <c r="Q88" s="103" t="str">
        <f t="shared" si="40"/>
        <v/>
      </c>
      <c r="R88" s="103" t="str">
        <f t="shared" si="40"/>
        <v/>
      </c>
      <c r="S88" s="103" t="str">
        <f t="shared" si="40"/>
        <v/>
      </c>
      <c r="T88" s="103" t="str">
        <f t="shared" si="40"/>
        <v/>
      </c>
      <c r="U88" s="103" t="str">
        <f t="shared" si="40"/>
        <v/>
      </c>
      <c r="V88" s="103" t="str">
        <f t="shared" si="40"/>
        <v/>
      </c>
      <c r="W88" s="103" t="str">
        <f t="shared" si="40"/>
        <v/>
      </c>
      <c r="X88" s="103" t="str">
        <f t="shared" si="40"/>
        <v/>
      </c>
      <c r="Y88" s="103" t="str">
        <f t="shared" si="40"/>
        <v/>
      </c>
      <c r="Z88" s="103" t="str">
        <f t="shared" si="40"/>
        <v/>
      </c>
      <c r="AA88" s="103" t="str">
        <f t="shared" si="40"/>
        <v/>
      </c>
      <c r="AB88" s="103" t="str">
        <f t="shared" si="40"/>
        <v/>
      </c>
    </row>
    <row r="89" spans="1:30" ht="18" customHeight="1" outlineLevel="2" x14ac:dyDescent="0.25">
      <c r="A89" s="9" t="str">
        <f t="shared" si="38"/>
        <v>Ethane [Nl/h]</v>
      </c>
      <c r="B89" s="219"/>
      <c r="C89" s="103" t="str">
        <f t="shared" si="39"/>
        <v/>
      </c>
      <c r="D89" s="103" t="str">
        <f t="shared" ref="D89:AB89" si="41">IF(D$86="","",D21/100*D$86)</f>
        <v/>
      </c>
      <c r="E89" s="103" t="str">
        <f t="shared" si="41"/>
        <v/>
      </c>
      <c r="F89" s="103" t="str">
        <f t="shared" si="41"/>
        <v/>
      </c>
      <c r="G89" s="103" t="str">
        <f t="shared" si="41"/>
        <v/>
      </c>
      <c r="H89" s="103" t="str">
        <f t="shared" si="41"/>
        <v/>
      </c>
      <c r="I89" s="103" t="str">
        <f t="shared" si="41"/>
        <v/>
      </c>
      <c r="J89" s="103" t="str">
        <f t="shared" si="41"/>
        <v/>
      </c>
      <c r="K89" s="103" t="str">
        <f t="shared" si="41"/>
        <v/>
      </c>
      <c r="L89" s="103" t="str">
        <f t="shared" si="41"/>
        <v/>
      </c>
      <c r="M89" s="103" t="str">
        <f t="shared" si="41"/>
        <v/>
      </c>
      <c r="N89" s="103" t="str">
        <f t="shared" si="41"/>
        <v/>
      </c>
      <c r="O89" s="103" t="str">
        <f t="shared" si="41"/>
        <v/>
      </c>
      <c r="P89" s="103" t="str">
        <f t="shared" si="41"/>
        <v/>
      </c>
      <c r="Q89" s="103" t="str">
        <f t="shared" si="41"/>
        <v/>
      </c>
      <c r="R89" s="103" t="str">
        <f t="shared" si="41"/>
        <v/>
      </c>
      <c r="S89" s="103" t="str">
        <f t="shared" si="41"/>
        <v/>
      </c>
      <c r="T89" s="103" t="str">
        <f t="shared" si="41"/>
        <v/>
      </c>
      <c r="U89" s="103" t="str">
        <f t="shared" si="41"/>
        <v/>
      </c>
      <c r="V89" s="103" t="str">
        <f t="shared" si="41"/>
        <v/>
      </c>
      <c r="W89" s="103" t="str">
        <f t="shared" si="41"/>
        <v/>
      </c>
      <c r="X89" s="103" t="str">
        <f t="shared" si="41"/>
        <v/>
      </c>
      <c r="Y89" s="103" t="str">
        <f t="shared" si="41"/>
        <v/>
      </c>
      <c r="Z89" s="103" t="str">
        <f t="shared" si="41"/>
        <v/>
      </c>
      <c r="AA89" s="103" t="str">
        <f t="shared" si="41"/>
        <v/>
      </c>
      <c r="AB89" s="103" t="str">
        <f t="shared" si="41"/>
        <v/>
      </c>
    </row>
    <row r="90" spans="1:30" ht="18" customHeight="1" outlineLevel="2" x14ac:dyDescent="0.25">
      <c r="A90" s="9" t="str">
        <f t="shared" si="38"/>
        <v>Ethylene [Nl/h]</v>
      </c>
      <c r="B90" s="219"/>
      <c r="C90" s="103" t="str">
        <f t="shared" si="39"/>
        <v/>
      </c>
      <c r="D90" s="103" t="str">
        <f t="shared" ref="D90:AB90" si="42">IF(D$86="","",D22/100*D$86)</f>
        <v/>
      </c>
      <c r="E90" s="103" t="str">
        <f t="shared" si="42"/>
        <v/>
      </c>
      <c r="F90" s="103" t="str">
        <f t="shared" si="42"/>
        <v/>
      </c>
      <c r="G90" s="103" t="str">
        <f t="shared" si="42"/>
        <v/>
      </c>
      <c r="H90" s="103" t="str">
        <f t="shared" si="42"/>
        <v/>
      </c>
      <c r="I90" s="103" t="str">
        <f t="shared" si="42"/>
        <v/>
      </c>
      <c r="J90" s="103" t="str">
        <f t="shared" si="42"/>
        <v/>
      </c>
      <c r="K90" s="103" t="str">
        <f t="shared" si="42"/>
        <v/>
      </c>
      <c r="L90" s="103" t="str">
        <f t="shared" si="42"/>
        <v/>
      </c>
      <c r="M90" s="103" t="str">
        <f t="shared" si="42"/>
        <v/>
      </c>
      <c r="N90" s="103" t="str">
        <f t="shared" si="42"/>
        <v/>
      </c>
      <c r="O90" s="103" t="str">
        <f t="shared" si="42"/>
        <v/>
      </c>
      <c r="P90" s="103" t="str">
        <f t="shared" si="42"/>
        <v/>
      </c>
      <c r="Q90" s="103" t="str">
        <f t="shared" si="42"/>
        <v/>
      </c>
      <c r="R90" s="103" t="str">
        <f t="shared" si="42"/>
        <v/>
      </c>
      <c r="S90" s="103" t="str">
        <f t="shared" si="42"/>
        <v/>
      </c>
      <c r="T90" s="103" t="str">
        <f t="shared" si="42"/>
        <v/>
      </c>
      <c r="U90" s="103" t="str">
        <f t="shared" si="42"/>
        <v/>
      </c>
      <c r="V90" s="103" t="str">
        <f t="shared" si="42"/>
        <v/>
      </c>
      <c r="W90" s="103" t="str">
        <f t="shared" si="42"/>
        <v/>
      </c>
      <c r="X90" s="103" t="str">
        <f t="shared" si="42"/>
        <v/>
      </c>
      <c r="Y90" s="103" t="str">
        <f t="shared" si="42"/>
        <v/>
      </c>
      <c r="Z90" s="103" t="str">
        <f t="shared" si="42"/>
        <v/>
      </c>
      <c r="AA90" s="103" t="str">
        <f t="shared" si="42"/>
        <v/>
      </c>
      <c r="AB90" s="103" t="str">
        <f t="shared" si="42"/>
        <v/>
      </c>
    </row>
    <row r="91" spans="1:30" ht="18" customHeight="1" outlineLevel="2" x14ac:dyDescent="0.25">
      <c r="A91" s="9" t="str">
        <f t="shared" si="38"/>
        <v>Propane [Nl/h]</v>
      </c>
      <c r="B91" s="219"/>
      <c r="C91" s="103" t="str">
        <f t="shared" si="39"/>
        <v/>
      </c>
      <c r="D91" s="103" t="str">
        <f t="shared" ref="D91:AB91" si="43">IF(D$86="","",D23/100*D$86)</f>
        <v/>
      </c>
      <c r="E91" s="103" t="str">
        <f t="shared" si="43"/>
        <v/>
      </c>
      <c r="F91" s="103" t="str">
        <f t="shared" si="43"/>
        <v/>
      </c>
      <c r="G91" s="103" t="str">
        <f t="shared" si="43"/>
        <v/>
      </c>
      <c r="H91" s="103" t="str">
        <f t="shared" si="43"/>
        <v/>
      </c>
      <c r="I91" s="103" t="str">
        <f t="shared" si="43"/>
        <v/>
      </c>
      <c r="J91" s="103" t="str">
        <f t="shared" si="43"/>
        <v/>
      </c>
      <c r="K91" s="103" t="str">
        <f t="shared" si="43"/>
        <v/>
      </c>
      <c r="L91" s="103" t="str">
        <f t="shared" si="43"/>
        <v/>
      </c>
      <c r="M91" s="103" t="str">
        <f t="shared" si="43"/>
        <v/>
      </c>
      <c r="N91" s="103" t="str">
        <f t="shared" si="43"/>
        <v/>
      </c>
      <c r="O91" s="103" t="str">
        <f t="shared" si="43"/>
        <v/>
      </c>
      <c r="P91" s="103" t="str">
        <f t="shared" si="43"/>
        <v/>
      </c>
      <c r="Q91" s="103" t="str">
        <f t="shared" si="43"/>
        <v/>
      </c>
      <c r="R91" s="103" t="str">
        <f t="shared" si="43"/>
        <v/>
      </c>
      <c r="S91" s="103" t="str">
        <f t="shared" si="43"/>
        <v/>
      </c>
      <c r="T91" s="103" t="str">
        <f t="shared" si="43"/>
        <v/>
      </c>
      <c r="U91" s="103" t="str">
        <f t="shared" si="43"/>
        <v/>
      </c>
      <c r="V91" s="103" t="str">
        <f t="shared" si="43"/>
        <v/>
      </c>
      <c r="W91" s="103" t="str">
        <f t="shared" si="43"/>
        <v/>
      </c>
      <c r="X91" s="103" t="str">
        <f t="shared" si="43"/>
        <v/>
      </c>
      <c r="Y91" s="103" t="str">
        <f t="shared" si="43"/>
        <v/>
      </c>
      <c r="Z91" s="103" t="str">
        <f t="shared" si="43"/>
        <v/>
      </c>
      <c r="AA91" s="103" t="str">
        <f t="shared" si="43"/>
        <v/>
      </c>
      <c r="AB91" s="103" t="str">
        <f t="shared" si="43"/>
        <v/>
      </c>
    </row>
    <row r="92" spans="1:30" ht="18" customHeight="1" outlineLevel="2" x14ac:dyDescent="0.25">
      <c r="A92" s="9" t="str">
        <f t="shared" si="38"/>
        <v>Propylene [Nl/h]</v>
      </c>
      <c r="B92" s="219"/>
      <c r="C92" s="103" t="str">
        <f t="shared" si="39"/>
        <v/>
      </c>
      <c r="D92" s="103" t="str">
        <f t="shared" ref="D92:AB92" si="44">IF(D$86="","",D24/100*D$86)</f>
        <v/>
      </c>
      <c r="E92" s="103" t="str">
        <f t="shared" si="44"/>
        <v/>
      </c>
      <c r="F92" s="103" t="str">
        <f t="shared" si="44"/>
        <v/>
      </c>
      <c r="G92" s="103" t="str">
        <f t="shared" si="44"/>
        <v/>
      </c>
      <c r="H92" s="103" t="str">
        <f t="shared" si="44"/>
        <v/>
      </c>
      <c r="I92" s="103" t="str">
        <f t="shared" si="44"/>
        <v/>
      </c>
      <c r="J92" s="103" t="str">
        <f t="shared" si="44"/>
        <v/>
      </c>
      <c r="K92" s="103" t="str">
        <f t="shared" si="44"/>
        <v/>
      </c>
      <c r="L92" s="103" t="str">
        <f t="shared" si="44"/>
        <v/>
      </c>
      <c r="M92" s="103" t="str">
        <f t="shared" si="44"/>
        <v/>
      </c>
      <c r="N92" s="103" t="str">
        <f t="shared" si="44"/>
        <v/>
      </c>
      <c r="O92" s="103" t="str">
        <f t="shared" si="44"/>
        <v/>
      </c>
      <c r="P92" s="103" t="str">
        <f t="shared" si="44"/>
        <v/>
      </c>
      <c r="Q92" s="103" t="str">
        <f t="shared" si="44"/>
        <v/>
      </c>
      <c r="R92" s="103" t="str">
        <f t="shared" si="44"/>
        <v/>
      </c>
      <c r="S92" s="103" t="str">
        <f t="shared" si="44"/>
        <v/>
      </c>
      <c r="T92" s="103" t="str">
        <f t="shared" si="44"/>
        <v/>
      </c>
      <c r="U92" s="103" t="str">
        <f t="shared" si="44"/>
        <v/>
      </c>
      <c r="V92" s="103" t="str">
        <f t="shared" si="44"/>
        <v/>
      </c>
      <c r="W92" s="103" t="str">
        <f t="shared" si="44"/>
        <v/>
      </c>
      <c r="X92" s="103" t="str">
        <f t="shared" si="44"/>
        <v/>
      </c>
      <c r="Y92" s="103" t="str">
        <f t="shared" si="44"/>
        <v/>
      </c>
      <c r="Z92" s="103" t="str">
        <f t="shared" si="44"/>
        <v/>
      </c>
      <c r="AA92" s="103" t="str">
        <f t="shared" si="44"/>
        <v/>
      </c>
      <c r="AB92" s="103" t="str">
        <f t="shared" si="44"/>
        <v/>
      </c>
    </row>
    <row r="93" spans="1:30" ht="18" customHeight="1" outlineLevel="2" x14ac:dyDescent="0.25">
      <c r="A93" s="9" t="str">
        <f t="shared" si="38"/>
        <v>Butane [Nl/h]</v>
      </c>
      <c r="B93" s="219"/>
      <c r="C93" s="103" t="str">
        <f t="shared" si="39"/>
        <v/>
      </c>
      <c r="D93" s="103" t="str">
        <f t="shared" ref="D93:AB93" si="45">IF(D$86="","",D25/100*D$86)</f>
        <v/>
      </c>
      <c r="E93" s="103" t="str">
        <f t="shared" si="45"/>
        <v/>
      </c>
      <c r="F93" s="103" t="str">
        <f t="shared" si="45"/>
        <v/>
      </c>
      <c r="G93" s="103" t="str">
        <f t="shared" si="45"/>
        <v/>
      </c>
      <c r="H93" s="103" t="str">
        <f t="shared" si="45"/>
        <v/>
      </c>
      <c r="I93" s="103" t="str">
        <f t="shared" si="45"/>
        <v/>
      </c>
      <c r="J93" s="103" t="str">
        <f t="shared" si="45"/>
        <v/>
      </c>
      <c r="K93" s="103" t="str">
        <f t="shared" si="45"/>
        <v/>
      </c>
      <c r="L93" s="103" t="str">
        <f t="shared" si="45"/>
        <v/>
      </c>
      <c r="M93" s="103" t="str">
        <f t="shared" si="45"/>
        <v/>
      </c>
      <c r="N93" s="103" t="str">
        <f t="shared" si="45"/>
        <v/>
      </c>
      <c r="O93" s="103" t="str">
        <f t="shared" si="45"/>
        <v/>
      </c>
      <c r="P93" s="103" t="str">
        <f t="shared" si="45"/>
        <v/>
      </c>
      <c r="Q93" s="103" t="str">
        <f t="shared" si="45"/>
        <v/>
      </c>
      <c r="R93" s="103" t="str">
        <f t="shared" si="45"/>
        <v/>
      </c>
      <c r="S93" s="103" t="str">
        <f t="shared" si="45"/>
        <v/>
      </c>
      <c r="T93" s="103" t="str">
        <f t="shared" si="45"/>
        <v/>
      </c>
      <c r="U93" s="103" t="str">
        <f t="shared" si="45"/>
        <v/>
      </c>
      <c r="V93" s="103" t="str">
        <f t="shared" si="45"/>
        <v/>
      </c>
      <c r="W93" s="103" t="str">
        <f t="shared" si="45"/>
        <v/>
      </c>
      <c r="X93" s="103" t="str">
        <f t="shared" si="45"/>
        <v/>
      </c>
      <c r="Y93" s="103" t="str">
        <f t="shared" si="45"/>
        <v/>
      </c>
      <c r="Z93" s="103" t="str">
        <f t="shared" si="45"/>
        <v/>
      </c>
      <c r="AA93" s="103" t="str">
        <f t="shared" si="45"/>
        <v/>
      </c>
      <c r="AB93" s="103" t="str">
        <f t="shared" si="45"/>
        <v/>
      </c>
    </row>
    <row r="94" spans="1:30" ht="18" customHeight="1" outlineLevel="2" x14ac:dyDescent="0.25">
      <c r="A94" s="9" t="str">
        <f t="shared" si="38"/>
        <v>Pentane [Nl/h]</v>
      </c>
      <c r="B94" s="219"/>
      <c r="C94" s="103" t="str">
        <f t="shared" si="39"/>
        <v/>
      </c>
      <c r="D94" s="103" t="str">
        <f t="shared" ref="D94:AB94" si="46">IF(D$86="","",D26/100*D$86)</f>
        <v/>
      </c>
      <c r="E94" s="103" t="str">
        <f t="shared" si="46"/>
        <v/>
      </c>
      <c r="F94" s="103" t="str">
        <f t="shared" si="46"/>
        <v/>
      </c>
      <c r="G94" s="103" t="str">
        <f t="shared" si="46"/>
        <v/>
      </c>
      <c r="H94" s="103" t="str">
        <f t="shared" si="46"/>
        <v/>
      </c>
      <c r="I94" s="103" t="str">
        <f t="shared" si="46"/>
        <v/>
      </c>
      <c r="J94" s="103" t="str">
        <f t="shared" si="46"/>
        <v/>
      </c>
      <c r="K94" s="103" t="str">
        <f t="shared" si="46"/>
        <v/>
      </c>
      <c r="L94" s="103" t="str">
        <f t="shared" si="46"/>
        <v/>
      </c>
      <c r="M94" s="103" t="str">
        <f t="shared" si="46"/>
        <v/>
      </c>
      <c r="N94" s="103" t="str">
        <f t="shared" si="46"/>
        <v/>
      </c>
      <c r="O94" s="103" t="str">
        <f t="shared" si="46"/>
        <v/>
      </c>
      <c r="P94" s="103" t="str">
        <f t="shared" si="46"/>
        <v/>
      </c>
      <c r="Q94" s="103" t="str">
        <f t="shared" si="46"/>
        <v/>
      </c>
      <c r="R94" s="103" t="str">
        <f t="shared" si="46"/>
        <v/>
      </c>
      <c r="S94" s="103" t="str">
        <f t="shared" si="46"/>
        <v/>
      </c>
      <c r="T94" s="103" t="str">
        <f t="shared" si="46"/>
        <v/>
      </c>
      <c r="U94" s="103" t="str">
        <f t="shared" si="46"/>
        <v/>
      </c>
      <c r="V94" s="103" t="str">
        <f t="shared" si="46"/>
        <v/>
      </c>
      <c r="W94" s="103" t="str">
        <f t="shared" si="46"/>
        <v/>
      </c>
      <c r="X94" s="103" t="str">
        <f t="shared" si="46"/>
        <v/>
      </c>
      <c r="Y94" s="103" t="str">
        <f t="shared" si="46"/>
        <v/>
      </c>
      <c r="Z94" s="103" t="str">
        <f t="shared" si="46"/>
        <v/>
      </c>
      <c r="AA94" s="103" t="str">
        <f t="shared" si="46"/>
        <v/>
      </c>
      <c r="AB94" s="103" t="str">
        <f t="shared" si="46"/>
        <v/>
      </c>
    </row>
    <row r="95" spans="1:30" ht="18" customHeight="1" outlineLevel="2" x14ac:dyDescent="0.25">
      <c r="A95" s="9" t="str">
        <f t="shared" si="38"/>
        <v>C6s (Isomers of hexane?) [Nl/h]</v>
      </c>
      <c r="B95" s="219"/>
      <c r="C95" s="103" t="str">
        <f t="shared" si="39"/>
        <v/>
      </c>
      <c r="D95" s="103" t="str">
        <f t="shared" ref="D95:AB95" si="47">IF(D$86="","",D27/100*D$86)</f>
        <v/>
      </c>
      <c r="E95" s="103" t="str">
        <f t="shared" si="47"/>
        <v/>
      </c>
      <c r="F95" s="103" t="str">
        <f t="shared" si="47"/>
        <v/>
      </c>
      <c r="G95" s="103" t="str">
        <f t="shared" si="47"/>
        <v/>
      </c>
      <c r="H95" s="103" t="str">
        <f t="shared" si="47"/>
        <v/>
      </c>
      <c r="I95" s="103" t="str">
        <f t="shared" si="47"/>
        <v/>
      </c>
      <c r="J95" s="103" t="str">
        <f t="shared" si="47"/>
        <v/>
      </c>
      <c r="K95" s="103" t="str">
        <f t="shared" si="47"/>
        <v/>
      </c>
      <c r="L95" s="103" t="str">
        <f t="shared" si="47"/>
        <v/>
      </c>
      <c r="M95" s="103" t="str">
        <f t="shared" si="47"/>
        <v/>
      </c>
      <c r="N95" s="103" t="str">
        <f t="shared" si="47"/>
        <v/>
      </c>
      <c r="O95" s="103" t="str">
        <f t="shared" si="47"/>
        <v/>
      </c>
      <c r="P95" s="103" t="str">
        <f t="shared" si="47"/>
        <v/>
      </c>
      <c r="Q95" s="103" t="str">
        <f t="shared" si="47"/>
        <v/>
      </c>
      <c r="R95" s="103" t="str">
        <f t="shared" si="47"/>
        <v/>
      </c>
      <c r="S95" s="103" t="str">
        <f t="shared" si="47"/>
        <v/>
      </c>
      <c r="T95" s="103" t="str">
        <f t="shared" si="47"/>
        <v/>
      </c>
      <c r="U95" s="103" t="str">
        <f t="shared" si="47"/>
        <v/>
      </c>
      <c r="V95" s="103" t="str">
        <f t="shared" si="47"/>
        <v/>
      </c>
      <c r="W95" s="103" t="str">
        <f t="shared" si="47"/>
        <v/>
      </c>
      <c r="X95" s="103" t="str">
        <f t="shared" si="47"/>
        <v/>
      </c>
      <c r="Y95" s="103" t="str">
        <f t="shared" si="47"/>
        <v/>
      </c>
      <c r="Z95" s="103" t="str">
        <f t="shared" si="47"/>
        <v/>
      </c>
      <c r="AA95" s="103" t="str">
        <f t="shared" si="47"/>
        <v/>
      </c>
      <c r="AB95" s="103" t="str">
        <f t="shared" si="47"/>
        <v/>
      </c>
    </row>
    <row r="96" spans="1:30" ht="18" customHeight="1" outlineLevel="2" x14ac:dyDescent="0.25">
      <c r="A96" s="9" t="str">
        <f t="shared" si="38"/>
        <v>Hexane [Nl/h]</v>
      </c>
      <c r="B96" s="219"/>
      <c r="C96" s="103" t="str">
        <f t="shared" si="39"/>
        <v/>
      </c>
      <c r="D96" s="103" t="str">
        <f t="shared" ref="D96:AB96" si="48">IF(D$86="","",D28/100*D$86)</f>
        <v/>
      </c>
      <c r="E96" s="103" t="str">
        <f t="shared" si="48"/>
        <v/>
      </c>
      <c r="F96" s="103" t="str">
        <f t="shared" si="48"/>
        <v/>
      </c>
      <c r="G96" s="103" t="str">
        <f t="shared" si="48"/>
        <v/>
      </c>
      <c r="H96" s="103" t="str">
        <f t="shared" si="48"/>
        <v/>
      </c>
      <c r="I96" s="103" t="str">
        <f t="shared" si="48"/>
        <v/>
      </c>
      <c r="J96" s="103" t="str">
        <f t="shared" si="48"/>
        <v/>
      </c>
      <c r="K96" s="103" t="str">
        <f t="shared" si="48"/>
        <v/>
      </c>
      <c r="L96" s="103" t="str">
        <f t="shared" si="48"/>
        <v/>
      </c>
      <c r="M96" s="103" t="str">
        <f t="shared" si="48"/>
        <v/>
      </c>
      <c r="N96" s="103" t="str">
        <f t="shared" si="48"/>
        <v/>
      </c>
      <c r="O96" s="103" t="str">
        <f t="shared" si="48"/>
        <v/>
      </c>
      <c r="P96" s="103" t="str">
        <f t="shared" si="48"/>
        <v/>
      </c>
      <c r="Q96" s="103" t="str">
        <f t="shared" si="48"/>
        <v/>
      </c>
      <c r="R96" s="103" t="str">
        <f t="shared" si="48"/>
        <v/>
      </c>
      <c r="S96" s="103" t="str">
        <f t="shared" si="48"/>
        <v/>
      </c>
      <c r="T96" s="103" t="str">
        <f t="shared" si="48"/>
        <v/>
      </c>
      <c r="U96" s="103" t="str">
        <f t="shared" si="48"/>
        <v/>
      </c>
      <c r="V96" s="103" t="str">
        <f t="shared" si="48"/>
        <v/>
      </c>
      <c r="W96" s="103" t="str">
        <f t="shared" si="48"/>
        <v/>
      </c>
      <c r="X96" s="103" t="str">
        <f t="shared" si="48"/>
        <v/>
      </c>
      <c r="Y96" s="103" t="str">
        <f t="shared" si="48"/>
        <v/>
      </c>
      <c r="Z96" s="103" t="str">
        <f t="shared" si="48"/>
        <v/>
      </c>
      <c r="AA96" s="103" t="str">
        <f t="shared" si="48"/>
        <v/>
      </c>
      <c r="AB96" s="103" t="str">
        <f t="shared" si="48"/>
        <v/>
      </c>
    </row>
    <row r="97" spans="1:28" ht="18" customHeight="1" outlineLevel="2" x14ac:dyDescent="0.25">
      <c r="A97" s="9" t="str">
        <f t="shared" si="38"/>
        <v>C4 [Nl/h]</v>
      </c>
      <c r="B97" s="219"/>
      <c r="C97" s="103" t="str">
        <f t="shared" si="39"/>
        <v/>
      </c>
      <c r="D97" s="103" t="str">
        <f t="shared" ref="D97:AB97" si="49">IF(D$86="","",D29/100*D$86)</f>
        <v/>
      </c>
      <c r="E97" s="103" t="str">
        <f t="shared" si="49"/>
        <v/>
      </c>
      <c r="F97" s="103" t="str">
        <f t="shared" si="49"/>
        <v/>
      </c>
      <c r="G97" s="103" t="str">
        <f t="shared" si="49"/>
        <v/>
      </c>
      <c r="H97" s="103" t="str">
        <f t="shared" si="49"/>
        <v/>
      </c>
      <c r="I97" s="103" t="str">
        <f t="shared" si="49"/>
        <v/>
      </c>
      <c r="J97" s="103" t="str">
        <f t="shared" si="49"/>
        <v/>
      </c>
      <c r="K97" s="103" t="str">
        <f t="shared" si="49"/>
        <v/>
      </c>
      <c r="L97" s="103" t="str">
        <f t="shared" si="49"/>
        <v/>
      </c>
      <c r="M97" s="103" t="str">
        <f t="shared" si="49"/>
        <v/>
      </c>
      <c r="N97" s="103" t="str">
        <f t="shared" si="49"/>
        <v/>
      </c>
      <c r="O97" s="103" t="str">
        <f t="shared" si="49"/>
        <v/>
      </c>
      <c r="P97" s="103" t="str">
        <f t="shared" si="49"/>
        <v/>
      </c>
      <c r="Q97" s="103" t="str">
        <f t="shared" si="49"/>
        <v/>
      </c>
      <c r="R97" s="103" t="str">
        <f t="shared" si="49"/>
        <v/>
      </c>
      <c r="S97" s="103" t="str">
        <f t="shared" si="49"/>
        <v/>
      </c>
      <c r="T97" s="103" t="str">
        <f t="shared" si="49"/>
        <v/>
      </c>
      <c r="U97" s="103" t="str">
        <f t="shared" si="49"/>
        <v/>
      </c>
      <c r="V97" s="103" t="str">
        <f t="shared" si="49"/>
        <v/>
      </c>
      <c r="W97" s="103" t="str">
        <f t="shared" si="49"/>
        <v/>
      </c>
      <c r="X97" s="103" t="str">
        <f t="shared" si="49"/>
        <v/>
      </c>
      <c r="Y97" s="103" t="str">
        <f t="shared" si="49"/>
        <v/>
      </c>
      <c r="Z97" s="103" t="str">
        <f t="shared" si="49"/>
        <v/>
      </c>
      <c r="AA97" s="103" t="str">
        <f t="shared" si="49"/>
        <v/>
      </c>
      <c r="AB97" s="103" t="str">
        <f t="shared" si="49"/>
        <v/>
      </c>
    </row>
    <row r="98" spans="1:28" ht="18" customHeight="1" outlineLevel="2" x14ac:dyDescent="0.25">
      <c r="A98" s="9" t="str">
        <f t="shared" si="38"/>
        <v>C5 [Nl/h]</v>
      </c>
      <c r="B98" s="219"/>
      <c r="C98" s="103" t="str">
        <f t="shared" si="39"/>
        <v/>
      </c>
      <c r="D98" s="103" t="str">
        <f t="shared" ref="D98:AB98" si="50">IF(D$86="","",D30/100*D$86)</f>
        <v/>
      </c>
      <c r="E98" s="103" t="str">
        <f t="shared" si="50"/>
        <v/>
      </c>
      <c r="F98" s="103" t="str">
        <f t="shared" si="50"/>
        <v/>
      </c>
      <c r="G98" s="103" t="str">
        <f t="shared" si="50"/>
        <v/>
      </c>
      <c r="H98" s="103" t="str">
        <f t="shared" si="50"/>
        <v/>
      </c>
      <c r="I98" s="103" t="str">
        <f t="shared" si="50"/>
        <v/>
      </c>
      <c r="J98" s="103" t="str">
        <f t="shared" si="50"/>
        <v/>
      </c>
      <c r="K98" s="103" t="str">
        <f t="shared" si="50"/>
        <v/>
      </c>
      <c r="L98" s="103" t="str">
        <f t="shared" si="50"/>
        <v/>
      </c>
      <c r="M98" s="103" t="str">
        <f t="shared" si="50"/>
        <v/>
      </c>
      <c r="N98" s="103" t="str">
        <f t="shared" si="50"/>
        <v/>
      </c>
      <c r="O98" s="103" t="str">
        <f t="shared" si="50"/>
        <v/>
      </c>
      <c r="P98" s="103" t="str">
        <f t="shared" si="50"/>
        <v/>
      </c>
      <c r="Q98" s="103" t="str">
        <f t="shared" si="50"/>
        <v/>
      </c>
      <c r="R98" s="103" t="str">
        <f t="shared" si="50"/>
        <v/>
      </c>
      <c r="S98" s="103" t="str">
        <f t="shared" si="50"/>
        <v/>
      </c>
      <c r="T98" s="103" t="str">
        <f t="shared" si="50"/>
        <v/>
      </c>
      <c r="U98" s="103" t="str">
        <f t="shared" si="50"/>
        <v/>
      </c>
      <c r="V98" s="103" t="str">
        <f t="shared" si="50"/>
        <v/>
      </c>
      <c r="W98" s="103" t="str">
        <f t="shared" si="50"/>
        <v/>
      </c>
      <c r="X98" s="103" t="str">
        <f t="shared" si="50"/>
        <v/>
      </c>
      <c r="Y98" s="103" t="str">
        <f t="shared" si="50"/>
        <v/>
      </c>
      <c r="Z98" s="103" t="str">
        <f t="shared" si="50"/>
        <v/>
      </c>
      <c r="AA98" s="103" t="str">
        <f t="shared" si="50"/>
        <v/>
      </c>
      <c r="AB98" s="103" t="str">
        <f t="shared" si="50"/>
        <v/>
      </c>
    </row>
    <row r="99" spans="1:28" ht="18" customHeight="1" outlineLevel="2" x14ac:dyDescent="0.25">
      <c r="A99" s="9" t="str">
        <f t="shared" si="38"/>
        <v>C6 [Nl/h]</v>
      </c>
      <c r="B99" s="219"/>
      <c r="C99" s="103" t="str">
        <f t="shared" si="39"/>
        <v/>
      </c>
      <c r="D99" s="103" t="str">
        <f t="shared" ref="D99:AB99" si="51">IF(D$86="","",D31/100*D$86)</f>
        <v/>
      </c>
      <c r="E99" s="103" t="str">
        <f t="shared" si="51"/>
        <v/>
      </c>
      <c r="F99" s="103" t="str">
        <f t="shared" si="51"/>
        <v/>
      </c>
      <c r="G99" s="103" t="str">
        <f t="shared" si="51"/>
        <v/>
      </c>
      <c r="H99" s="103" t="str">
        <f t="shared" si="51"/>
        <v/>
      </c>
      <c r="I99" s="103" t="str">
        <f t="shared" si="51"/>
        <v/>
      </c>
      <c r="J99" s="103" t="str">
        <f t="shared" si="51"/>
        <v/>
      </c>
      <c r="K99" s="103" t="str">
        <f t="shared" si="51"/>
        <v/>
      </c>
      <c r="L99" s="103" t="str">
        <f t="shared" si="51"/>
        <v/>
      </c>
      <c r="M99" s="103" t="str">
        <f t="shared" si="51"/>
        <v/>
      </c>
      <c r="N99" s="103" t="str">
        <f t="shared" si="51"/>
        <v/>
      </c>
      <c r="O99" s="103" t="str">
        <f t="shared" si="51"/>
        <v/>
      </c>
      <c r="P99" s="103" t="str">
        <f t="shared" si="51"/>
        <v/>
      </c>
      <c r="Q99" s="103" t="str">
        <f t="shared" si="51"/>
        <v/>
      </c>
      <c r="R99" s="103" t="str">
        <f t="shared" si="51"/>
        <v/>
      </c>
      <c r="S99" s="103" t="str">
        <f t="shared" si="51"/>
        <v/>
      </c>
      <c r="T99" s="103" t="str">
        <f t="shared" si="51"/>
        <v/>
      </c>
      <c r="U99" s="103" t="str">
        <f t="shared" si="51"/>
        <v/>
      </c>
      <c r="V99" s="103" t="str">
        <f t="shared" si="51"/>
        <v/>
      </c>
      <c r="W99" s="103" t="str">
        <f t="shared" si="51"/>
        <v/>
      </c>
      <c r="X99" s="103" t="str">
        <f t="shared" si="51"/>
        <v/>
      </c>
      <c r="Y99" s="103" t="str">
        <f t="shared" si="51"/>
        <v/>
      </c>
      <c r="Z99" s="103" t="str">
        <f t="shared" si="51"/>
        <v/>
      </c>
      <c r="AA99" s="103" t="str">
        <f t="shared" si="51"/>
        <v/>
      </c>
      <c r="AB99" s="103" t="str">
        <f t="shared" si="51"/>
        <v/>
      </c>
    </row>
    <row r="100" spans="1:28" ht="18" customHeight="1" outlineLevel="2" x14ac:dyDescent="0.25">
      <c r="A100" s="9" t="str">
        <f t="shared" si="38"/>
        <v>C6 Above [Nl/h]</v>
      </c>
      <c r="B100" s="219"/>
      <c r="C100" s="103" t="str">
        <f t="shared" si="39"/>
        <v/>
      </c>
      <c r="D100" s="103" t="str">
        <f t="shared" ref="D100:AB100" si="52">IF(D$86="","",D32/100*D$86)</f>
        <v/>
      </c>
      <c r="E100" s="103" t="str">
        <f t="shared" si="52"/>
        <v/>
      </c>
      <c r="F100" s="103" t="str">
        <f t="shared" si="52"/>
        <v/>
      </c>
      <c r="G100" s="103" t="str">
        <f t="shared" si="52"/>
        <v/>
      </c>
      <c r="H100" s="103" t="str">
        <f t="shared" si="52"/>
        <v/>
      </c>
      <c r="I100" s="103" t="str">
        <f t="shared" si="52"/>
        <v/>
      </c>
      <c r="J100" s="103" t="str">
        <f t="shared" si="52"/>
        <v/>
      </c>
      <c r="K100" s="103" t="str">
        <f t="shared" si="52"/>
        <v/>
      </c>
      <c r="L100" s="103" t="str">
        <f t="shared" si="52"/>
        <v/>
      </c>
      <c r="M100" s="103" t="str">
        <f t="shared" si="52"/>
        <v/>
      </c>
      <c r="N100" s="103" t="str">
        <f t="shared" si="52"/>
        <v/>
      </c>
      <c r="O100" s="103" t="str">
        <f t="shared" si="52"/>
        <v/>
      </c>
      <c r="P100" s="103" t="str">
        <f t="shared" si="52"/>
        <v/>
      </c>
      <c r="Q100" s="103" t="str">
        <f t="shared" si="52"/>
        <v/>
      </c>
      <c r="R100" s="103" t="str">
        <f t="shared" si="52"/>
        <v/>
      </c>
      <c r="S100" s="103" t="str">
        <f t="shared" si="52"/>
        <v/>
      </c>
      <c r="T100" s="103" t="str">
        <f t="shared" si="52"/>
        <v/>
      </c>
      <c r="U100" s="103" t="str">
        <f t="shared" si="52"/>
        <v/>
      </c>
      <c r="V100" s="103" t="str">
        <f t="shared" si="52"/>
        <v/>
      </c>
      <c r="W100" s="103" t="str">
        <f t="shared" si="52"/>
        <v/>
      </c>
      <c r="X100" s="103" t="str">
        <f t="shared" si="52"/>
        <v/>
      </c>
      <c r="Y100" s="103" t="str">
        <f t="shared" si="52"/>
        <v/>
      </c>
      <c r="Z100" s="103" t="str">
        <f t="shared" si="52"/>
        <v/>
      </c>
      <c r="AA100" s="103" t="str">
        <f t="shared" si="52"/>
        <v/>
      </c>
      <c r="AB100" s="103" t="str">
        <f t="shared" si="52"/>
        <v/>
      </c>
    </row>
    <row r="101" spans="1:28" ht="18" customHeight="1" outlineLevel="2" x14ac:dyDescent="0.25">
      <c r="A101" s="9" t="str">
        <f t="shared" si="38"/>
        <v>Benzene [Nl/h]</v>
      </c>
      <c r="B101" s="219"/>
      <c r="C101" s="103" t="str">
        <f t="shared" si="39"/>
        <v/>
      </c>
      <c r="D101" s="103" t="str">
        <f t="shared" ref="D101:AB101" si="53">IF(D$86="","",D33/100*D$86)</f>
        <v/>
      </c>
      <c r="E101" s="103" t="str">
        <f t="shared" si="53"/>
        <v/>
      </c>
      <c r="F101" s="103" t="str">
        <f t="shared" si="53"/>
        <v/>
      </c>
      <c r="G101" s="103" t="str">
        <f t="shared" si="53"/>
        <v/>
      </c>
      <c r="H101" s="103" t="str">
        <f t="shared" si="53"/>
        <v/>
      </c>
      <c r="I101" s="103" t="str">
        <f t="shared" si="53"/>
        <v/>
      </c>
      <c r="J101" s="103" t="str">
        <f t="shared" si="53"/>
        <v/>
      </c>
      <c r="K101" s="103" t="str">
        <f t="shared" si="53"/>
        <v/>
      </c>
      <c r="L101" s="103" t="str">
        <f t="shared" si="53"/>
        <v/>
      </c>
      <c r="M101" s="103" t="str">
        <f t="shared" si="53"/>
        <v/>
      </c>
      <c r="N101" s="103" t="str">
        <f t="shared" si="53"/>
        <v/>
      </c>
      <c r="O101" s="103" t="str">
        <f t="shared" si="53"/>
        <v/>
      </c>
      <c r="P101" s="103" t="str">
        <f t="shared" si="53"/>
        <v/>
      </c>
      <c r="Q101" s="103" t="str">
        <f t="shared" si="53"/>
        <v/>
      </c>
      <c r="R101" s="103" t="str">
        <f t="shared" si="53"/>
        <v/>
      </c>
      <c r="S101" s="103" t="str">
        <f t="shared" si="53"/>
        <v/>
      </c>
      <c r="T101" s="103" t="str">
        <f t="shared" si="53"/>
        <v/>
      </c>
      <c r="U101" s="103" t="str">
        <f t="shared" si="53"/>
        <v/>
      </c>
      <c r="V101" s="103" t="str">
        <f t="shared" si="53"/>
        <v/>
      </c>
      <c r="W101" s="103" t="str">
        <f t="shared" si="53"/>
        <v/>
      </c>
      <c r="X101" s="103" t="str">
        <f t="shared" si="53"/>
        <v/>
      </c>
      <c r="Y101" s="103" t="str">
        <f t="shared" si="53"/>
        <v/>
      </c>
      <c r="Z101" s="103" t="str">
        <f t="shared" si="53"/>
        <v/>
      </c>
      <c r="AA101" s="103" t="str">
        <f t="shared" si="53"/>
        <v/>
      </c>
      <c r="AB101" s="103" t="str">
        <f t="shared" si="53"/>
        <v/>
      </c>
    </row>
    <row r="102" spans="1:28" ht="18" customHeight="1" outlineLevel="2" x14ac:dyDescent="0.25">
      <c r="A102" s="9" t="str">
        <f t="shared" si="38"/>
        <v>Toluene [Nl/h]</v>
      </c>
      <c r="B102" s="219"/>
      <c r="C102" s="103" t="str">
        <f t="shared" si="39"/>
        <v/>
      </c>
      <c r="D102" s="103" t="str">
        <f t="shared" ref="D102:AB102" si="54">IF(D$86="","",D34/100*D$86)</f>
        <v/>
      </c>
      <c r="E102" s="103" t="str">
        <f t="shared" si="54"/>
        <v/>
      </c>
      <c r="F102" s="103" t="str">
        <f t="shared" si="54"/>
        <v/>
      </c>
      <c r="G102" s="103" t="str">
        <f t="shared" si="54"/>
        <v/>
      </c>
      <c r="H102" s="103" t="str">
        <f t="shared" si="54"/>
        <v/>
      </c>
      <c r="I102" s="103" t="str">
        <f t="shared" si="54"/>
        <v/>
      </c>
      <c r="J102" s="103" t="str">
        <f t="shared" si="54"/>
        <v/>
      </c>
      <c r="K102" s="103" t="str">
        <f t="shared" si="54"/>
        <v/>
      </c>
      <c r="L102" s="103" t="str">
        <f t="shared" si="54"/>
        <v/>
      </c>
      <c r="M102" s="103" t="str">
        <f t="shared" si="54"/>
        <v/>
      </c>
      <c r="N102" s="103" t="str">
        <f t="shared" si="54"/>
        <v/>
      </c>
      <c r="O102" s="103" t="str">
        <f t="shared" si="54"/>
        <v/>
      </c>
      <c r="P102" s="103" t="str">
        <f t="shared" si="54"/>
        <v/>
      </c>
      <c r="Q102" s="103" t="str">
        <f t="shared" si="54"/>
        <v/>
      </c>
      <c r="R102" s="103" t="str">
        <f t="shared" si="54"/>
        <v/>
      </c>
      <c r="S102" s="103" t="str">
        <f t="shared" si="54"/>
        <v/>
      </c>
      <c r="T102" s="103" t="str">
        <f t="shared" si="54"/>
        <v/>
      </c>
      <c r="U102" s="103" t="str">
        <f t="shared" si="54"/>
        <v/>
      </c>
      <c r="V102" s="103" t="str">
        <f t="shared" si="54"/>
        <v/>
      </c>
      <c r="W102" s="103" t="str">
        <f t="shared" si="54"/>
        <v/>
      </c>
      <c r="X102" s="103" t="str">
        <f t="shared" si="54"/>
        <v/>
      </c>
      <c r="Y102" s="103" t="str">
        <f t="shared" si="54"/>
        <v/>
      </c>
      <c r="Z102" s="103" t="str">
        <f t="shared" si="54"/>
        <v/>
      </c>
      <c r="AA102" s="103" t="str">
        <f t="shared" si="54"/>
        <v/>
      </c>
      <c r="AB102" s="103" t="str">
        <f t="shared" si="54"/>
        <v/>
      </c>
    </row>
    <row r="103" spans="1:28" ht="18" customHeight="1" outlineLevel="2" x14ac:dyDescent="0.25">
      <c r="A103" s="9" t="str">
        <f t="shared" si="38"/>
        <v>Ethylbenzene [Nl/h]</v>
      </c>
      <c r="B103" s="219"/>
      <c r="C103" s="103" t="str">
        <f t="shared" si="39"/>
        <v/>
      </c>
      <c r="D103" s="103" t="str">
        <f t="shared" ref="D103:AB103" si="55">IF(D$86="","",D35/100*D$86)</f>
        <v/>
      </c>
      <c r="E103" s="103" t="str">
        <f t="shared" si="55"/>
        <v/>
      </c>
      <c r="F103" s="103" t="str">
        <f t="shared" si="55"/>
        <v/>
      </c>
      <c r="G103" s="103" t="str">
        <f t="shared" si="55"/>
        <v/>
      </c>
      <c r="H103" s="103" t="str">
        <f t="shared" si="55"/>
        <v/>
      </c>
      <c r="I103" s="103" t="str">
        <f t="shared" si="55"/>
        <v/>
      </c>
      <c r="J103" s="103" t="str">
        <f t="shared" si="55"/>
        <v/>
      </c>
      <c r="K103" s="103" t="str">
        <f t="shared" si="55"/>
        <v/>
      </c>
      <c r="L103" s="103" t="str">
        <f t="shared" si="55"/>
        <v/>
      </c>
      <c r="M103" s="103" t="str">
        <f t="shared" si="55"/>
        <v/>
      </c>
      <c r="N103" s="103" t="str">
        <f t="shared" si="55"/>
        <v/>
      </c>
      <c r="O103" s="103" t="str">
        <f t="shared" si="55"/>
        <v/>
      </c>
      <c r="P103" s="103" t="str">
        <f t="shared" si="55"/>
        <v/>
      </c>
      <c r="Q103" s="103" t="str">
        <f t="shared" si="55"/>
        <v/>
      </c>
      <c r="R103" s="103" t="str">
        <f t="shared" si="55"/>
        <v/>
      </c>
      <c r="S103" s="103" t="str">
        <f t="shared" si="55"/>
        <v/>
      </c>
      <c r="T103" s="103" t="str">
        <f t="shared" si="55"/>
        <v/>
      </c>
      <c r="U103" s="103" t="str">
        <f t="shared" si="55"/>
        <v/>
      </c>
      <c r="V103" s="103" t="str">
        <f t="shared" si="55"/>
        <v/>
      </c>
      <c r="W103" s="103" t="str">
        <f t="shared" si="55"/>
        <v/>
      </c>
      <c r="X103" s="103" t="str">
        <f t="shared" si="55"/>
        <v/>
      </c>
      <c r="Y103" s="103" t="str">
        <f t="shared" si="55"/>
        <v/>
      </c>
      <c r="Z103" s="103" t="str">
        <f t="shared" si="55"/>
        <v/>
      </c>
      <c r="AA103" s="103" t="str">
        <f t="shared" si="55"/>
        <v/>
      </c>
      <c r="AB103" s="103" t="str">
        <f t="shared" si="55"/>
        <v/>
      </c>
    </row>
    <row r="104" spans="1:28" ht="18" customHeight="1" outlineLevel="2" x14ac:dyDescent="0.25">
      <c r="A104" s="9" t="str">
        <f t="shared" si="38"/>
        <v>p-Xylene [Nl/h]</v>
      </c>
      <c r="B104" s="219"/>
      <c r="C104" s="103" t="str">
        <f t="shared" si="39"/>
        <v/>
      </c>
      <c r="D104" s="103" t="str">
        <f t="shared" ref="D104:AB104" si="56">IF(D$86="","",D36/100*D$86)</f>
        <v/>
      </c>
      <c r="E104" s="103" t="str">
        <f t="shared" si="56"/>
        <v/>
      </c>
      <c r="F104" s="103" t="str">
        <f t="shared" si="56"/>
        <v/>
      </c>
      <c r="G104" s="103" t="str">
        <f t="shared" si="56"/>
        <v/>
      </c>
      <c r="H104" s="103" t="str">
        <f t="shared" si="56"/>
        <v/>
      </c>
      <c r="I104" s="103" t="str">
        <f t="shared" si="56"/>
        <v/>
      </c>
      <c r="J104" s="103" t="str">
        <f t="shared" si="56"/>
        <v/>
      </c>
      <c r="K104" s="103" t="str">
        <f t="shared" si="56"/>
        <v/>
      </c>
      <c r="L104" s="103" t="str">
        <f t="shared" si="56"/>
        <v/>
      </c>
      <c r="M104" s="103" t="str">
        <f t="shared" si="56"/>
        <v/>
      </c>
      <c r="N104" s="103" t="str">
        <f t="shared" si="56"/>
        <v/>
      </c>
      <c r="O104" s="103" t="str">
        <f t="shared" si="56"/>
        <v/>
      </c>
      <c r="P104" s="103" t="str">
        <f t="shared" si="56"/>
        <v/>
      </c>
      <c r="Q104" s="103" t="str">
        <f t="shared" si="56"/>
        <v/>
      </c>
      <c r="R104" s="103" t="str">
        <f t="shared" si="56"/>
        <v/>
      </c>
      <c r="S104" s="103" t="str">
        <f t="shared" si="56"/>
        <v/>
      </c>
      <c r="T104" s="103" t="str">
        <f t="shared" si="56"/>
        <v/>
      </c>
      <c r="U104" s="103" t="str">
        <f t="shared" si="56"/>
        <v/>
      </c>
      <c r="V104" s="103" t="str">
        <f t="shared" si="56"/>
        <v/>
      </c>
      <c r="W104" s="103" t="str">
        <f t="shared" si="56"/>
        <v/>
      </c>
      <c r="X104" s="103" t="str">
        <f t="shared" si="56"/>
        <v/>
      </c>
      <c r="Y104" s="103" t="str">
        <f t="shared" si="56"/>
        <v/>
      </c>
      <c r="Z104" s="103" t="str">
        <f t="shared" si="56"/>
        <v/>
      </c>
      <c r="AA104" s="103" t="str">
        <f t="shared" si="56"/>
        <v/>
      </c>
      <c r="AB104" s="103" t="str">
        <f t="shared" si="56"/>
        <v/>
      </c>
    </row>
    <row r="105" spans="1:28" ht="18" customHeight="1" outlineLevel="2" x14ac:dyDescent="0.25">
      <c r="A105" s="9" t="str">
        <f t="shared" si="38"/>
        <v>m-Xylene [Nl/h]</v>
      </c>
      <c r="B105" s="219"/>
      <c r="C105" s="103" t="str">
        <f t="shared" si="39"/>
        <v/>
      </c>
      <c r="D105" s="103" t="str">
        <f t="shared" ref="D105:AB105" si="57">IF(D$86="","",D37/100*D$86)</f>
        <v/>
      </c>
      <c r="E105" s="103" t="str">
        <f t="shared" si="57"/>
        <v/>
      </c>
      <c r="F105" s="103" t="str">
        <f t="shared" si="57"/>
        <v/>
      </c>
      <c r="G105" s="103" t="str">
        <f t="shared" si="57"/>
        <v/>
      </c>
      <c r="H105" s="103" t="str">
        <f t="shared" si="57"/>
        <v/>
      </c>
      <c r="I105" s="103" t="str">
        <f t="shared" si="57"/>
        <v/>
      </c>
      <c r="J105" s="103" t="str">
        <f t="shared" si="57"/>
        <v/>
      </c>
      <c r="K105" s="103" t="str">
        <f t="shared" si="57"/>
        <v/>
      </c>
      <c r="L105" s="103" t="str">
        <f t="shared" si="57"/>
        <v/>
      </c>
      <c r="M105" s="103" t="str">
        <f t="shared" si="57"/>
        <v/>
      </c>
      <c r="N105" s="103" t="str">
        <f t="shared" si="57"/>
        <v/>
      </c>
      <c r="O105" s="103" t="str">
        <f t="shared" si="57"/>
        <v/>
      </c>
      <c r="P105" s="103" t="str">
        <f t="shared" si="57"/>
        <v/>
      </c>
      <c r="Q105" s="103" t="str">
        <f t="shared" si="57"/>
        <v/>
      </c>
      <c r="R105" s="103" t="str">
        <f t="shared" si="57"/>
        <v/>
      </c>
      <c r="S105" s="103" t="str">
        <f t="shared" si="57"/>
        <v/>
      </c>
      <c r="T105" s="103" t="str">
        <f t="shared" si="57"/>
        <v/>
      </c>
      <c r="U105" s="103" t="str">
        <f t="shared" si="57"/>
        <v/>
      </c>
      <c r="V105" s="103" t="str">
        <f t="shared" si="57"/>
        <v/>
      </c>
      <c r="W105" s="103" t="str">
        <f t="shared" si="57"/>
        <v/>
      </c>
      <c r="X105" s="103" t="str">
        <f t="shared" si="57"/>
        <v/>
      </c>
      <c r="Y105" s="103" t="str">
        <f t="shared" si="57"/>
        <v/>
      </c>
      <c r="Z105" s="103" t="str">
        <f t="shared" si="57"/>
        <v/>
      </c>
      <c r="AA105" s="103" t="str">
        <f t="shared" si="57"/>
        <v/>
      </c>
      <c r="AB105" s="103" t="str">
        <f t="shared" si="57"/>
        <v/>
      </c>
    </row>
    <row r="106" spans="1:28" ht="18" customHeight="1" outlineLevel="2" x14ac:dyDescent="0.25">
      <c r="A106" s="9" t="str">
        <f t="shared" si="38"/>
        <v>o-Xylene [Nl/h]</v>
      </c>
      <c r="B106" s="219"/>
      <c r="C106" s="103" t="str">
        <f t="shared" si="39"/>
        <v/>
      </c>
      <c r="D106" s="103" t="str">
        <f t="shared" ref="D106:AB106" si="58">IF(D$86="","",D38/100*D$86)</f>
        <v/>
      </c>
      <c r="E106" s="103" t="str">
        <f t="shared" si="58"/>
        <v/>
      </c>
      <c r="F106" s="103" t="str">
        <f t="shared" si="58"/>
        <v/>
      </c>
      <c r="G106" s="103" t="str">
        <f t="shared" si="58"/>
        <v/>
      </c>
      <c r="H106" s="103" t="str">
        <f t="shared" si="58"/>
        <v/>
      </c>
      <c r="I106" s="103" t="str">
        <f t="shared" si="58"/>
        <v/>
      </c>
      <c r="J106" s="103" t="str">
        <f t="shared" si="58"/>
        <v/>
      </c>
      <c r="K106" s="103" t="str">
        <f t="shared" si="58"/>
        <v/>
      </c>
      <c r="L106" s="103" t="str">
        <f t="shared" si="58"/>
        <v/>
      </c>
      <c r="M106" s="103" t="str">
        <f t="shared" si="58"/>
        <v/>
      </c>
      <c r="N106" s="103" t="str">
        <f t="shared" si="58"/>
        <v/>
      </c>
      <c r="O106" s="103" t="str">
        <f t="shared" si="58"/>
        <v/>
      </c>
      <c r="P106" s="103" t="str">
        <f t="shared" si="58"/>
        <v/>
      </c>
      <c r="Q106" s="103" t="str">
        <f t="shared" si="58"/>
        <v/>
      </c>
      <c r="R106" s="103" t="str">
        <f t="shared" si="58"/>
        <v/>
      </c>
      <c r="S106" s="103" t="str">
        <f t="shared" si="58"/>
        <v/>
      </c>
      <c r="T106" s="103" t="str">
        <f t="shared" si="58"/>
        <v/>
      </c>
      <c r="U106" s="103" t="str">
        <f t="shared" si="58"/>
        <v/>
      </c>
      <c r="V106" s="103" t="str">
        <f t="shared" si="58"/>
        <v/>
      </c>
      <c r="W106" s="103" t="str">
        <f t="shared" si="58"/>
        <v/>
      </c>
      <c r="X106" s="103" t="str">
        <f t="shared" si="58"/>
        <v/>
      </c>
      <c r="Y106" s="103" t="str">
        <f t="shared" si="58"/>
        <v/>
      </c>
      <c r="Z106" s="103" t="str">
        <f t="shared" si="58"/>
        <v/>
      </c>
      <c r="AA106" s="103" t="str">
        <f t="shared" si="58"/>
        <v/>
      </c>
      <c r="AB106" s="103" t="str">
        <f t="shared" si="58"/>
        <v/>
      </c>
    </row>
    <row r="107" spans="1:28" ht="18" customHeight="1" outlineLevel="2" x14ac:dyDescent="0.25">
      <c r="A107" s="9" t="str">
        <f t="shared" si="38"/>
        <v>C6 Unknowns [Nl/h]</v>
      </c>
      <c r="B107" s="219"/>
      <c r="C107" s="103" t="str">
        <f t="shared" si="39"/>
        <v/>
      </c>
      <c r="D107" s="103" t="str">
        <f t="shared" ref="D107:AB107" si="59">IF(D$86="","",D39/100*D$86)</f>
        <v/>
      </c>
      <c r="E107" s="103" t="str">
        <f t="shared" si="59"/>
        <v/>
      </c>
      <c r="F107" s="103" t="str">
        <f t="shared" si="59"/>
        <v/>
      </c>
      <c r="G107" s="103" t="str">
        <f t="shared" si="59"/>
        <v/>
      </c>
      <c r="H107" s="103" t="str">
        <f t="shared" si="59"/>
        <v/>
      </c>
      <c r="I107" s="103" t="str">
        <f t="shared" si="59"/>
        <v/>
      </c>
      <c r="J107" s="103" t="str">
        <f t="shared" si="59"/>
        <v/>
      </c>
      <c r="K107" s="103" t="str">
        <f t="shared" si="59"/>
        <v/>
      </c>
      <c r="L107" s="103" t="str">
        <f t="shared" si="59"/>
        <v/>
      </c>
      <c r="M107" s="103" t="str">
        <f t="shared" si="59"/>
        <v/>
      </c>
      <c r="N107" s="103" t="str">
        <f t="shared" si="59"/>
        <v/>
      </c>
      <c r="O107" s="103" t="str">
        <f t="shared" si="59"/>
        <v/>
      </c>
      <c r="P107" s="103" t="str">
        <f t="shared" si="59"/>
        <v/>
      </c>
      <c r="Q107" s="103" t="str">
        <f t="shared" si="59"/>
        <v/>
      </c>
      <c r="R107" s="103" t="str">
        <f t="shared" si="59"/>
        <v/>
      </c>
      <c r="S107" s="103" t="str">
        <f t="shared" si="59"/>
        <v/>
      </c>
      <c r="T107" s="103" t="str">
        <f t="shared" si="59"/>
        <v/>
      </c>
      <c r="U107" s="103" t="str">
        <f t="shared" si="59"/>
        <v/>
      </c>
      <c r="V107" s="103" t="str">
        <f t="shared" si="59"/>
        <v/>
      </c>
      <c r="W107" s="103" t="str">
        <f t="shared" si="59"/>
        <v/>
      </c>
      <c r="X107" s="103" t="str">
        <f t="shared" si="59"/>
        <v/>
      </c>
      <c r="Y107" s="103" t="str">
        <f t="shared" si="59"/>
        <v/>
      </c>
      <c r="Z107" s="103" t="str">
        <f t="shared" si="59"/>
        <v/>
      </c>
      <c r="AA107" s="103" t="str">
        <f t="shared" si="59"/>
        <v/>
      </c>
      <c r="AB107" s="103" t="str">
        <f t="shared" si="59"/>
        <v/>
      </c>
    </row>
    <row r="108" spans="1:28" ht="18" customHeight="1" outlineLevel="2" x14ac:dyDescent="0.25">
      <c r="A108" s="9" t="str">
        <f t="shared" si="38"/>
        <v>C8 Unknowns [Nl/h]</v>
      </c>
      <c r="B108" s="219"/>
      <c r="C108" s="103" t="str">
        <f t="shared" si="39"/>
        <v/>
      </c>
      <c r="D108" s="103" t="str">
        <f t="shared" ref="D108:AB108" si="60">IF(D$86="","",D40/100*D$86)</f>
        <v/>
      </c>
      <c r="E108" s="103" t="str">
        <f t="shared" si="60"/>
        <v/>
      </c>
      <c r="F108" s="103" t="str">
        <f t="shared" si="60"/>
        <v/>
      </c>
      <c r="G108" s="103" t="str">
        <f t="shared" si="60"/>
        <v/>
      </c>
      <c r="H108" s="103" t="str">
        <f t="shared" si="60"/>
        <v/>
      </c>
      <c r="I108" s="103" t="str">
        <f t="shared" si="60"/>
        <v/>
      </c>
      <c r="J108" s="103" t="str">
        <f t="shared" si="60"/>
        <v/>
      </c>
      <c r="K108" s="103" t="str">
        <f t="shared" si="60"/>
        <v/>
      </c>
      <c r="L108" s="103" t="str">
        <f t="shared" si="60"/>
        <v/>
      </c>
      <c r="M108" s="103" t="str">
        <f t="shared" si="60"/>
        <v/>
      </c>
      <c r="N108" s="103" t="str">
        <f t="shared" si="60"/>
        <v/>
      </c>
      <c r="O108" s="103" t="str">
        <f t="shared" si="60"/>
        <v/>
      </c>
      <c r="P108" s="103" t="str">
        <f t="shared" si="60"/>
        <v/>
      </c>
      <c r="Q108" s="103" t="str">
        <f t="shared" si="60"/>
        <v/>
      </c>
      <c r="R108" s="103" t="str">
        <f t="shared" si="60"/>
        <v/>
      </c>
      <c r="S108" s="103" t="str">
        <f t="shared" si="60"/>
        <v/>
      </c>
      <c r="T108" s="103" t="str">
        <f t="shared" si="60"/>
        <v/>
      </c>
      <c r="U108" s="103" t="str">
        <f t="shared" si="60"/>
        <v/>
      </c>
      <c r="V108" s="103" t="str">
        <f t="shared" si="60"/>
        <v/>
      </c>
      <c r="W108" s="103" t="str">
        <f t="shared" si="60"/>
        <v/>
      </c>
      <c r="X108" s="103" t="str">
        <f t="shared" si="60"/>
        <v/>
      </c>
      <c r="Y108" s="103" t="str">
        <f t="shared" si="60"/>
        <v/>
      </c>
      <c r="Z108" s="103" t="str">
        <f t="shared" si="60"/>
        <v/>
      </c>
      <c r="AA108" s="103" t="str">
        <f t="shared" si="60"/>
        <v/>
      </c>
      <c r="AB108" s="103" t="str">
        <f t="shared" si="60"/>
        <v/>
      </c>
    </row>
    <row r="109" spans="1:28" ht="18" customHeight="1" outlineLevel="2" x14ac:dyDescent="0.25">
      <c r="A109" s="9" t="str">
        <f t="shared" si="38"/>
        <v>C7 Unknowns [Nl/h]</v>
      </c>
      <c r="B109" s="219"/>
      <c r="C109" s="103" t="str">
        <f t="shared" si="39"/>
        <v/>
      </c>
      <c r="D109" s="103" t="str">
        <f t="shared" ref="D109:AB109" si="61">IF(D$86="","",D41/100*D$86)</f>
        <v/>
      </c>
      <c r="E109" s="103" t="str">
        <f t="shared" si="61"/>
        <v/>
      </c>
      <c r="F109" s="103" t="str">
        <f t="shared" si="61"/>
        <v/>
      </c>
      <c r="G109" s="103" t="str">
        <f t="shared" si="61"/>
        <v/>
      </c>
      <c r="H109" s="103" t="str">
        <f t="shared" si="61"/>
        <v/>
      </c>
      <c r="I109" s="103" t="str">
        <f t="shared" si="61"/>
        <v/>
      </c>
      <c r="J109" s="103" t="str">
        <f t="shared" si="61"/>
        <v/>
      </c>
      <c r="K109" s="103" t="str">
        <f t="shared" si="61"/>
        <v/>
      </c>
      <c r="L109" s="103" t="str">
        <f t="shared" si="61"/>
        <v/>
      </c>
      <c r="M109" s="103" t="str">
        <f t="shared" si="61"/>
        <v/>
      </c>
      <c r="N109" s="103" t="str">
        <f t="shared" si="61"/>
        <v/>
      </c>
      <c r="O109" s="103" t="str">
        <f t="shared" si="61"/>
        <v/>
      </c>
      <c r="P109" s="103" t="str">
        <f t="shared" si="61"/>
        <v/>
      </c>
      <c r="Q109" s="103" t="str">
        <f t="shared" si="61"/>
        <v/>
      </c>
      <c r="R109" s="103" t="str">
        <f t="shared" si="61"/>
        <v/>
      </c>
      <c r="S109" s="103" t="str">
        <f t="shared" si="61"/>
        <v/>
      </c>
      <c r="T109" s="103" t="str">
        <f t="shared" si="61"/>
        <v/>
      </c>
      <c r="U109" s="103" t="str">
        <f t="shared" si="61"/>
        <v/>
      </c>
      <c r="V109" s="103" t="str">
        <f t="shared" si="61"/>
        <v/>
      </c>
      <c r="W109" s="103" t="str">
        <f t="shared" si="61"/>
        <v/>
      </c>
      <c r="X109" s="103" t="str">
        <f t="shared" si="61"/>
        <v/>
      </c>
      <c r="Y109" s="103" t="str">
        <f t="shared" si="61"/>
        <v/>
      </c>
      <c r="Z109" s="103" t="str">
        <f t="shared" si="61"/>
        <v/>
      </c>
      <c r="AA109" s="103" t="str">
        <f t="shared" si="61"/>
        <v/>
      </c>
      <c r="AB109" s="103" t="str">
        <f t="shared" si="61"/>
        <v/>
      </c>
    </row>
    <row r="110" spans="1:28" ht="18" customHeight="1" outlineLevel="2" x14ac:dyDescent="0.25">
      <c r="A110" s="9" t="str">
        <f t="shared" si="38"/>
        <v>CO2 [Nl/h]</v>
      </c>
      <c r="B110" s="219"/>
      <c r="C110" s="103" t="str">
        <f t="shared" si="39"/>
        <v/>
      </c>
      <c r="D110" s="103" t="str">
        <f t="shared" ref="D110:AB110" si="62">IF(D$86="","",D42/100*D$86)</f>
        <v/>
      </c>
      <c r="E110" s="103" t="str">
        <f t="shared" si="62"/>
        <v/>
      </c>
      <c r="F110" s="103" t="str">
        <f t="shared" si="62"/>
        <v/>
      </c>
      <c r="G110" s="103" t="str">
        <f t="shared" si="62"/>
        <v/>
      </c>
      <c r="H110" s="103" t="str">
        <f t="shared" si="62"/>
        <v/>
      </c>
      <c r="I110" s="103" t="str">
        <f t="shared" si="62"/>
        <v/>
      </c>
      <c r="J110" s="103" t="str">
        <f t="shared" si="62"/>
        <v/>
      </c>
      <c r="K110" s="103" t="str">
        <f t="shared" si="62"/>
        <v/>
      </c>
      <c r="L110" s="103" t="str">
        <f t="shared" si="62"/>
        <v/>
      </c>
      <c r="M110" s="103" t="str">
        <f t="shared" si="62"/>
        <v/>
      </c>
      <c r="N110" s="103" t="str">
        <f t="shared" si="62"/>
        <v/>
      </c>
      <c r="O110" s="103" t="str">
        <f t="shared" si="62"/>
        <v/>
      </c>
      <c r="P110" s="103" t="str">
        <f t="shared" si="62"/>
        <v/>
      </c>
      <c r="Q110" s="103" t="str">
        <f t="shared" si="62"/>
        <v/>
      </c>
      <c r="R110" s="103" t="str">
        <f t="shared" si="62"/>
        <v/>
      </c>
      <c r="S110" s="103" t="str">
        <f t="shared" si="62"/>
        <v/>
      </c>
      <c r="T110" s="103" t="str">
        <f t="shared" si="62"/>
        <v/>
      </c>
      <c r="U110" s="103" t="str">
        <f t="shared" si="62"/>
        <v/>
      </c>
      <c r="V110" s="103" t="str">
        <f t="shared" si="62"/>
        <v/>
      </c>
      <c r="W110" s="103" t="str">
        <f t="shared" si="62"/>
        <v/>
      </c>
      <c r="X110" s="103" t="str">
        <f t="shared" si="62"/>
        <v/>
      </c>
      <c r="Y110" s="103" t="str">
        <f t="shared" si="62"/>
        <v/>
      </c>
      <c r="Z110" s="103" t="str">
        <f t="shared" si="62"/>
        <v/>
      </c>
      <c r="AA110" s="103" t="str">
        <f t="shared" si="62"/>
        <v/>
      </c>
      <c r="AB110" s="103" t="str">
        <f t="shared" si="62"/>
        <v/>
      </c>
    </row>
    <row r="111" spans="1:28" ht="18" customHeight="1" outlineLevel="2" x14ac:dyDescent="0.25">
      <c r="A111" s="9" t="str">
        <f t="shared" si="38"/>
        <v>Argon [Nl/h]</v>
      </c>
      <c r="B111" s="219"/>
      <c r="C111" s="103" t="str">
        <f t="shared" si="39"/>
        <v/>
      </c>
      <c r="D111" s="103" t="str">
        <f t="shared" ref="D111:AB111" si="63">IF(D$86="","",D43/100*D$86)</f>
        <v/>
      </c>
      <c r="E111" s="103" t="str">
        <f t="shared" si="63"/>
        <v/>
      </c>
      <c r="F111" s="103" t="str">
        <f t="shared" si="63"/>
        <v/>
      </c>
      <c r="G111" s="103" t="str">
        <f t="shared" si="63"/>
        <v/>
      </c>
      <c r="H111" s="103" t="str">
        <f t="shared" si="63"/>
        <v/>
      </c>
      <c r="I111" s="103" t="str">
        <f t="shared" si="63"/>
        <v/>
      </c>
      <c r="J111" s="103" t="str">
        <f t="shared" si="63"/>
        <v/>
      </c>
      <c r="K111" s="103" t="str">
        <f t="shared" si="63"/>
        <v/>
      </c>
      <c r="L111" s="103" t="str">
        <f t="shared" si="63"/>
        <v/>
      </c>
      <c r="M111" s="103" t="str">
        <f t="shared" si="63"/>
        <v/>
      </c>
      <c r="N111" s="103" t="str">
        <f t="shared" si="63"/>
        <v/>
      </c>
      <c r="O111" s="103" t="str">
        <f t="shared" si="63"/>
        <v/>
      </c>
      <c r="P111" s="103" t="str">
        <f t="shared" si="63"/>
        <v/>
      </c>
      <c r="Q111" s="103" t="str">
        <f t="shared" si="63"/>
        <v/>
      </c>
      <c r="R111" s="103" t="str">
        <f t="shared" si="63"/>
        <v/>
      </c>
      <c r="S111" s="103" t="str">
        <f t="shared" si="63"/>
        <v/>
      </c>
      <c r="T111" s="103" t="str">
        <f t="shared" si="63"/>
        <v/>
      </c>
      <c r="U111" s="103" t="str">
        <f t="shared" si="63"/>
        <v/>
      </c>
      <c r="V111" s="103" t="str">
        <f t="shared" si="63"/>
        <v/>
      </c>
      <c r="W111" s="103" t="str">
        <f t="shared" si="63"/>
        <v/>
      </c>
      <c r="X111" s="103" t="str">
        <f t="shared" si="63"/>
        <v/>
      </c>
      <c r="Y111" s="103" t="str">
        <f t="shared" si="63"/>
        <v/>
      </c>
      <c r="Z111" s="103" t="str">
        <f t="shared" si="63"/>
        <v/>
      </c>
      <c r="AA111" s="103" t="str">
        <f t="shared" si="63"/>
        <v/>
      </c>
      <c r="AB111" s="103" t="str">
        <f t="shared" si="63"/>
        <v/>
      </c>
    </row>
    <row r="112" spans="1:28" ht="18" customHeight="1" outlineLevel="2" x14ac:dyDescent="0.25">
      <c r="A112" s="9" t="str">
        <f t="shared" si="38"/>
        <v>CO [Nl/h]</v>
      </c>
      <c r="B112" s="219"/>
      <c r="C112" s="103" t="str">
        <f t="shared" si="39"/>
        <v/>
      </c>
      <c r="D112" s="103" t="str">
        <f t="shared" ref="D112:AB112" si="64">IF(D$86="","",D44/100*D$86)</f>
        <v/>
      </c>
      <c r="E112" s="103" t="str">
        <f t="shared" si="64"/>
        <v/>
      </c>
      <c r="F112" s="103" t="str">
        <f t="shared" si="64"/>
        <v/>
      </c>
      <c r="G112" s="103" t="str">
        <f t="shared" si="64"/>
        <v/>
      </c>
      <c r="H112" s="103" t="str">
        <f t="shared" si="64"/>
        <v/>
      </c>
      <c r="I112" s="103" t="str">
        <f t="shared" si="64"/>
        <v/>
      </c>
      <c r="J112" s="103" t="str">
        <f t="shared" si="64"/>
        <v/>
      </c>
      <c r="K112" s="103" t="str">
        <f t="shared" si="64"/>
        <v/>
      </c>
      <c r="L112" s="103" t="str">
        <f t="shared" si="64"/>
        <v/>
      </c>
      <c r="M112" s="103" t="str">
        <f t="shared" si="64"/>
        <v/>
      </c>
      <c r="N112" s="103" t="str">
        <f t="shared" si="64"/>
        <v/>
      </c>
      <c r="O112" s="103" t="str">
        <f t="shared" si="64"/>
        <v/>
      </c>
      <c r="P112" s="103" t="str">
        <f t="shared" si="64"/>
        <v/>
      </c>
      <c r="Q112" s="103" t="str">
        <f t="shared" si="64"/>
        <v/>
      </c>
      <c r="R112" s="103" t="str">
        <f t="shared" si="64"/>
        <v/>
      </c>
      <c r="S112" s="103" t="str">
        <f t="shared" si="64"/>
        <v/>
      </c>
      <c r="T112" s="103" t="str">
        <f t="shared" si="64"/>
        <v/>
      </c>
      <c r="U112" s="103" t="str">
        <f t="shared" si="64"/>
        <v/>
      </c>
      <c r="V112" s="103" t="str">
        <f t="shared" si="64"/>
        <v/>
      </c>
      <c r="W112" s="103" t="str">
        <f t="shared" si="64"/>
        <v/>
      </c>
      <c r="X112" s="103" t="str">
        <f t="shared" si="64"/>
        <v/>
      </c>
      <c r="Y112" s="103" t="str">
        <f t="shared" si="64"/>
        <v/>
      </c>
      <c r="Z112" s="103" t="str">
        <f t="shared" si="64"/>
        <v/>
      </c>
      <c r="AA112" s="103" t="str">
        <f t="shared" si="64"/>
        <v/>
      </c>
      <c r="AB112" s="103" t="str">
        <f t="shared" si="64"/>
        <v/>
      </c>
    </row>
    <row r="113" spans="1:28" ht="18" customHeight="1" outlineLevel="2" x14ac:dyDescent="0.25">
      <c r="A113" s="9" t="str">
        <f t="shared" si="38"/>
        <v>H2 [Nl/h]</v>
      </c>
      <c r="B113" s="219"/>
      <c r="C113" s="103" t="str">
        <f t="shared" si="39"/>
        <v/>
      </c>
      <c r="D113" s="103" t="str">
        <f t="shared" ref="D113:AB113" si="65">IF(D$86="","",D45/100*D$86)</f>
        <v/>
      </c>
      <c r="E113" s="103" t="str">
        <f t="shared" si="65"/>
        <v/>
      </c>
      <c r="F113" s="103" t="str">
        <f t="shared" si="65"/>
        <v/>
      </c>
      <c r="G113" s="103" t="str">
        <f t="shared" si="65"/>
        <v/>
      </c>
      <c r="H113" s="103" t="str">
        <f t="shared" si="65"/>
        <v/>
      </c>
      <c r="I113" s="103" t="str">
        <f t="shared" si="65"/>
        <v/>
      </c>
      <c r="J113" s="103" t="str">
        <f t="shared" si="65"/>
        <v/>
      </c>
      <c r="K113" s="103" t="str">
        <f t="shared" si="65"/>
        <v/>
      </c>
      <c r="L113" s="103" t="str">
        <f t="shared" si="65"/>
        <v/>
      </c>
      <c r="M113" s="103" t="str">
        <f t="shared" si="65"/>
        <v/>
      </c>
      <c r="N113" s="103" t="str">
        <f t="shared" si="65"/>
        <v/>
      </c>
      <c r="O113" s="103" t="str">
        <f t="shared" si="65"/>
        <v/>
      </c>
      <c r="P113" s="103" t="str">
        <f t="shared" si="65"/>
        <v/>
      </c>
      <c r="Q113" s="103" t="str">
        <f t="shared" si="65"/>
        <v/>
      </c>
      <c r="R113" s="103" t="str">
        <f t="shared" si="65"/>
        <v/>
      </c>
      <c r="S113" s="103" t="str">
        <f t="shared" si="65"/>
        <v/>
      </c>
      <c r="T113" s="103" t="str">
        <f t="shared" si="65"/>
        <v/>
      </c>
      <c r="U113" s="103" t="str">
        <f t="shared" si="65"/>
        <v/>
      </c>
      <c r="V113" s="103" t="str">
        <f t="shared" si="65"/>
        <v/>
      </c>
      <c r="W113" s="103" t="str">
        <f t="shared" si="65"/>
        <v/>
      </c>
      <c r="X113" s="103" t="str">
        <f t="shared" si="65"/>
        <v/>
      </c>
      <c r="Y113" s="103" t="str">
        <f t="shared" si="65"/>
        <v/>
      </c>
      <c r="Z113" s="103" t="str">
        <f t="shared" si="65"/>
        <v/>
      </c>
      <c r="AA113" s="103" t="str">
        <f t="shared" si="65"/>
        <v/>
      </c>
      <c r="AB113" s="103" t="str">
        <f t="shared" si="65"/>
        <v/>
      </c>
    </row>
    <row r="114" spans="1:28" ht="18" customHeight="1" outlineLevel="2" x14ac:dyDescent="0.25">
      <c r="A114" s="9" t="str">
        <f t="shared" si="38"/>
        <v>Acetylene [Nl/h]</v>
      </c>
      <c r="B114" s="219"/>
      <c r="C114" s="103" t="str">
        <f t="shared" si="39"/>
        <v/>
      </c>
      <c r="D114" s="103" t="str">
        <f t="shared" ref="D114:AB114" si="66">IF(D$86="","",D46/100*D$86)</f>
        <v/>
      </c>
      <c r="E114" s="103" t="str">
        <f t="shared" si="66"/>
        <v/>
      </c>
      <c r="F114" s="103" t="str">
        <f t="shared" si="66"/>
        <v/>
      </c>
      <c r="G114" s="103" t="str">
        <f t="shared" si="66"/>
        <v/>
      </c>
      <c r="H114" s="103" t="str">
        <f t="shared" si="66"/>
        <v/>
      </c>
      <c r="I114" s="103" t="str">
        <f t="shared" si="66"/>
        <v/>
      </c>
      <c r="J114" s="103" t="str">
        <f t="shared" si="66"/>
        <v/>
      </c>
      <c r="K114" s="103" t="str">
        <f t="shared" si="66"/>
        <v/>
      </c>
      <c r="L114" s="103" t="str">
        <f t="shared" si="66"/>
        <v/>
      </c>
      <c r="M114" s="103" t="str">
        <f t="shared" si="66"/>
        <v/>
      </c>
      <c r="N114" s="103" t="str">
        <f t="shared" si="66"/>
        <v/>
      </c>
      <c r="O114" s="103" t="str">
        <f t="shared" si="66"/>
        <v/>
      </c>
      <c r="P114" s="103" t="str">
        <f t="shared" si="66"/>
        <v/>
      </c>
      <c r="Q114" s="103" t="str">
        <f t="shared" si="66"/>
        <v/>
      </c>
      <c r="R114" s="103" t="str">
        <f t="shared" si="66"/>
        <v/>
      </c>
      <c r="S114" s="103" t="str">
        <f t="shared" si="66"/>
        <v/>
      </c>
      <c r="T114" s="103" t="str">
        <f t="shared" si="66"/>
        <v/>
      </c>
      <c r="U114" s="103" t="str">
        <f t="shared" si="66"/>
        <v/>
      </c>
      <c r="V114" s="103" t="str">
        <f t="shared" si="66"/>
        <v/>
      </c>
      <c r="W114" s="103" t="str">
        <f t="shared" si="66"/>
        <v/>
      </c>
      <c r="X114" s="103" t="str">
        <f t="shared" si="66"/>
        <v/>
      </c>
      <c r="Y114" s="103" t="str">
        <f t="shared" si="66"/>
        <v/>
      </c>
      <c r="Z114" s="103" t="str">
        <f t="shared" si="66"/>
        <v/>
      </c>
      <c r="AA114" s="103" t="str">
        <f t="shared" si="66"/>
        <v/>
      </c>
      <c r="AB114" s="103" t="str">
        <f t="shared" si="66"/>
        <v/>
      </c>
    </row>
    <row r="115" spans="1:28" ht="18" customHeight="1" outlineLevel="2" x14ac:dyDescent="0.25">
      <c r="A115" s="9" t="str">
        <f t="shared" si="38"/>
        <v>Isobutane [Nl/h]</v>
      </c>
      <c r="B115" s="219"/>
      <c r="C115" s="103" t="str">
        <f t="shared" si="39"/>
        <v/>
      </c>
      <c r="D115" s="103" t="str">
        <f t="shared" ref="D115:AB115" si="67">IF(D$86="","",D47/100*D$86)</f>
        <v/>
      </c>
      <c r="E115" s="103" t="str">
        <f t="shared" si="67"/>
        <v/>
      </c>
      <c r="F115" s="103" t="str">
        <f t="shared" si="67"/>
        <v/>
      </c>
      <c r="G115" s="103" t="str">
        <f t="shared" si="67"/>
        <v/>
      </c>
      <c r="H115" s="103" t="str">
        <f t="shared" si="67"/>
        <v/>
      </c>
      <c r="I115" s="103" t="str">
        <f t="shared" si="67"/>
        <v/>
      </c>
      <c r="J115" s="103" t="str">
        <f t="shared" si="67"/>
        <v/>
      </c>
      <c r="K115" s="103" t="str">
        <f t="shared" si="67"/>
        <v/>
      </c>
      <c r="L115" s="103" t="str">
        <f t="shared" si="67"/>
        <v/>
      </c>
      <c r="M115" s="103" t="str">
        <f t="shared" si="67"/>
        <v/>
      </c>
      <c r="N115" s="103" t="str">
        <f t="shared" si="67"/>
        <v/>
      </c>
      <c r="O115" s="103" t="str">
        <f t="shared" si="67"/>
        <v/>
      </c>
      <c r="P115" s="103" t="str">
        <f t="shared" si="67"/>
        <v/>
      </c>
      <c r="Q115" s="103" t="str">
        <f t="shared" si="67"/>
        <v/>
      </c>
      <c r="R115" s="103" t="str">
        <f t="shared" si="67"/>
        <v/>
      </c>
      <c r="S115" s="103" t="str">
        <f t="shared" si="67"/>
        <v/>
      </c>
      <c r="T115" s="103" t="str">
        <f t="shared" si="67"/>
        <v/>
      </c>
      <c r="U115" s="103" t="str">
        <f t="shared" si="67"/>
        <v/>
      </c>
      <c r="V115" s="103" t="str">
        <f t="shared" si="67"/>
        <v/>
      </c>
      <c r="W115" s="103" t="str">
        <f t="shared" si="67"/>
        <v/>
      </c>
      <c r="X115" s="103" t="str">
        <f t="shared" si="67"/>
        <v/>
      </c>
      <c r="Y115" s="103" t="str">
        <f t="shared" si="67"/>
        <v/>
      </c>
      <c r="Z115" s="103" t="str">
        <f t="shared" si="67"/>
        <v/>
      </c>
      <c r="AA115" s="103" t="str">
        <f t="shared" si="67"/>
        <v/>
      </c>
      <c r="AB115" s="103" t="str">
        <f t="shared" si="67"/>
        <v/>
      </c>
    </row>
    <row r="116" spans="1:28" ht="18" customHeight="1" outlineLevel="2" x14ac:dyDescent="0.25">
      <c r="A116" s="9" t="str">
        <f t="shared" si="38"/>
        <v>N2 [Nl/h]</v>
      </c>
      <c r="B116" s="219"/>
      <c r="C116" s="103" t="str">
        <f t="shared" si="39"/>
        <v/>
      </c>
      <c r="D116" s="103" t="str">
        <f t="shared" ref="D116:AB116" si="68">IF(D$86="","",D48/100*D$86)</f>
        <v/>
      </c>
      <c r="E116" s="103" t="str">
        <f t="shared" si="68"/>
        <v/>
      </c>
      <c r="F116" s="103" t="str">
        <f t="shared" si="68"/>
        <v/>
      </c>
      <c r="G116" s="103" t="str">
        <f t="shared" si="68"/>
        <v/>
      </c>
      <c r="H116" s="103" t="str">
        <f t="shared" si="68"/>
        <v/>
      </c>
      <c r="I116" s="103" t="str">
        <f t="shared" si="68"/>
        <v/>
      </c>
      <c r="J116" s="103" t="str">
        <f t="shared" si="68"/>
        <v/>
      </c>
      <c r="K116" s="103" t="str">
        <f t="shared" si="68"/>
        <v/>
      </c>
      <c r="L116" s="103" t="str">
        <f t="shared" si="68"/>
        <v/>
      </c>
      <c r="M116" s="103" t="str">
        <f t="shared" si="68"/>
        <v/>
      </c>
      <c r="N116" s="103" t="str">
        <f t="shared" si="68"/>
        <v/>
      </c>
      <c r="O116" s="103" t="str">
        <f t="shared" si="68"/>
        <v/>
      </c>
      <c r="P116" s="103" t="str">
        <f t="shared" si="68"/>
        <v/>
      </c>
      <c r="Q116" s="103" t="str">
        <f t="shared" si="68"/>
        <v/>
      </c>
      <c r="R116" s="103" t="str">
        <f t="shared" si="68"/>
        <v/>
      </c>
      <c r="S116" s="103" t="str">
        <f t="shared" si="68"/>
        <v/>
      </c>
      <c r="T116" s="103" t="str">
        <f t="shared" si="68"/>
        <v/>
      </c>
      <c r="U116" s="103" t="str">
        <f t="shared" si="68"/>
        <v/>
      </c>
      <c r="V116" s="103" t="str">
        <f t="shared" si="68"/>
        <v/>
      </c>
      <c r="W116" s="103" t="str">
        <f t="shared" si="68"/>
        <v/>
      </c>
      <c r="X116" s="103" t="str">
        <f t="shared" si="68"/>
        <v/>
      </c>
      <c r="Y116" s="103" t="str">
        <f t="shared" si="68"/>
        <v/>
      </c>
      <c r="Z116" s="103" t="str">
        <f t="shared" si="68"/>
        <v/>
      </c>
      <c r="AA116" s="103" t="str">
        <f t="shared" si="68"/>
        <v/>
      </c>
      <c r="AB116" s="103" t="str">
        <f t="shared" si="68"/>
        <v/>
      </c>
    </row>
    <row r="117" spans="1:28" ht="18" customHeight="1" outlineLevel="2" x14ac:dyDescent="0.25">
      <c r="A117" s="9" t="str">
        <f t="shared" si="38"/>
        <v/>
      </c>
      <c r="B117" s="219"/>
      <c r="C117" s="103" t="str">
        <f t="shared" si="39"/>
        <v/>
      </c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</row>
    <row r="118" spans="1:28" ht="18" customHeight="1" outlineLevel="2" x14ac:dyDescent="0.25">
      <c r="A118" s="9" t="str">
        <f t="shared" si="38"/>
        <v/>
      </c>
      <c r="B118" s="219"/>
      <c r="C118" s="103" t="str">
        <f t="shared" si="39"/>
        <v/>
      </c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</row>
    <row r="120" spans="1:28" ht="18" customHeight="1" x14ac:dyDescent="0.25">
      <c r="A120" s="11" t="s">
        <v>255</v>
      </c>
      <c r="B120" s="244"/>
      <c r="C120" s="217" t="s">
        <v>256</v>
      </c>
      <c r="D120" s="233" t="s">
        <v>257</v>
      </c>
      <c r="E120" s="249" t="str">
        <f t="shared" ref="E120:AB120" si="69">E$17</f>
        <v/>
      </c>
      <c r="F120" s="249" t="str">
        <f t="shared" si="69"/>
        <v/>
      </c>
      <c r="G120" s="249" t="str">
        <f t="shared" si="69"/>
        <v/>
      </c>
      <c r="H120" s="249">
        <f t="shared" si="69"/>
        <v>0</v>
      </c>
      <c r="I120" s="249" t="str">
        <f t="shared" si="69"/>
        <v/>
      </c>
      <c r="J120" s="249" t="str">
        <f t="shared" si="69"/>
        <v/>
      </c>
      <c r="K120" s="249" t="str">
        <f t="shared" si="69"/>
        <v/>
      </c>
      <c r="L120" s="249" t="str">
        <f t="shared" si="69"/>
        <v/>
      </c>
      <c r="M120" s="249" t="str">
        <f t="shared" si="69"/>
        <v/>
      </c>
      <c r="N120" s="249" t="str">
        <f t="shared" si="69"/>
        <v/>
      </c>
      <c r="O120" s="249" t="str">
        <f t="shared" si="69"/>
        <v/>
      </c>
      <c r="P120" s="249" t="str">
        <f t="shared" si="69"/>
        <v/>
      </c>
      <c r="Q120" s="249" t="str">
        <f t="shared" si="69"/>
        <v/>
      </c>
      <c r="R120" s="249" t="str">
        <f t="shared" si="69"/>
        <v/>
      </c>
      <c r="S120" s="249" t="str">
        <f t="shared" si="69"/>
        <v/>
      </c>
      <c r="T120" s="249" t="str">
        <f t="shared" si="69"/>
        <v/>
      </c>
      <c r="U120" s="249" t="str">
        <f t="shared" si="69"/>
        <v/>
      </c>
      <c r="V120" s="249" t="str">
        <f t="shared" si="69"/>
        <v/>
      </c>
      <c r="W120" s="249" t="str">
        <f t="shared" si="69"/>
        <v/>
      </c>
      <c r="X120" s="249" t="str">
        <f t="shared" si="69"/>
        <v/>
      </c>
      <c r="Y120" s="249" t="str">
        <f t="shared" si="69"/>
        <v/>
      </c>
      <c r="Z120" s="249" t="str">
        <f t="shared" si="69"/>
        <v/>
      </c>
      <c r="AA120" s="249" t="str">
        <f t="shared" si="69"/>
        <v/>
      </c>
      <c r="AB120" s="249" t="str">
        <f t="shared" si="69"/>
        <v/>
      </c>
    </row>
    <row r="121" spans="1:28" ht="18" customHeight="1" x14ac:dyDescent="0.25">
      <c r="A121" s="11" t="s">
        <v>258</v>
      </c>
      <c r="B121" s="244"/>
      <c r="C121" s="233" t="str">
        <f t="shared" ref="C121:C149" si="70">IFERROR(AVERAGE(D121:AB121), "")</f>
        <v/>
      </c>
      <c r="D121" s="233" t="str">
        <f t="shared" ref="D121:AB121" si="71">IFERROR((12.011*$AD52/$B20)*D52,"")</f>
        <v/>
      </c>
      <c r="E121" s="233" t="str">
        <f t="shared" si="71"/>
        <v/>
      </c>
      <c r="F121" s="233" t="str">
        <f t="shared" si="71"/>
        <v/>
      </c>
      <c r="G121" s="233" t="str">
        <f t="shared" si="71"/>
        <v/>
      </c>
      <c r="H121" s="233" t="str">
        <f t="shared" si="71"/>
        <v/>
      </c>
      <c r="I121" s="233" t="str">
        <f t="shared" si="71"/>
        <v/>
      </c>
      <c r="J121" s="233" t="str">
        <f t="shared" si="71"/>
        <v/>
      </c>
      <c r="K121" s="233" t="str">
        <f t="shared" si="71"/>
        <v/>
      </c>
      <c r="L121" s="233" t="str">
        <f t="shared" si="71"/>
        <v/>
      </c>
      <c r="M121" s="233" t="str">
        <f t="shared" si="71"/>
        <v/>
      </c>
      <c r="N121" s="233" t="str">
        <f t="shared" si="71"/>
        <v/>
      </c>
      <c r="O121" s="233" t="str">
        <f t="shared" si="71"/>
        <v/>
      </c>
      <c r="P121" s="233" t="str">
        <f t="shared" si="71"/>
        <v/>
      </c>
      <c r="Q121" s="233" t="str">
        <f t="shared" si="71"/>
        <v/>
      </c>
      <c r="R121" s="233" t="str">
        <f t="shared" si="71"/>
        <v/>
      </c>
      <c r="S121" s="233" t="str">
        <f t="shared" si="71"/>
        <v/>
      </c>
      <c r="T121" s="233" t="str">
        <f t="shared" si="71"/>
        <v/>
      </c>
      <c r="U121" s="233" t="str">
        <f t="shared" si="71"/>
        <v/>
      </c>
      <c r="V121" s="233" t="str">
        <f t="shared" si="71"/>
        <v/>
      </c>
      <c r="W121" s="233" t="str">
        <f t="shared" si="71"/>
        <v/>
      </c>
      <c r="X121" s="233" t="str">
        <f t="shared" si="71"/>
        <v/>
      </c>
      <c r="Y121" s="233" t="str">
        <f t="shared" si="71"/>
        <v/>
      </c>
      <c r="Z121" s="233" t="str">
        <f t="shared" si="71"/>
        <v/>
      </c>
      <c r="AA121" s="233" t="str">
        <f t="shared" si="71"/>
        <v/>
      </c>
      <c r="AB121" s="233" t="str">
        <f t="shared" si="71"/>
        <v/>
      </c>
    </row>
    <row r="122" spans="1:28" ht="18" customHeight="1" x14ac:dyDescent="0.25">
      <c r="A122" s="11" t="s">
        <v>259</v>
      </c>
      <c r="B122" s="244"/>
      <c r="C122" s="233" t="str">
        <f t="shared" si="70"/>
        <v/>
      </c>
      <c r="D122" s="233" t="str">
        <f t="shared" ref="D122:AB122" si="72">IFERROR((12.011*$AD53/$B21)*D53,"")</f>
        <v/>
      </c>
      <c r="E122" s="233" t="str">
        <f t="shared" si="72"/>
        <v/>
      </c>
      <c r="F122" s="233" t="str">
        <f t="shared" si="72"/>
        <v/>
      </c>
      <c r="G122" s="233" t="str">
        <f t="shared" si="72"/>
        <v/>
      </c>
      <c r="H122" s="233" t="str">
        <f t="shared" si="72"/>
        <v/>
      </c>
      <c r="I122" s="233" t="str">
        <f t="shared" si="72"/>
        <v/>
      </c>
      <c r="J122" s="233" t="str">
        <f t="shared" si="72"/>
        <v/>
      </c>
      <c r="K122" s="233" t="str">
        <f t="shared" si="72"/>
        <v/>
      </c>
      <c r="L122" s="233" t="str">
        <f t="shared" si="72"/>
        <v/>
      </c>
      <c r="M122" s="233" t="str">
        <f t="shared" si="72"/>
        <v/>
      </c>
      <c r="N122" s="233" t="str">
        <f t="shared" si="72"/>
        <v/>
      </c>
      <c r="O122" s="233" t="str">
        <f t="shared" si="72"/>
        <v/>
      </c>
      <c r="P122" s="233" t="str">
        <f t="shared" si="72"/>
        <v/>
      </c>
      <c r="Q122" s="233" t="str">
        <f t="shared" si="72"/>
        <v/>
      </c>
      <c r="R122" s="233" t="str">
        <f t="shared" si="72"/>
        <v/>
      </c>
      <c r="S122" s="233" t="str">
        <f t="shared" si="72"/>
        <v/>
      </c>
      <c r="T122" s="233" t="str">
        <f t="shared" si="72"/>
        <v/>
      </c>
      <c r="U122" s="233" t="str">
        <f t="shared" si="72"/>
        <v/>
      </c>
      <c r="V122" s="233" t="str">
        <f t="shared" si="72"/>
        <v/>
      </c>
      <c r="W122" s="233" t="str">
        <f t="shared" si="72"/>
        <v/>
      </c>
      <c r="X122" s="233" t="str">
        <f t="shared" si="72"/>
        <v/>
      </c>
      <c r="Y122" s="233" t="str">
        <f t="shared" si="72"/>
        <v/>
      </c>
      <c r="Z122" s="233" t="str">
        <f t="shared" si="72"/>
        <v/>
      </c>
      <c r="AA122" s="233" t="str">
        <f t="shared" si="72"/>
        <v/>
      </c>
      <c r="AB122" s="233" t="str">
        <f t="shared" si="72"/>
        <v/>
      </c>
    </row>
    <row r="123" spans="1:28" ht="18" customHeight="1" x14ac:dyDescent="0.25">
      <c r="A123" s="11" t="s">
        <v>260</v>
      </c>
      <c r="B123" s="244"/>
      <c r="C123" s="233" t="str">
        <f t="shared" si="70"/>
        <v/>
      </c>
      <c r="D123" s="233" t="str">
        <f t="shared" ref="D123:AB123" si="73">IFERROR((12.011*$AD54/$B22)*D54,"")</f>
        <v/>
      </c>
      <c r="E123" s="233" t="str">
        <f t="shared" si="73"/>
        <v/>
      </c>
      <c r="F123" s="233" t="str">
        <f t="shared" si="73"/>
        <v/>
      </c>
      <c r="G123" s="233" t="str">
        <f t="shared" si="73"/>
        <v/>
      </c>
      <c r="H123" s="233" t="str">
        <f t="shared" si="73"/>
        <v/>
      </c>
      <c r="I123" s="233" t="str">
        <f t="shared" si="73"/>
        <v/>
      </c>
      <c r="J123" s="233" t="str">
        <f t="shared" si="73"/>
        <v/>
      </c>
      <c r="K123" s="233" t="str">
        <f t="shared" si="73"/>
        <v/>
      </c>
      <c r="L123" s="233" t="str">
        <f t="shared" si="73"/>
        <v/>
      </c>
      <c r="M123" s="233" t="str">
        <f t="shared" si="73"/>
        <v/>
      </c>
      <c r="N123" s="233" t="str">
        <f t="shared" si="73"/>
        <v/>
      </c>
      <c r="O123" s="233" t="str">
        <f t="shared" si="73"/>
        <v/>
      </c>
      <c r="P123" s="233" t="str">
        <f t="shared" si="73"/>
        <v/>
      </c>
      <c r="Q123" s="233" t="str">
        <f t="shared" si="73"/>
        <v/>
      </c>
      <c r="R123" s="233" t="str">
        <f t="shared" si="73"/>
        <v/>
      </c>
      <c r="S123" s="233" t="str">
        <f t="shared" si="73"/>
        <v/>
      </c>
      <c r="T123" s="233" t="str">
        <f t="shared" si="73"/>
        <v/>
      </c>
      <c r="U123" s="233" t="str">
        <f t="shared" si="73"/>
        <v/>
      </c>
      <c r="V123" s="233" t="str">
        <f t="shared" si="73"/>
        <v/>
      </c>
      <c r="W123" s="233" t="str">
        <f t="shared" si="73"/>
        <v/>
      </c>
      <c r="X123" s="233" t="str">
        <f t="shared" si="73"/>
        <v/>
      </c>
      <c r="Y123" s="233" t="str">
        <f t="shared" si="73"/>
        <v/>
      </c>
      <c r="Z123" s="233" t="str">
        <f t="shared" si="73"/>
        <v/>
      </c>
      <c r="AA123" s="233" t="str">
        <f t="shared" si="73"/>
        <v/>
      </c>
      <c r="AB123" s="233" t="str">
        <f t="shared" si="73"/>
        <v/>
      </c>
    </row>
    <row r="124" spans="1:28" ht="18" customHeight="1" x14ac:dyDescent="0.25">
      <c r="A124" s="11" t="s">
        <v>261</v>
      </c>
      <c r="B124" s="244"/>
      <c r="C124" s="233" t="str">
        <f t="shared" si="70"/>
        <v/>
      </c>
      <c r="D124" s="233" t="str">
        <f t="shared" ref="D124:AB124" si="74">IFERROR((12.011*$AD55/$B23)*D55,"")</f>
        <v/>
      </c>
      <c r="E124" s="233" t="str">
        <f t="shared" si="74"/>
        <v/>
      </c>
      <c r="F124" s="233" t="str">
        <f t="shared" si="74"/>
        <v/>
      </c>
      <c r="G124" s="233" t="str">
        <f t="shared" si="74"/>
        <v/>
      </c>
      <c r="H124" s="233" t="str">
        <f t="shared" si="74"/>
        <v/>
      </c>
      <c r="I124" s="233" t="str">
        <f t="shared" si="74"/>
        <v/>
      </c>
      <c r="J124" s="233" t="str">
        <f t="shared" si="74"/>
        <v/>
      </c>
      <c r="K124" s="233" t="str">
        <f t="shared" si="74"/>
        <v/>
      </c>
      <c r="L124" s="233" t="str">
        <f t="shared" si="74"/>
        <v/>
      </c>
      <c r="M124" s="233" t="str">
        <f t="shared" si="74"/>
        <v/>
      </c>
      <c r="N124" s="233" t="str">
        <f t="shared" si="74"/>
        <v/>
      </c>
      <c r="O124" s="233" t="str">
        <f t="shared" si="74"/>
        <v/>
      </c>
      <c r="P124" s="233" t="str">
        <f t="shared" si="74"/>
        <v/>
      </c>
      <c r="Q124" s="233" t="str">
        <f t="shared" si="74"/>
        <v/>
      </c>
      <c r="R124" s="233" t="str">
        <f t="shared" si="74"/>
        <v/>
      </c>
      <c r="S124" s="233" t="str">
        <f t="shared" si="74"/>
        <v/>
      </c>
      <c r="T124" s="233" t="str">
        <f t="shared" si="74"/>
        <v/>
      </c>
      <c r="U124" s="233" t="str">
        <f t="shared" si="74"/>
        <v/>
      </c>
      <c r="V124" s="233" t="str">
        <f t="shared" si="74"/>
        <v/>
      </c>
      <c r="W124" s="233" t="str">
        <f t="shared" si="74"/>
        <v/>
      </c>
      <c r="X124" s="233" t="str">
        <f t="shared" si="74"/>
        <v/>
      </c>
      <c r="Y124" s="233" t="str">
        <f t="shared" si="74"/>
        <v/>
      </c>
      <c r="Z124" s="233" t="str">
        <f t="shared" si="74"/>
        <v/>
      </c>
      <c r="AA124" s="233" t="str">
        <f t="shared" si="74"/>
        <v/>
      </c>
      <c r="AB124" s="233" t="str">
        <f t="shared" si="74"/>
        <v/>
      </c>
    </row>
    <row r="125" spans="1:28" ht="18" customHeight="1" x14ac:dyDescent="0.25">
      <c r="A125" s="11" t="s">
        <v>262</v>
      </c>
      <c r="B125" s="244"/>
      <c r="C125" s="233" t="str">
        <f t="shared" si="70"/>
        <v/>
      </c>
      <c r="D125" s="233" t="str">
        <f t="shared" ref="D125:AB125" si="75">IFERROR((12.011*$AD56/$B24)*D56,"")</f>
        <v/>
      </c>
      <c r="E125" s="233" t="str">
        <f t="shared" si="75"/>
        <v/>
      </c>
      <c r="F125" s="233" t="str">
        <f t="shared" si="75"/>
        <v/>
      </c>
      <c r="G125" s="233" t="str">
        <f t="shared" si="75"/>
        <v/>
      </c>
      <c r="H125" s="233" t="str">
        <f t="shared" si="75"/>
        <v/>
      </c>
      <c r="I125" s="233" t="str">
        <f t="shared" si="75"/>
        <v/>
      </c>
      <c r="J125" s="233" t="str">
        <f t="shared" si="75"/>
        <v/>
      </c>
      <c r="K125" s="233" t="str">
        <f t="shared" si="75"/>
        <v/>
      </c>
      <c r="L125" s="233" t="str">
        <f t="shared" si="75"/>
        <v/>
      </c>
      <c r="M125" s="233" t="str">
        <f t="shared" si="75"/>
        <v/>
      </c>
      <c r="N125" s="233" t="str">
        <f t="shared" si="75"/>
        <v/>
      </c>
      <c r="O125" s="233" t="str">
        <f t="shared" si="75"/>
        <v/>
      </c>
      <c r="P125" s="233" t="str">
        <f t="shared" si="75"/>
        <v/>
      </c>
      <c r="Q125" s="233" t="str">
        <f t="shared" si="75"/>
        <v/>
      </c>
      <c r="R125" s="233" t="str">
        <f t="shared" si="75"/>
        <v/>
      </c>
      <c r="S125" s="233" t="str">
        <f t="shared" si="75"/>
        <v/>
      </c>
      <c r="T125" s="233" t="str">
        <f t="shared" si="75"/>
        <v/>
      </c>
      <c r="U125" s="233" t="str">
        <f t="shared" si="75"/>
        <v/>
      </c>
      <c r="V125" s="233" t="str">
        <f t="shared" si="75"/>
        <v/>
      </c>
      <c r="W125" s="233" t="str">
        <f t="shared" si="75"/>
        <v/>
      </c>
      <c r="X125" s="233" t="str">
        <f t="shared" si="75"/>
        <v/>
      </c>
      <c r="Y125" s="233" t="str">
        <f t="shared" si="75"/>
        <v/>
      </c>
      <c r="Z125" s="233" t="str">
        <f t="shared" si="75"/>
        <v/>
      </c>
      <c r="AA125" s="233" t="str">
        <f t="shared" si="75"/>
        <v/>
      </c>
      <c r="AB125" s="233" t="str">
        <f t="shared" si="75"/>
        <v/>
      </c>
    </row>
    <row r="126" spans="1:28" ht="18" customHeight="1" x14ac:dyDescent="0.25">
      <c r="A126" s="11" t="s">
        <v>263</v>
      </c>
      <c r="B126" s="244"/>
      <c r="C126" s="233" t="str">
        <f t="shared" si="70"/>
        <v/>
      </c>
      <c r="D126" s="233" t="str">
        <f t="shared" ref="D126:AB126" si="76">IFERROR((12.011*$AD57/$B25)*D57,"")</f>
        <v/>
      </c>
      <c r="E126" s="233" t="str">
        <f t="shared" si="76"/>
        <v/>
      </c>
      <c r="F126" s="233" t="str">
        <f t="shared" si="76"/>
        <v/>
      </c>
      <c r="G126" s="233" t="str">
        <f t="shared" si="76"/>
        <v/>
      </c>
      <c r="H126" s="233" t="str">
        <f t="shared" si="76"/>
        <v/>
      </c>
      <c r="I126" s="233" t="str">
        <f t="shared" si="76"/>
        <v/>
      </c>
      <c r="J126" s="233" t="str">
        <f t="shared" si="76"/>
        <v/>
      </c>
      <c r="K126" s="233" t="str">
        <f t="shared" si="76"/>
        <v/>
      </c>
      <c r="L126" s="233" t="str">
        <f t="shared" si="76"/>
        <v/>
      </c>
      <c r="M126" s="233" t="str">
        <f t="shared" si="76"/>
        <v/>
      </c>
      <c r="N126" s="233" t="str">
        <f t="shared" si="76"/>
        <v/>
      </c>
      <c r="O126" s="233" t="str">
        <f t="shared" si="76"/>
        <v/>
      </c>
      <c r="P126" s="233" t="str">
        <f t="shared" si="76"/>
        <v/>
      </c>
      <c r="Q126" s="233" t="str">
        <f t="shared" si="76"/>
        <v/>
      </c>
      <c r="R126" s="233" t="str">
        <f t="shared" si="76"/>
        <v/>
      </c>
      <c r="S126" s="233" t="str">
        <f t="shared" si="76"/>
        <v/>
      </c>
      <c r="T126" s="233" t="str">
        <f t="shared" si="76"/>
        <v/>
      </c>
      <c r="U126" s="233" t="str">
        <f t="shared" si="76"/>
        <v/>
      </c>
      <c r="V126" s="233" t="str">
        <f t="shared" si="76"/>
        <v/>
      </c>
      <c r="W126" s="233" t="str">
        <f t="shared" si="76"/>
        <v/>
      </c>
      <c r="X126" s="233" t="str">
        <f t="shared" si="76"/>
        <v/>
      </c>
      <c r="Y126" s="233" t="str">
        <f t="shared" si="76"/>
        <v/>
      </c>
      <c r="Z126" s="233" t="str">
        <f t="shared" si="76"/>
        <v/>
      </c>
      <c r="AA126" s="233" t="str">
        <f t="shared" si="76"/>
        <v/>
      </c>
      <c r="AB126" s="233" t="str">
        <f t="shared" si="76"/>
        <v/>
      </c>
    </row>
    <row r="127" spans="1:28" ht="18" customHeight="1" x14ac:dyDescent="0.25">
      <c r="A127" s="11" t="s">
        <v>264</v>
      </c>
      <c r="B127" s="244"/>
      <c r="C127" s="233" t="str">
        <f t="shared" si="70"/>
        <v/>
      </c>
      <c r="D127" s="233" t="str">
        <f t="shared" ref="D127:AB127" si="77">IFERROR((12.011*$AD58/$B26)*D58,"")</f>
        <v/>
      </c>
      <c r="E127" s="233" t="str">
        <f t="shared" si="77"/>
        <v/>
      </c>
      <c r="F127" s="233" t="str">
        <f t="shared" si="77"/>
        <v/>
      </c>
      <c r="G127" s="233" t="str">
        <f t="shared" si="77"/>
        <v/>
      </c>
      <c r="H127" s="233" t="str">
        <f t="shared" si="77"/>
        <v/>
      </c>
      <c r="I127" s="233" t="str">
        <f t="shared" si="77"/>
        <v/>
      </c>
      <c r="J127" s="233" t="str">
        <f t="shared" si="77"/>
        <v/>
      </c>
      <c r="K127" s="233" t="str">
        <f t="shared" si="77"/>
        <v/>
      </c>
      <c r="L127" s="233" t="str">
        <f t="shared" si="77"/>
        <v/>
      </c>
      <c r="M127" s="233" t="str">
        <f t="shared" si="77"/>
        <v/>
      </c>
      <c r="N127" s="233" t="str">
        <f t="shared" si="77"/>
        <v/>
      </c>
      <c r="O127" s="233" t="str">
        <f t="shared" si="77"/>
        <v/>
      </c>
      <c r="P127" s="233" t="str">
        <f t="shared" si="77"/>
        <v/>
      </c>
      <c r="Q127" s="233" t="str">
        <f t="shared" si="77"/>
        <v/>
      </c>
      <c r="R127" s="233" t="str">
        <f t="shared" si="77"/>
        <v/>
      </c>
      <c r="S127" s="233" t="str">
        <f t="shared" si="77"/>
        <v/>
      </c>
      <c r="T127" s="233" t="str">
        <f t="shared" si="77"/>
        <v/>
      </c>
      <c r="U127" s="233" t="str">
        <f t="shared" si="77"/>
        <v/>
      </c>
      <c r="V127" s="233" t="str">
        <f t="shared" si="77"/>
        <v/>
      </c>
      <c r="W127" s="233" t="str">
        <f t="shared" si="77"/>
        <v/>
      </c>
      <c r="X127" s="233" t="str">
        <f t="shared" si="77"/>
        <v/>
      </c>
      <c r="Y127" s="233" t="str">
        <f t="shared" si="77"/>
        <v/>
      </c>
      <c r="Z127" s="233" t="str">
        <f t="shared" si="77"/>
        <v/>
      </c>
      <c r="AA127" s="233" t="str">
        <f t="shared" si="77"/>
        <v/>
      </c>
      <c r="AB127" s="233" t="str">
        <f t="shared" si="77"/>
        <v/>
      </c>
    </row>
    <row r="128" spans="1:28" ht="18" customHeight="1" x14ac:dyDescent="0.25">
      <c r="A128" s="11" t="s">
        <v>265</v>
      </c>
      <c r="B128" s="244"/>
      <c r="C128" s="233" t="str">
        <f t="shared" si="70"/>
        <v/>
      </c>
      <c r="D128" s="233" t="str">
        <f t="shared" ref="D128:AB128" si="78">IFERROR((12.011*$AD59/$B27)*D59,"")</f>
        <v/>
      </c>
      <c r="E128" s="233" t="str">
        <f t="shared" si="78"/>
        <v/>
      </c>
      <c r="F128" s="233" t="str">
        <f t="shared" si="78"/>
        <v/>
      </c>
      <c r="G128" s="233" t="str">
        <f t="shared" si="78"/>
        <v/>
      </c>
      <c r="H128" s="233" t="str">
        <f t="shared" si="78"/>
        <v/>
      </c>
      <c r="I128" s="233" t="str">
        <f t="shared" si="78"/>
        <v/>
      </c>
      <c r="J128" s="233" t="str">
        <f t="shared" si="78"/>
        <v/>
      </c>
      <c r="K128" s="233" t="str">
        <f t="shared" si="78"/>
        <v/>
      </c>
      <c r="L128" s="233" t="str">
        <f t="shared" si="78"/>
        <v/>
      </c>
      <c r="M128" s="233" t="str">
        <f t="shared" si="78"/>
        <v/>
      </c>
      <c r="N128" s="233" t="str">
        <f t="shared" si="78"/>
        <v/>
      </c>
      <c r="O128" s="233" t="str">
        <f t="shared" si="78"/>
        <v/>
      </c>
      <c r="P128" s="233" t="str">
        <f t="shared" si="78"/>
        <v/>
      </c>
      <c r="Q128" s="233" t="str">
        <f t="shared" si="78"/>
        <v/>
      </c>
      <c r="R128" s="233" t="str">
        <f t="shared" si="78"/>
        <v/>
      </c>
      <c r="S128" s="233" t="str">
        <f t="shared" si="78"/>
        <v/>
      </c>
      <c r="T128" s="233" t="str">
        <f t="shared" si="78"/>
        <v/>
      </c>
      <c r="U128" s="233" t="str">
        <f t="shared" si="78"/>
        <v/>
      </c>
      <c r="V128" s="233" t="str">
        <f t="shared" si="78"/>
        <v/>
      </c>
      <c r="W128" s="233" t="str">
        <f t="shared" si="78"/>
        <v/>
      </c>
      <c r="X128" s="233" t="str">
        <f t="shared" si="78"/>
        <v/>
      </c>
      <c r="Y128" s="233" t="str">
        <f t="shared" si="78"/>
        <v/>
      </c>
      <c r="Z128" s="233" t="str">
        <f t="shared" si="78"/>
        <v/>
      </c>
      <c r="AA128" s="233" t="str">
        <f t="shared" si="78"/>
        <v/>
      </c>
      <c r="AB128" s="233" t="str">
        <f t="shared" si="78"/>
        <v/>
      </c>
    </row>
    <row r="129" spans="1:28" ht="18" customHeight="1" x14ac:dyDescent="0.25">
      <c r="A129" s="11" t="s">
        <v>266</v>
      </c>
      <c r="B129" s="244"/>
      <c r="C129" s="233" t="str">
        <f t="shared" si="70"/>
        <v/>
      </c>
      <c r="D129" s="233" t="str">
        <f t="shared" ref="D129:AB129" si="79">IFERROR((12.011*$AD60/$B28)*D60,"")</f>
        <v/>
      </c>
      <c r="E129" s="233" t="str">
        <f t="shared" si="79"/>
        <v/>
      </c>
      <c r="F129" s="233" t="str">
        <f t="shared" si="79"/>
        <v/>
      </c>
      <c r="G129" s="233" t="str">
        <f t="shared" si="79"/>
        <v/>
      </c>
      <c r="H129" s="233" t="str">
        <f t="shared" si="79"/>
        <v/>
      </c>
      <c r="I129" s="233" t="str">
        <f t="shared" si="79"/>
        <v/>
      </c>
      <c r="J129" s="233" t="str">
        <f t="shared" si="79"/>
        <v/>
      </c>
      <c r="K129" s="233" t="str">
        <f t="shared" si="79"/>
        <v/>
      </c>
      <c r="L129" s="233" t="str">
        <f t="shared" si="79"/>
        <v/>
      </c>
      <c r="M129" s="233" t="str">
        <f t="shared" si="79"/>
        <v/>
      </c>
      <c r="N129" s="233" t="str">
        <f t="shared" si="79"/>
        <v/>
      </c>
      <c r="O129" s="233" t="str">
        <f t="shared" si="79"/>
        <v/>
      </c>
      <c r="P129" s="233" t="str">
        <f t="shared" si="79"/>
        <v/>
      </c>
      <c r="Q129" s="233" t="str">
        <f t="shared" si="79"/>
        <v/>
      </c>
      <c r="R129" s="233" t="str">
        <f t="shared" si="79"/>
        <v/>
      </c>
      <c r="S129" s="233" t="str">
        <f t="shared" si="79"/>
        <v/>
      </c>
      <c r="T129" s="233" t="str">
        <f t="shared" si="79"/>
        <v/>
      </c>
      <c r="U129" s="233" t="str">
        <f t="shared" si="79"/>
        <v/>
      </c>
      <c r="V129" s="233" t="str">
        <f t="shared" si="79"/>
        <v/>
      </c>
      <c r="W129" s="233" t="str">
        <f t="shared" si="79"/>
        <v/>
      </c>
      <c r="X129" s="233" t="str">
        <f t="shared" si="79"/>
        <v/>
      </c>
      <c r="Y129" s="233" t="str">
        <f t="shared" si="79"/>
        <v/>
      </c>
      <c r="Z129" s="233" t="str">
        <f t="shared" si="79"/>
        <v/>
      </c>
      <c r="AA129" s="233" t="str">
        <f t="shared" si="79"/>
        <v/>
      </c>
      <c r="AB129" s="233" t="str">
        <f t="shared" si="79"/>
        <v/>
      </c>
    </row>
    <row r="130" spans="1:28" ht="18" customHeight="1" x14ac:dyDescent="0.25">
      <c r="A130" s="11" t="s">
        <v>267</v>
      </c>
      <c r="B130" s="244"/>
      <c r="C130" s="233" t="str">
        <f t="shared" si="70"/>
        <v/>
      </c>
      <c r="D130" s="233" t="str">
        <f t="shared" ref="D130:AB130" si="80">IFERROR((12.011*$AD61/$B29)*D61,"")</f>
        <v/>
      </c>
      <c r="E130" s="233" t="str">
        <f t="shared" si="80"/>
        <v/>
      </c>
      <c r="F130" s="233" t="str">
        <f t="shared" si="80"/>
        <v/>
      </c>
      <c r="G130" s="233" t="str">
        <f t="shared" si="80"/>
        <v/>
      </c>
      <c r="H130" s="233" t="str">
        <f t="shared" si="80"/>
        <v/>
      </c>
      <c r="I130" s="233" t="str">
        <f t="shared" si="80"/>
        <v/>
      </c>
      <c r="J130" s="233" t="str">
        <f t="shared" si="80"/>
        <v/>
      </c>
      <c r="K130" s="233" t="str">
        <f t="shared" si="80"/>
        <v/>
      </c>
      <c r="L130" s="233" t="str">
        <f t="shared" si="80"/>
        <v/>
      </c>
      <c r="M130" s="233" t="str">
        <f t="shared" si="80"/>
        <v/>
      </c>
      <c r="N130" s="233" t="str">
        <f t="shared" si="80"/>
        <v/>
      </c>
      <c r="O130" s="233" t="str">
        <f t="shared" si="80"/>
        <v/>
      </c>
      <c r="P130" s="233" t="str">
        <f t="shared" si="80"/>
        <v/>
      </c>
      <c r="Q130" s="233" t="str">
        <f t="shared" si="80"/>
        <v/>
      </c>
      <c r="R130" s="233" t="str">
        <f t="shared" si="80"/>
        <v/>
      </c>
      <c r="S130" s="233" t="str">
        <f t="shared" si="80"/>
        <v/>
      </c>
      <c r="T130" s="233" t="str">
        <f t="shared" si="80"/>
        <v/>
      </c>
      <c r="U130" s="233" t="str">
        <f t="shared" si="80"/>
        <v/>
      </c>
      <c r="V130" s="233" t="str">
        <f t="shared" si="80"/>
        <v/>
      </c>
      <c r="W130" s="233" t="str">
        <f t="shared" si="80"/>
        <v/>
      </c>
      <c r="X130" s="233" t="str">
        <f t="shared" si="80"/>
        <v/>
      </c>
      <c r="Y130" s="233" t="str">
        <f t="shared" si="80"/>
        <v/>
      </c>
      <c r="Z130" s="233" t="str">
        <f t="shared" si="80"/>
        <v/>
      </c>
      <c r="AA130" s="233" t="str">
        <f t="shared" si="80"/>
        <v/>
      </c>
      <c r="AB130" s="233" t="str">
        <f t="shared" si="80"/>
        <v/>
      </c>
    </row>
    <row r="131" spans="1:28" ht="18" customHeight="1" x14ac:dyDescent="0.25">
      <c r="A131" s="11" t="s">
        <v>268</v>
      </c>
      <c r="B131" s="244"/>
      <c r="C131" s="233" t="str">
        <f t="shared" si="70"/>
        <v/>
      </c>
      <c r="D131" s="233" t="str">
        <f t="shared" ref="D131:AB131" si="81">IFERROR((12.011*$AD62/$B30)*D62,"")</f>
        <v/>
      </c>
      <c r="E131" s="233" t="str">
        <f t="shared" si="81"/>
        <v/>
      </c>
      <c r="F131" s="233" t="str">
        <f t="shared" si="81"/>
        <v/>
      </c>
      <c r="G131" s="233" t="str">
        <f t="shared" si="81"/>
        <v/>
      </c>
      <c r="H131" s="233" t="str">
        <f t="shared" si="81"/>
        <v/>
      </c>
      <c r="I131" s="233" t="str">
        <f t="shared" si="81"/>
        <v/>
      </c>
      <c r="J131" s="233" t="str">
        <f t="shared" si="81"/>
        <v/>
      </c>
      <c r="K131" s="233" t="str">
        <f t="shared" si="81"/>
        <v/>
      </c>
      <c r="L131" s="233" t="str">
        <f t="shared" si="81"/>
        <v/>
      </c>
      <c r="M131" s="233" t="str">
        <f t="shared" si="81"/>
        <v/>
      </c>
      <c r="N131" s="233" t="str">
        <f t="shared" si="81"/>
        <v/>
      </c>
      <c r="O131" s="233" t="str">
        <f t="shared" si="81"/>
        <v/>
      </c>
      <c r="P131" s="233" t="str">
        <f t="shared" si="81"/>
        <v/>
      </c>
      <c r="Q131" s="233" t="str">
        <f t="shared" si="81"/>
        <v/>
      </c>
      <c r="R131" s="233" t="str">
        <f t="shared" si="81"/>
        <v/>
      </c>
      <c r="S131" s="233" t="str">
        <f t="shared" si="81"/>
        <v/>
      </c>
      <c r="T131" s="233" t="str">
        <f t="shared" si="81"/>
        <v/>
      </c>
      <c r="U131" s="233" t="str">
        <f t="shared" si="81"/>
        <v/>
      </c>
      <c r="V131" s="233" t="str">
        <f t="shared" si="81"/>
        <v/>
      </c>
      <c r="W131" s="233" t="str">
        <f t="shared" si="81"/>
        <v/>
      </c>
      <c r="X131" s="233" t="str">
        <f t="shared" si="81"/>
        <v/>
      </c>
      <c r="Y131" s="233" t="str">
        <f t="shared" si="81"/>
        <v/>
      </c>
      <c r="Z131" s="233" t="str">
        <f t="shared" si="81"/>
        <v/>
      </c>
      <c r="AA131" s="233" t="str">
        <f t="shared" si="81"/>
        <v/>
      </c>
      <c r="AB131" s="233" t="str">
        <f t="shared" si="81"/>
        <v/>
      </c>
    </row>
    <row r="132" spans="1:28" ht="18" customHeight="1" x14ac:dyDescent="0.25">
      <c r="A132" s="11" t="s">
        <v>269</v>
      </c>
      <c r="B132" s="244"/>
      <c r="C132" s="233" t="str">
        <f t="shared" si="70"/>
        <v/>
      </c>
      <c r="D132" s="233" t="str">
        <f t="shared" ref="D132:AB132" si="82">IFERROR((12.011*$AD63/$B31)*D63,"")</f>
        <v/>
      </c>
      <c r="E132" s="233" t="str">
        <f t="shared" si="82"/>
        <v/>
      </c>
      <c r="F132" s="233" t="str">
        <f t="shared" si="82"/>
        <v/>
      </c>
      <c r="G132" s="233" t="str">
        <f t="shared" si="82"/>
        <v/>
      </c>
      <c r="H132" s="233" t="str">
        <f t="shared" si="82"/>
        <v/>
      </c>
      <c r="I132" s="233" t="str">
        <f t="shared" si="82"/>
        <v/>
      </c>
      <c r="J132" s="233" t="str">
        <f t="shared" si="82"/>
        <v/>
      </c>
      <c r="K132" s="233" t="str">
        <f t="shared" si="82"/>
        <v/>
      </c>
      <c r="L132" s="233" t="str">
        <f t="shared" si="82"/>
        <v/>
      </c>
      <c r="M132" s="233" t="str">
        <f t="shared" si="82"/>
        <v/>
      </c>
      <c r="N132" s="233" t="str">
        <f t="shared" si="82"/>
        <v/>
      </c>
      <c r="O132" s="233" t="str">
        <f t="shared" si="82"/>
        <v/>
      </c>
      <c r="P132" s="233" t="str">
        <f t="shared" si="82"/>
        <v/>
      </c>
      <c r="Q132" s="233" t="str">
        <f t="shared" si="82"/>
        <v/>
      </c>
      <c r="R132" s="233" t="str">
        <f t="shared" si="82"/>
        <v/>
      </c>
      <c r="S132" s="233" t="str">
        <f t="shared" si="82"/>
        <v/>
      </c>
      <c r="T132" s="233" t="str">
        <f t="shared" si="82"/>
        <v/>
      </c>
      <c r="U132" s="233" t="str">
        <f t="shared" si="82"/>
        <v/>
      </c>
      <c r="V132" s="233" t="str">
        <f t="shared" si="82"/>
        <v/>
      </c>
      <c r="W132" s="233" t="str">
        <f t="shared" si="82"/>
        <v/>
      </c>
      <c r="X132" s="233" t="str">
        <f t="shared" si="82"/>
        <v/>
      </c>
      <c r="Y132" s="233" t="str">
        <f t="shared" si="82"/>
        <v/>
      </c>
      <c r="Z132" s="233" t="str">
        <f t="shared" si="82"/>
        <v/>
      </c>
      <c r="AA132" s="233" t="str">
        <f t="shared" si="82"/>
        <v/>
      </c>
      <c r="AB132" s="233" t="str">
        <f t="shared" si="82"/>
        <v/>
      </c>
    </row>
    <row r="133" spans="1:28" ht="18" customHeight="1" x14ac:dyDescent="0.25">
      <c r="A133" s="11" t="s">
        <v>270</v>
      </c>
      <c r="B133" s="244"/>
      <c r="C133" s="233" t="str">
        <f t="shared" si="70"/>
        <v/>
      </c>
      <c r="D133" s="233" t="str">
        <f t="shared" ref="D133:AB133" si="83">IFERROR((12.011*$AD64/$B32)*D64,"")</f>
        <v/>
      </c>
      <c r="E133" s="233" t="str">
        <f t="shared" si="83"/>
        <v/>
      </c>
      <c r="F133" s="233" t="str">
        <f t="shared" si="83"/>
        <v/>
      </c>
      <c r="G133" s="233" t="str">
        <f t="shared" si="83"/>
        <v/>
      </c>
      <c r="H133" s="233" t="str">
        <f t="shared" si="83"/>
        <v/>
      </c>
      <c r="I133" s="233" t="str">
        <f t="shared" si="83"/>
        <v/>
      </c>
      <c r="J133" s="233" t="str">
        <f t="shared" si="83"/>
        <v/>
      </c>
      <c r="K133" s="233" t="str">
        <f t="shared" si="83"/>
        <v/>
      </c>
      <c r="L133" s="233" t="str">
        <f t="shared" si="83"/>
        <v/>
      </c>
      <c r="M133" s="233" t="str">
        <f t="shared" si="83"/>
        <v/>
      </c>
      <c r="N133" s="233" t="str">
        <f t="shared" si="83"/>
        <v/>
      </c>
      <c r="O133" s="233" t="str">
        <f t="shared" si="83"/>
        <v/>
      </c>
      <c r="P133" s="233" t="str">
        <f t="shared" si="83"/>
        <v/>
      </c>
      <c r="Q133" s="233" t="str">
        <f t="shared" si="83"/>
        <v/>
      </c>
      <c r="R133" s="233" t="str">
        <f t="shared" si="83"/>
        <v/>
      </c>
      <c r="S133" s="233" t="str">
        <f t="shared" si="83"/>
        <v/>
      </c>
      <c r="T133" s="233" t="str">
        <f t="shared" si="83"/>
        <v/>
      </c>
      <c r="U133" s="233" t="str">
        <f t="shared" si="83"/>
        <v/>
      </c>
      <c r="V133" s="233" t="str">
        <f t="shared" si="83"/>
        <v/>
      </c>
      <c r="W133" s="233" t="str">
        <f t="shared" si="83"/>
        <v/>
      </c>
      <c r="X133" s="233" t="str">
        <f t="shared" si="83"/>
        <v/>
      </c>
      <c r="Y133" s="233" t="str">
        <f t="shared" si="83"/>
        <v/>
      </c>
      <c r="Z133" s="233" t="str">
        <f t="shared" si="83"/>
        <v/>
      </c>
      <c r="AA133" s="233" t="str">
        <f t="shared" si="83"/>
        <v/>
      </c>
      <c r="AB133" s="233" t="str">
        <f t="shared" si="83"/>
        <v/>
      </c>
    </row>
    <row r="134" spans="1:28" ht="18" customHeight="1" x14ac:dyDescent="0.25">
      <c r="A134" s="11" t="s">
        <v>271</v>
      </c>
      <c r="B134" s="244"/>
      <c r="C134" s="233" t="str">
        <f t="shared" si="70"/>
        <v/>
      </c>
      <c r="D134" s="233" t="str">
        <f t="shared" ref="D134:AB134" si="84">IFERROR((12.011*$AD65/$B33)*D65,"")</f>
        <v/>
      </c>
      <c r="E134" s="233" t="str">
        <f t="shared" si="84"/>
        <v/>
      </c>
      <c r="F134" s="233" t="str">
        <f t="shared" si="84"/>
        <v/>
      </c>
      <c r="G134" s="233" t="str">
        <f t="shared" si="84"/>
        <v/>
      </c>
      <c r="H134" s="233" t="str">
        <f t="shared" si="84"/>
        <v/>
      </c>
      <c r="I134" s="233" t="str">
        <f t="shared" si="84"/>
        <v/>
      </c>
      <c r="J134" s="233" t="str">
        <f t="shared" si="84"/>
        <v/>
      </c>
      <c r="K134" s="233" t="str">
        <f t="shared" si="84"/>
        <v/>
      </c>
      <c r="L134" s="233" t="str">
        <f t="shared" si="84"/>
        <v/>
      </c>
      <c r="M134" s="233" t="str">
        <f t="shared" si="84"/>
        <v/>
      </c>
      <c r="N134" s="233" t="str">
        <f t="shared" si="84"/>
        <v/>
      </c>
      <c r="O134" s="233" t="str">
        <f t="shared" si="84"/>
        <v/>
      </c>
      <c r="P134" s="233" t="str">
        <f t="shared" si="84"/>
        <v/>
      </c>
      <c r="Q134" s="233" t="str">
        <f t="shared" si="84"/>
        <v/>
      </c>
      <c r="R134" s="233" t="str">
        <f t="shared" si="84"/>
        <v/>
      </c>
      <c r="S134" s="233" t="str">
        <f t="shared" si="84"/>
        <v/>
      </c>
      <c r="T134" s="233" t="str">
        <f t="shared" si="84"/>
        <v/>
      </c>
      <c r="U134" s="233" t="str">
        <f t="shared" si="84"/>
        <v/>
      </c>
      <c r="V134" s="233" t="str">
        <f t="shared" si="84"/>
        <v/>
      </c>
      <c r="W134" s="233" t="str">
        <f t="shared" si="84"/>
        <v/>
      </c>
      <c r="X134" s="233" t="str">
        <f t="shared" si="84"/>
        <v/>
      </c>
      <c r="Y134" s="233" t="str">
        <f t="shared" si="84"/>
        <v/>
      </c>
      <c r="Z134" s="233" t="str">
        <f t="shared" si="84"/>
        <v/>
      </c>
      <c r="AA134" s="233" t="str">
        <f t="shared" si="84"/>
        <v/>
      </c>
      <c r="AB134" s="233" t="str">
        <f t="shared" si="84"/>
        <v/>
      </c>
    </row>
    <row r="135" spans="1:28" ht="18" customHeight="1" x14ac:dyDescent="0.25">
      <c r="A135" s="11" t="s">
        <v>272</v>
      </c>
      <c r="B135" s="244"/>
      <c r="C135" s="233" t="str">
        <f t="shared" si="70"/>
        <v/>
      </c>
      <c r="D135" s="233" t="str">
        <f t="shared" ref="D135:AB135" si="85">IFERROR((12.011*$AD66/$B34)*D66,"")</f>
        <v/>
      </c>
      <c r="E135" s="233" t="str">
        <f t="shared" si="85"/>
        <v/>
      </c>
      <c r="F135" s="233" t="str">
        <f t="shared" si="85"/>
        <v/>
      </c>
      <c r="G135" s="233" t="str">
        <f t="shared" si="85"/>
        <v/>
      </c>
      <c r="H135" s="233" t="str">
        <f t="shared" si="85"/>
        <v/>
      </c>
      <c r="I135" s="233" t="str">
        <f t="shared" si="85"/>
        <v/>
      </c>
      <c r="J135" s="233" t="str">
        <f t="shared" si="85"/>
        <v/>
      </c>
      <c r="K135" s="233" t="str">
        <f t="shared" si="85"/>
        <v/>
      </c>
      <c r="L135" s="233" t="str">
        <f t="shared" si="85"/>
        <v/>
      </c>
      <c r="M135" s="233" t="str">
        <f t="shared" si="85"/>
        <v/>
      </c>
      <c r="N135" s="233" t="str">
        <f t="shared" si="85"/>
        <v/>
      </c>
      <c r="O135" s="233" t="str">
        <f t="shared" si="85"/>
        <v/>
      </c>
      <c r="P135" s="233" t="str">
        <f t="shared" si="85"/>
        <v/>
      </c>
      <c r="Q135" s="233" t="str">
        <f t="shared" si="85"/>
        <v/>
      </c>
      <c r="R135" s="233" t="str">
        <f t="shared" si="85"/>
        <v/>
      </c>
      <c r="S135" s="233" t="str">
        <f t="shared" si="85"/>
        <v/>
      </c>
      <c r="T135" s="233" t="str">
        <f t="shared" si="85"/>
        <v/>
      </c>
      <c r="U135" s="233" t="str">
        <f t="shared" si="85"/>
        <v/>
      </c>
      <c r="V135" s="233" t="str">
        <f t="shared" si="85"/>
        <v/>
      </c>
      <c r="W135" s="233" t="str">
        <f t="shared" si="85"/>
        <v/>
      </c>
      <c r="X135" s="233" t="str">
        <f t="shared" si="85"/>
        <v/>
      </c>
      <c r="Y135" s="233" t="str">
        <f t="shared" si="85"/>
        <v/>
      </c>
      <c r="Z135" s="233" t="str">
        <f t="shared" si="85"/>
        <v/>
      </c>
      <c r="AA135" s="233" t="str">
        <f t="shared" si="85"/>
        <v/>
      </c>
      <c r="AB135" s="233" t="str">
        <f t="shared" si="85"/>
        <v/>
      </c>
    </row>
    <row r="136" spans="1:28" ht="18" customHeight="1" x14ac:dyDescent="0.25">
      <c r="A136" s="11" t="s">
        <v>273</v>
      </c>
      <c r="B136" s="244"/>
      <c r="C136" s="233" t="str">
        <f t="shared" si="70"/>
        <v/>
      </c>
      <c r="D136" s="233" t="str">
        <f t="shared" ref="D136:AB136" si="86">IFERROR((12.011*$AD67/$B35)*D67,"")</f>
        <v/>
      </c>
      <c r="E136" s="233" t="str">
        <f t="shared" si="86"/>
        <v/>
      </c>
      <c r="F136" s="233" t="str">
        <f t="shared" si="86"/>
        <v/>
      </c>
      <c r="G136" s="233" t="str">
        <f t="shared" si="86"/>
        <v/>
      </c>
      <c r="H136" s="233" t="str">
        <f t="shared" si="86"/>
        <v/>
      </c>
      <c r="I136" s="233" t="str">
        <f t="shared" si="86"/>
        <v/>
      </c>
      <c r="J136" s="233" t="str">
        <f t="shared" si="86"/>
        <v/>
      </c>
      <c r="K136" s="233" t="str">
        <f t="shared" si="86"/>
        <v/>
      </c>
      <c r="L136" s="233" t="str">
        <f t="shared" si="86"/>
        <v/>
      </c>
      <c r="M136" s="233" t="str">
        <f t="shared" si="86"/>
        <v/>
      </c>
      <c r="N136" s="233" t="str">
        <f t="shared" si="86"/>
        <v/>
      </c>
      <c r="O136" s="233" t="str">
        <f t="shared" si="86"/>
        <v/>
      </c>
      <c r="P136" s="233" t="str">
        <f t="shared" si="86"/>
        <v/>
      </c>
      <c r="Q136" s="233" t="str">
        <f t="shared" si="86"/>
        <v/>
      </c>
      <c r="R136" s="233" t="str">
        <f t="shared" si="86"/>
        <v/>
      </c>
      <c r="S136" s="233" t="str">
        <f t="shared" si="86"/>
        <v/>
      </c>
      <c r="T136" s="233" t="str">
        <f t="shared" si="86"/>
        <v/>
      </c>
      <c r="U136" s="233" t="str">
        <f t="shared" si="86"/>
        <v/>
      </c>
      <c r="V136" s="233" t="str">
        <f t="shared" si="86"/>
        <v/>
      </c>
      <c r="W136" s="233" t="str">
        <f t="shared" si="86"/>
        <v/>
      </c>
      <c r="X136" s="233" t="str">
        <f t="shared" si="86"/>
        <v/>
      </c>
      <c r="Y136" s="233" t="str">
        <f t="shared" si="86"/>
        <v/>
      </c>
      <c r="Z136" s="233" t="str">
        <f t="shared" si="86"/>
        <v/>
      </c>
      <c r="AA136" s="233" t="str">
        <f t="shared" si="86"/>
        <v/>
      </c>
      <c r="AB136" s="233" t="str">
        <f t="shared" si="86"/>
        <v/>
      </c>
    </row>
    <row r="137" spans="1:28" ht="18" customHeight="1" x14ac:dyDescent="0.25">
      <c r="A137" s="11" t="s">
        <v>274</v>
      </c>
      <c r="B137" s="244"/>
      <c r="C137" s="233" t="str">
        <f t="shared" si="70"/>
        <v/>
      </c>
      <c r="D137" s="233" t="str">
        <f t="shared" ref="D137:AB137" si="87">IFERROR((12.011*$AD68/$B36)*D68,"")</f>
        <v/>
      </c>
      <c r="E137" s="233" t="str">
        <f t="shared" si="87"/>
        <v/>
      </c>
      <c r="F137" s="233" t="str">
        <f t="shared" si="87"/>
        <v/>
      </c>
      <c r="G137" s="233" t="str">
        <f t="shared" si="87"/>
        <v/>
      </c>
      <c r="H137" s="233" t="str">
        <f t="shared" si="87"/>
        <v/>
      </c>
      <c r="I137" s="233" t="str">
        <f t="shared" si="87"/>
        <v/>
      </c>
      <c r="J137" s="233" t="str">
        <f t="shared" si="87"/>
        <v/>
      </c>
      <c r="K137" s="233" t="str">
        <f t="shared" si="87"/>
        <v/>
      </c>
      <c r="L137" s="233" t="str">
        <f t="shared" si="87"/>
        <v/>
      </c>
      <c r="M137" s="233" t="str">
        <f t="shared" si="87"/>
        <v/>
      </c>
      <c r="N137" s="233" t="str">
        <f t="shared" si="87"/>
        <v/>
      </c>
      <c r="O137" s="233" t="str">
        <f t="shared" si="87"/>
        <v/>
      </c>
      <c r="P137" s="233" t="str">
        <f t="shared" si="87"/>
        <v/>
      </c>
      <c r="Q137" s="233" t="str">
        <f t="shared" si="87"/>
        <v/>
      </c>
      <c r="R137" s="233" t="str">
        <f t="shared" si="87"/>
        <v/>
      </c>
      <c r="S137" s="233" t="str">
        <f t="shared" si="87"/>
        <v/>
      </c>
      <c r="T137" s="233" t="str">
        <f t="shared" si="87"/>
        <v/>
      </c>
      <c r="U137" s="233" t="str">
        <f t="shared" si="87"/>
        <v/>
      </c>
      <c r="V137" s="233" t="str">
        <f t="shared" si="87"/>
        <v/>
      </c>
      <c r="W137" s="233" t="str">
        <f t="shared" si="87"/>
        <v/>
      </c>
      <c r="X137" s="233" t="str">
        <f t="shared" si="87"/>
        <v/>
      </c>
      <c r="Y137" s="233" t="str">
        <f t="shared" si="87"/>
        <v/>
      </c>
      <c r="Z137" s="233" t="str">
        <f t="shared" si="87"/>
        <v/>
      </c>
      <c r="AA137" s="233" t="str">
        <f t="shared" si="87"/>
        <v/>
      </c>
      <c r="AB137" s="233" t="str">
        <f t="shared" si="87"/>
        <v/>
      </c>
    </row>
    <row r="138" spans="1:28" ht="18" customHeight="1" x14ac:dyDescent="0.25">
      <c r="A138" s="11" t="s">
        <v>275</v>
      </c>
      <c r="B138" s="244"/>
      <c r="C138" s="233" t="str">
        <f t="shared" si="70"/>
        <v/>
      </c>
      <c r="D138" s="233" t="str">
        <f t="shared" ref="D138:AB138" si="88">IFERROR((12.011*$AD69/$B37)*D69,"")</f>
        <v/>
      </c>
      <c r="E138" s="233" t="str">
        <f t="shared" si="88"/>
        <v/>
      </c>
      <c r="F138" s="233" t="str">
        <f t="shared" si="88"/>
        <v/>
      </c>
      <c r="G138" s="233" t="str">
        <f t="shared" si="88"/>
        <v/>
      </c>
      <c r="H138" s="233" t="str">
        <f t="shared" si="88"/>
        <v/>
      </c>
      <c r="I138" s="233" t="str">
        <f t="shared" si="88"/>
        <v/>
      </c>
      <c r="J138" s="233" t="str">
        <f t="shared" si="88"/>
        <v/>
      </c>
      <c r="K138" s="233" t="str">
        <f t="shared" si="88"/>
        <v/>
      </c>
      <c r="L138" s="233" t="str">
        <f t="shared" si="88"/>
        <v/>
      </c>
      <c r="M138" s="233" t="str">
        <f t="shared" si="88"/>
        <v/>
      </c>
      <c r="N138" s="233" t="str">
        <f t="shared" si="88"/>
        <v/>
      </c>
      <c r="O138" s="233" t="str">
        <f t="shared" si="88"/>
        <v/>
      </c>
      <c r="P138" s="233" t="str">
        <f t="shared" si="88"/>
        <v/>
      </c>
      <c r="Q138" s="233" t="str">
        <f t="shared" si="88"/>
        <v/>
      </c>
      <c r="R138" s="233" t="str">
        <f t="shared" si="88"/>
        <v/>
      </c>
      <c r="S138" s="233" t="str">
        <f t="shared" si="88"/>
        <v/>
      </c>
      <c r="T138" s="233" t="str">
        <f t="shared" si="88"/>
        <v/>
      </c>
      <c r="U138" s="233" t="str">
        <f t="shared" si="88"/>
        <v/>
      </c>
      <c r="V138" s="233" t="str">
        <f t="shared" si="88"/>
        <v/>
      </c>
      <c r="W138" s="233" t="str">
        <f t="shared" si="88"/>
        <v/>
      </c>
      <c r="X138" s="233" t="str">
        <f t="shared" si="88"/>
        <v/>
      </c>
      <c r="Y138" s="233" t="str">
        <f t="shared" si="88"/>
        <v/>
      </c>
      <c r="Z138" s="233" t="str">
        <f t="shared" si="88"/>
        <v/>
      </c>
      <c r="AA138" s="233" t="str">
        <f t="shared" si="88"/>
        <v/>
      </c>
      <c r="AB138" s="233" t="str">
        <f t="shared" si="88"/>
        <v/>
      </c>
    </row>
    <row r="139" spans="1:28" ht="18" customHeight="1" x14ac:dyDescent="0.25">
      <c r="A139" s="11" t="s">
        <v>276</v>
      </c>
      <c r="B139" s="244"/>
      <c r="C139" s="233" t="str">
        <f t="shared" si="70"/>
        <v/>
      </c>
      <c r="D139" s="233" t="str">
        <f t="shared" ref="D139:AB139" si="89">IFERROR((12.011*$AD70/$B38)*D70,"")</f>
        <v/>
      </c>
      <c r="E139" s="233" t="str">
        <f t="shared" si="89"/>
        <v/>
      </c>
      <c r="F139" s="233" t="str">
        <f t="shared" si="89"/>
        <v/>
      </c>
      <c r="G139" s="233" t="str">
        <f t="shared" si="89"/>
        <v/>
      </c>
      <c r="H139" s="233" t="str">
        <f t="shared" si="89"/>
        <v/>
      </c>
      <c r="I139" s="233" t="str">
        <f t="shared" si="89"/>
        <v/>
      </c>
      <c r="J139" s="233" t="str">
        <f t="shared" si="89"/>
        <v/>
      </c>
      <c r="K139" s="233" t="str">
        <f t="shared" si="89"/>
        <v/>
      </c>
      <c r="L139" s="233" t="str">
        <f t="shared" si="89"/>
        <v/>
      </c>
      <c r="M139" s="233" t="str">
        <f t="shared" si="89"/>
        <v/>
      </c>
      <c r="N139" s="233" t="str">
        <f t="shared" si="89"/>
        <v/>
      </c>
      <c r="O139" s="233" t="str">
        <f t="shared" si="89"/>
        <v/>
      </c>
      <c r="P139" s="233" t="str">
        <f t="shared" si="89"/>
        <v/>
      </c>
      <c r="Q139" s="233" t="str">
        <f t="shared" si="89"/>
        <v/>
      </c>
      <c r="R139" s="233" t="str">
        <f t="shared" si="89"/>
        <v/>
      </c>
      <c r="S139" s="233" t="str">
        <f t="shared" si="89"/>
        <v/>
      </c>
      <c r="T139" s="233" t="str">
        <f t="shared" si="89"/>
        <v/>
      </c>
      <c r="U139" s="233" t="str">
        <f t="shared" si="89"/>
        <v/>
      </c>
      <c r="V139" s="233" t="str">
        <f t="shared" si="89"/>
        <v/>
      </c>
      <c r="W139" s="233" t="str">
        <f t="shared" si="89"/>
        <v/>
      </c>
      <c r="X139" s="233" t="str">
        <f t="shared" si="89"/>
        <v/>
      </c>
      <c r="Y139" s="233" t="str">
        <f t="shared" si="89"/>
        <v/>
      </c>
      <c r="Z139" s="233" t="str">
        <f t="shared" si="89"/>
        <v/>
      </c>
      <c r="AA139" s="233" t="str">
        <f t="shared" si="89"/>
        <v/>
      </c>
      <c r="AB139" s="233" t="str">
        <f t="shared" si="89"/>
        <v/>
      </c>
    </row>
    <row r="140" spans="1:28" ht="18" customHeight="1" x14ac:dyDescent="0.25">
      <c r="A140" s="11" t="s">
        <v>277</v>
      </c>
      <c r="B140" s="244"/>
      <c r="C140" s="233" t="str">
        <f t="shared" si="70"/>
        <v/>
      </c>
      <c r="D140" s="233" t="str">
        <f t="shared" ref="D140:AB140" si="90">IFERROR((12.011*$AD71/$B39)*D71,"")</f>
        <v/>
      </c>
      <c r="E140" s="233" t="str">
        <f t="shared" si="90"/>
        <v/>
      </c>
      <c r="F140" s="233" t="str">
        <f t="shared" si="90"/>
        <v/>
      </c>
      <c r="G140" s="233" t="str">
        <f t="shared" si="90"/>
        <v/>
      </c>
      <c r="H140" s="233" t="str">
        <f t="shared" si="90"/>
        <v/>
      </c>
      <c r="I140" s="233" t="str">
        <f t="shared" si="90"/>
        <v/>
      </c>
      <c r="J140" s="233" t="str">
        <f t="shared" si="90"/>
        <v/>
      </c>
      <c r="K140" s="233" t="str">
        <f t="shared" si="90"/>
        <v/>
      </c>
      <c r="L140" s="233" t="str">
        <f t="shared" si="90"/>
        <v/>
      </c>
      <c r="M140" s="233" t="str">
        <f t="shared" si="90"/>
        <v/>
      </c>
      <c r="N140" s="233" t="str">
        <f t="shared" si="90"/>
        <v/>
      </c>
      <c r="O140" s="233" t="str">
        <f t="shared" si="90"/>
        <v/>
      </c>
      <c r="P140" s="233" t="str">
        <f t="shared" si="90"/>
        <v/>
      </c>
      <c r="Q140" s="233" t="str">
        <f t="shared" si="90"/>
        <v/>
      </c>
      <c r="R140" s="233" t="str">
        <f t="shared" si="90"/>
        <v/>
      </c>
      <c r="S140" s="233" t="str">
        <f t="shared" si="90"/>
        <v/>
      </c>
      <c r="T140" s="233" t="str">
        <f t="shared" si="90"/>
        <v/>
      </c>
      <c r="U140" s="233" t="str">
        <f t="shared" si="90"/>
        <v/>
      </c>
      <c r="V140" s="233" t="str">
        <f t="shared" si="90"/>
        <v/>
      </c>
      <c r="W140" s="233" t="str">
        <f t="shared" si="90"/>
        <v/>
      </c>
      <c r="X140" s="233" t="str">
        <f t="shared" si="90"/>
        <v/>
      </c>
      <c r="Y140" s="233" t="str">
        <f t="shared" si="90"/>
        <v/>
      </c>
      <c r="Z140" s="233" t="str">
        <f t="shared" si="90"/>
        <v/>
      </c>
      <c r="AA140" s="233" t="str">
        <f t="shared" si="90"/>
        <v/>
      </c>
      <c r="AB140" s="233" t="str">
        <f t="shared" si="90"/>
        <v/>
      </c>
    </row>
    <row r="141" spans="1:28" ht="18" customHeight="1" x14ac:dyDescent="0.25">
      <c r="A141" s="11" t="s">
        <v>278</v>
      </c>
      <c r="B141" s="244"/>
      <c r="C141" s="233" t="str">
        <f t="shared" si="70"/>
        <v/>
      </c>
      <c r="D141" s="233" t="str">
        <f t="shared" ref="D141:AB141" si="91">IFERROR((12.011*$AD72/$B40)*D72,"")</f>
        <v/>
      </c>
      <c r="E141" s="233" t="str">
        <f t="shared" si="91"/>
        <v/>
      </c>
      <c r="F141" s="233" t="str">
        <f t="shared" si="91"/>
        <v/>
      </c>
      <c r="G141" s="233" t="str">
        <f t="shared" si="91"/>
        <v/>
      </c>
      <c r="H141" s="233" t="str">
        <f t="shared" si="91"/>
        <v/>
      </c>
      <c r="I141" s="233" t="str">
        <f t="shared" si="91"/>
        <v/>
      </c>
      <c r="J141" s="233" t="str">
        <f t="shared" si="91"/>
        <v/>
      </c>
      <c r="K141" s="233" t="str">
        <f t="shared" si="91"/>
        <v/>
      </c>
      <c r="L141" s="233" t="str">
        <f t="shared" si="91"/>
        <v/>
      </c>
      <c r="M141" s="233" t="str">
        <f t="shared" si="91"/>
        <v/>
      </c>
      <c r="N141" s="233" t="str">
        <f t="shared" si="91"/>
        <v/>
      </c>
      <c r="O141" s="233" t="str">
        <f t="shared" si="91"/>
        <v/>
      </c>
      <c r="P141" s="233" t="str">
        <f t="shared" si="91"/>
        <v/>
      </c>
      <c r="Q141" s="233" t="str">
        <f t="shared" si="91"/>
        <v/>
      </c>
      <c r="R141" s="233" t="str">
        <f t="shared" si="91"/>
        <v/>
      </c>
      <c r="S141" s="233" t="str">
        <f t="shared" si="91"/>
        <v/>
      </c>
      <c r="T141" s="233" t="str">
        <f t="shared" si="91"/>
        <v/>
      </c>
      <c r="U141" s="233" t="str">
        <f t="shared" si="91"/>
        <v/>
      </c>
      <c r="V141" s="233" t="str">
        <f t="shared" si="91"/>
        <v/>
      </c>
      <c r="W141" s="233" t="str">
        <f t="shared" si="91"/>
        <v/>
      </c>
      <c r="X141" s="233" t="str">
        <f t="shared" si="91"/>
        <v/>
      </c>
      <c r="Y141" s="233" t="str">
        <f t="shared" si="91"/>
        <v/>
      </c>
      <c r="Z141" s="233" t="str">
        <f t="shared" si="91"/>
        <v/>
      </c>
      <c r="AA141" s="233" t="str">
        <f t="shared" si="91"/>
        <v/>
      </c>
      <c r="AB141" s="233" t="str">
        <f t="shared" si="91"/>
        <v/>
      </c>
    </row>
    <row r="142" spans="1:28" ht="18" customHeight="1" x14ac:dyDescent="0.25">
      <c r="A142" s="11" t="s">
        <v>279</v>
      </c>
      <c r="B142" s="244"/>
      <c r="C142" s="233" t="str">
        <f t="shared" si="70"/>
        <v/>
      </c>
      <c r="D142" s="233" t="str">
        <f t="shared" ref="D142:AB142" si="92">IFERROR((12.011*$AD73/$B41)*D73,"")</f>
        <v/>
      </c>
      <c r="E142" s="233" t="str">
        <f t="shared" si="92"/>
        <v/>
      </c>
      <c r="F142" s="233" t="str">
        <f t="shared" si="92"/>
        <v/>
      </c>
      <c r="G142" s="233" t="str">
        <f t="shared" si="92"/>
        <v/>
      </c>
      <c r="H142" s="233" t="str">
        <f t="shared" si="92"/>
        <v/>
      </c>
      <c r="I142" s="233" t="str">
        <f t="shared" si="92"/>
        <v/>
      </c>
      <c r="J142" s="233" t="str">
        <f t="shared" si="92"/>
        <v/>
      </c>
      <c r="K142" s="233" t="str">
        <f t="shared" si="92"/>
        <v/>
      </c>
      <c r="L142" s="233" t="str">
        <f t="shared" si="92"/>
        <v/>
      </c>
      <c r="M142" s="233" t="str">
        <f t="shared" si="92"/>
        <v/>
      </c>
      <c r="N142" s="233" t="str">
        <f t="shared" si="92"/>
        <v/>
      </c>
      <c r="O142" s="233" t="str">
        <f t="shared" si="92"/>
        <v/>
      </c>
      <c r="P142" s="233" t="str">
        <f t="shared" si="92"/>
        <v/>
      </c>
      <c r="Q142" s="233" t="str">
        <f t="shared" si="92"/>
        <v/>
      </c>
      <c r="R142" s="233" t="str">
        <f t="shared" si="92"/>
        <v/>
      </c>
      <c r="S142" s="233" t="str">
        <f t="shared" si="92"/>
        <v/>
      </c>
      <c r="T142" s="233" t="str">
        <f t="shared" si="92"/>
        <v/>
      </c>
      <c r="U142" s="233" t="str">
        <f t="shared" si="92"/>
        <v/>
      </c>
      <c r="V142" s="233" t="str">
        <f t="shared" si="92"/>
        <v/>
      </c>
      <c r="W142" s="233" t="str">
        <f t="shared" si="92"/>
        <v/>
      </c>
      <c r="X142" s="233" t="str">
        <f t="shared" si="92"/>
        <v/>
      </c>
      <c r="Y142" s="233" t="str">
        <f t="shared" si="92"/>
        <v/>
      </c>
      <c r="Z142" s="233" t="str">
        <f t="shared" si="92"/>
        <v/>
      </c>
      <c r="AA142" s="233" t="str">
        <f t="shared" si="92"/>
        <v/>
      </c>
      <c r="AB142" s="233" t="str">
        <f t="shared" si="92"/>
        <v/>
      </c>
    </row>
    <row r="143" spans="1:28" ht="18" customHeight="1" x14ac:dyDescent="0.25">
      <c r="A143" s="11" t="s">
        <v>280</v>
      </c>
      <c r="B143" s="244"/>
      <c r="C143" s="233" t="str">
        <f t="shared" si="70"/>
        <v/>
      </c>
      <c r="D143" s="233" t="str">
        <f t="shared" ref="D143:AB143" si="93">IFERROR((12.011*$AD74/$B42)*D74,"")</f>
        <v/>
      </c>
      <c r="E143" s="233" t="str">
        <f t="shared" si="93"/>
        <v/>
      </c>
      <c r="F143" s="233" t="str">
        <f t="shared" si="93"/>
        <v/>
      </c>
      <c r="G143" s="233" t="str">
        <f t="shared" si="93"/>
        <v/>
      </c>
      <c r="H143" s="233" t="str">
        <f t="shared" si="93"/>
        <v/>
      </c>
      <c r="I143" s="233" t="str">
        <f t="shared" si="93"/>
        <v/>
      </c>
      <c r="J143" s="233" t="str">
        <f t="shared" si="93"/>
        <v/>
      </c>
      <c r="K143" s="233" t="str">
        <f t="shared" si="93"/>
        <v/>
      </c>
      <c r="L143" s="233" t="str">
        <f t="shared" si="93"/>
        <v/>
      </c>
      <c r="M143" s="233" t="str">
        <f t="shared" si="93"/>
        <v/>
      </c>
      <c r="N143" s="233" t="str">
        <f t="shared" si="93"/>
        <v/>
      </c>
      <c r="O143" s="233" t="str">
        <f t="shared" si="93"/>
        <v/>
      </c>
      <c r="P143" s="233" t="str">
        <f t="shared" si="93"/>
        <v/>
      </c>
      <c r="Q143" s="233" t="str">
        <f t="shared" si="93"/>
        <v/>
      </c>
      <c r="R143" s="233" t="str">
        <f t="shared" si="93"/>
        <v/>
      </c>
      <c r="S143" s="233" t="str">
        <f t="shared" si="93"/>
        <v/>
      </c>
      <c r="T143" s="233" t="str">
        <f t="shared" si="93"/>
        <v/>
      </c>
      <c r="U143" s="233" t="str">
        <f t="shared" si="93"/>
        <v/>
      </c>
      <c r="V143" s="233" t="str">
        <f t="shared" si="93"/>
        <v/>
      </c>
      <c r="W143" s="233" t="str">
        <f t="shared" si="93"/>
        <v/>
      </c>
      <c r="X143" s="233" t="str">
        <f t="shared" si="93"/>
        <v/>
      </c>
      <c r="Y143" s="233" t="str">
        <f t="shared" si="93"/>
        <v/>
      </c>
      <c r="Z143" s="233" t="str">
        <f t="shared" si="93"/>
        <v/>
      </c>
      <c r="AA143" s="233" t="str">
        <f t="shared" si="93"/>
        <v/>
      </c>
      <c r="AB143" s="233" t="str">
        <f t="shared" si="93"/>
        <v/>
      </c>
    </row>
    <row r="144" spans="1:28" ht="18" customHeight="1" x14ac:dyDescent="0.25">
      <c r="A144" s="11" t="s">
        <v>281</v>
      </c>
      <c r="B144" s="244"/>
      <c r="C144" s="233" t="str">
        <f t="shared" si="70"/>
        <v/>
      </c>
      <c r="D144" s="233" t="str">
        <f t="shared" ref="D144:AB144" si="94">IFERROR((12.011*$AD75/$B43)*D75,"")</f>
        <v/>
      </c>
      <c r="E144" s="233" t="str">
        <f t="shared" si="94"/>
        <v/>
      </c>
      <c r="F144" s="233" t="str">
        <f t="shared" si="94"/>
        <v/>
      </c>
      <c r="G144" s="233" t="str">
        <f t="shared" si="94"/>
        <v/>
      </c>
      <c r="H144" s="233" t="str">
        <f t="shared" si="94"/>
        <v/>
      </c>
      <c r="I144" s="233" t="str">
        <f t="shared" si="94"/>
        <v/>
      </c>
      <c r="J144" s="233" t="str">
        <f t="shared" si="94"/>
        <v/>
      </c>
      <c r="K144" s="233" t="str">
        <f t="shared" si="94"/>
        <v/>
      </c>
      <c r="L144" s="233" t="str">
        <f t="shared" si="94"/>
        <v/>
      </c>
      <c r="M144" s="233" t="str">
        <f t="shared" si="94"/>
        <v/>
      </c>
      <c r="N144" s="233" t="str">
        <f t="shared" si="94"/>
        <v/>
      </c>
      <c r="O144" s="233" t="str">
        <f t="shared" si="94"/>
        <v/>
      </c>
      <c r="P144" s="233" t="str">
        <f t="shared" si="94"/>
        <v/>
      </c>
      <c r="Q144" s="233" t="str">
        <f t="shared" si="94"/>
        <v/>
      </c>
      <c r="R144" s="233" t="str">
        <f t="shared" si="94"/>
        <v/>
      </c>
      <c r="S144" s="233" t="str">
        <f t="shared" si="94"/>
        <v/>
      </c>
      <c r="T144" s="233" t="str">
        <f t="shared" si="94"/>
        <v/>
      </c>
      <c r="U144" s="233" t="str">
        <f t="shared" si="94"/>
        <v/>
      </c>
      <c r="V144" s="233" t="str">
        <f t="shared" si="94"/>
        <v/>
      </c>
      <c r="W144" s="233" t="str">
        <f t="shared" si="94"/>
        <v/>
      </c>
      <c r="X144" s="233" t="str">
        <f t="shared" si="94"/>
        <v/>
      </c>
      <c r="Y144" s="233" t="str">
        <f t="shared" si="94"/>
        <v/>
      </c>
      <c r="Z144" s="233" t="str">
        <f t="shared" si="94"/>
        <v/>
      </c>
      <c r="AA144" s="233" t="str">
        <f t="shared" si="94"/>
        <v/>
      </c>
      <c r="AB144" s="233" t="str">
        <f t="shared" si="94"/>
        <v/>
      </c>
    </row>
    <row r="145" spans="1:28" ht="18" customHeight="1" x14ac:dyDescent="0.25">
      <c r="A145" s="11" t="s">
        <v>282</v>
      </c>
      <c r="B145" s="244"/>
      <c r="C145" s="233" t="str">
        <f t="shared" si="70"/>
        <v/>
      </c>
      <c r="D145" s="233" t="str">
        <f t="shared" ref="D145:AB145" si="95">IFERROR((12.011*$AD76/$B44)*D76,"")</f>
        <v/>
      </c>
      <c r="E145" s="233" t="str">
        <f t="shared" si="95"/>
        <v/>
      </c>
      <c r="F145" s="233" t="str">
        <f t="shared" si="95"/>
        <v/>
      </c>
      <c r="G145" s="233" t="str">
        <f t="shared" si="95"/>
        <v/>
      </c>
      <c r="H145" s="233" t="str">
        <f t="shared" si="95"/>
        <v/>
      </c>
      <c r="I145" s="233" t="str">
        <f t="shared" si="95"/>
        <v/>
      </c>
      <c r="J145" s="233" t="str">
        <f t="shared" si="95"/>
        <v/>
      </c>
      <c r="K145" s="233" t="str">
        <f t="shared" si="95"/>
        <v/>
      </c>
      <c r="L145" s="233" t="str">
        <f t="shared" si="95"/>
        <v/>
      </c>
      <c r="M145" s="233" t="str">
        <f t="shared" si="95"/>
        <v/>
      </c>
      <c r="N145" s="233" t="str">
        <f t="shared" si="95"/>
        <v/>
      </c>
      <c r="O145" s="233" t="str">
        <f t="shared" si="95"/>
        <v/>
      </c>
      <c r="P145" s="233" t="str">
        <f t="shared" si="95"/>
        <v/>
      </c>
      <c r="Q145" s="233" t="str">
        <f t="shared" si="95"/>
        <v/>
      </c>
      <c r="R145" s="233" t="str">
        <f t="shared" si="95"/>
        <v/>
      </c>
      <c r="S145" s="233" t="str">
        <f t="shared" si="95"/>
        <v/>
      </c>
      <c r="T145" s="233" t="str">
        <f t="shared" si="95"/>
        <v/>
      </c>
      <c r="U145" s="233" t="str">
        <f t="shared" si="95"/>
        <v/>
      </c>
      <c r="V145" s="233" t="str">
        <f t="shared" si="95"/>
        <v/>
      </c>
      <c r="W145" s="233" t="str">
        <f t="shared" si="95"/>
        <v/>
      </c>
      <c r="X145" s="233" t="str">
        <f t="shared" si="95"/>
        <v/>
      </c>
      <c r="Y145" s="233" t="str">
        <f t="shared" si="95"/>
        <v/>
      </c>
      <c r="Z145" s="233" t="str">
        <f t="shared" si="95"/>
        <v/>
      </c>
      <c r="AA145" s="233" t="str">
        <f t="shared" si="95"/>
        <v/>
      </c>
      <c r="AB145" s="233" t="str">
        <f t="shared" si="95"/>
        <v/>
      </c>
    </row>
    <row r="146" spans="1:28" ht="18" customHeight="1" x14ac:dyDescent="0.25">
      <c r="A146" s="11" t="s">
        <v>283</v>
      </c>
      <c r="B146" s="244"/>
      <c r="C146" s="233" t="str">
        <f t="shared" si="70"/>
        <v/>
      </c>
      <c r="D146" s="233" t="str">
        <f t="shared" ref="D146:AB146" si="96">IFERROR((12.011*$AD77/$B45)*D77,"")</f>
        <v/>
      </c>
      <c r="E146" s="233" t="str">
        <f t="shared" si="96"/>
        <v/>
      </c>
      <c r="F146" s="233" t="str">
        <f t="shared" si="96"/>
        <v/>
      </c>
      <c r="G146" s="233" t="str">
        <f t="shared" si="96"/>
        <v/>
      </c>
      <c r="H146" s="233" t="str">
        <f t="shared" si="96"/>
        <v/>
      </c>
      <c r="I146" s="233" t="str">
        <f t="shared" si="96"/>
        <v/>
      </c>
      <c r="J146" s="233" t="str">
        <f t="shared" si="96"/>
        <v/>
      </c>
      <c r="K146" s="233" t="str">
        <f t="shared" si="96"/>
        <v/>
      </c>
      <c r="L146" s="233" t="str">
        <f t="shared" si="96"/>
        <v/>
      </c>
      <c r="M146" s="233" t="str">
        <f t="shared" si="96"/>
        <v/>
      </c>
      <c r="N146" s="233" t="str">
        <f t="shared" si="96"/>
        <v/>
      </c>
      <c r="O146" s="233" t="str">
        <f t="shared" si="96"/>
        <v/>
      </c>
      <c r="P146" s="233" t="str">
        <f t="shared" si="96"/>
        <v/>
      </c>
      <c r="Q146" s="233" t="str">
        <f t="shared" si="96"/>
        <v/>
      </c>
      <c r="R146" s="233" t="str">
        <f t="shared" si="96"/>
        <v/>
      </c>
      <c r="S146" s="233" t="str">
        <f t="shared" si="96"/>
        <v/>
      </c>
      <c r="T146" s="233" t="str">
        <f t="shared" si="96"/>
        <v/>
      </c>
      <c r="U146" s="233" t="str">
        <f t="shared" si="96"/>
        <v/>
      </c>
      <c r="V146" s="233" t="str">
        <f t="shared" si="96"/>
        <v/>
      </c>
      <c r="W146" s="233" t="str">
        <f t="shared" si="96"/>
        <v/>
      </c>
      <c r="X146" s="233" t="str">
        <f t="shared" si="96"/>
        <v/>
      </c>
      <c r="Y146" s="233" t="str">
        <f t="shared" si="96"/>
        <v/>
      </c>
      <c r="Z146" s="233" t="str">
        <f t="shared" si="96"/>
        <v/>
      </c>
      <c r="AA146" s="233" t="str">
        <f t="shared" si="96"/>
        <v/>
      </c>
      <c r="AB146" s="233" t="str">
        <f t="shared" si="96"/>
        <v/>
      </c>
    </row>
    <row r="147" spans="1:28" ht="18" customHeight="1" x14ac:dyDescent="0.25">
      <c r="A147" s="11" t="s">
        <v>284</v>
      </c>
      <c r="B147" s="244"/>
      <c r="C147" s="233" t="str">
        <f t="shared" si="70"/>
        <v/>
      </c>
      <c r="D147" s="233" t="str">
        <f t="shared" ref="D147:AB147" si="97">IFERROR((12.011*$AD78/$B46)*D78,"")</f>
        <v/>
      </c>
      <c r="E147" s="233" t="str">
        <f t="shared" si="97"/>
        <v/>
      </c>
      <c r="F147" s="233" t="str">
        <f t="shared" si="97"/>
        <v/>
      </c>
      <c r="G147" s="233" t="str">
        <f t="shared" si="97"/>
        <v/>
      </c>
      <c r="H147" s="233" t="str">
        <f t="shared" si="97"/>
        <v/>
      </c>
      <c r="I147" s="233" t="str">
        <f t="shared" si="97"/>
        <v/>
      </c>
      <c r="J147" s="233" t="str">
        <f t="shared" si="97"/>
        <v/>
      </c>
      <c r="K147" s="233" t="str">
        <f t="shared" si="97"/>
        <v/>
      </c>
      <c r="L147" s="233" t="str">
        <f t="shared" si="97"/>
        <v/>
      </c>
      <c r="M147" s="233" t="str">
        <f t="shared" si="97"/>
        <v/>
      </c>
      <c r="N147" s="233" t="str">
        <f t="shared" si="97"/>
        <v/>
      </c>
      <c r="O147" s="233" t="str">
        <f t="shared" si="97"/>
        <v/>
      </c>
      <c r="P147" s="233" t="str">
        <f t="shared" si="97"/>
        <v/>
      </c>
      <c r="Q147" s="233" t="str">
        <f t="shared" si="97"/>
        <v/>
      </c>
      <c r="R147" s="233" t="str">
        <f t="shared" si="97"/>
        <v/>
      </c>
      <c r="S147" s="233" t="str">
        <f t="shared" si="97"/>
        <v/>
      </c>
      <c r="T147" s="233" t="str">
        <f t="shared" si="97"/>
        <v/>
      </c>
      <c r="U147" s="233" t="str">
        <f t="shared" si="97"/>
        <v/>
      </c>
      <c r="V147" s="233" t="str">
        <f t="shared" si="97"/>
        <v/>
      </c>
      <c r="W147" s="233" t="str">
        <f t="shared" si="97"/>
        <v/>
      </c>
      <c r="X147" s="233" t="str">
        <f t="shared" si="97"/>
        <v/>
      </c>
      <c r="Y147" s="233" t="str">
        <f t="shared" si="97"/>
        <v/>
      </c>
      <c r="Z147" s="233" t="str">
        <f t="shared" si="97"/>
        <v/>
      </c>
      <c r="AA147" s="233" t="str">
        <f t="shared" si="97"/>
        <v/>
      </c>
      <c r="AB147" s="233" t="str">
        <f t="shared" si="97"/>
        <v/>
      </c>
    </row>
    <row r="148" spans="1:28" ht="18" customHeight="1" x14ac:dyDescent="0.25">
      <c r="A148" s="11" t="s">
        <v>285</v>
      </c>
      <c r="B148" s="244"/>
      <c r="C148" s="233" t="str">
        <f t="shared" si="70"/>
        <v/>
      </c>
      <c r="D148" s="233" t="str">
        <f t="shared" ref="D148:AB148" si="98">IFERROR((12.011*$AD79/$B47)*D79,"")</f>
        <v/>
      </c>
      <c r="E148" s="233" t="str">
        <f t="shared" si="98"/>
        <v/>
      </c>
      <c r="F148" s="233" t="str">
        <f t="shared" si="98"/>
        <v/>
      </c>
      <c r="G148" s="233" t="str">
        <f t="shared" si="98"/>
        <v/>
      </c>
      <c r="H148" s="233" t="str">
        <f t="shared" si="98"/>
        <v/>
      </c>
      <c r="I148" s="233" t="str">
        <f t="shared" si="98"/>
        <v/>
      </c>
      <c r="J148" s="233" t="str">
        <f t="shared" si="98"/>
        <v/>
      </c>
      <c r="K148" s="233" t="str">
        <f t="shared" si="98"/>
        <v/>
      </c>
      <c r="L148" s="233" t="str">
        <f t="shared" si="98"/>
        <v/>
      </c>
      <c r="M148" s="233" t="str">
        <f t="shared" si="98"/>
        <v/>
      </c>
      <c r="N148" s="233" t="str">
        <f t="shared" si="98"/>
        <v/>
      </c>
      <c r="O148" s="233" t="str">
        <f t="shared" si="98"/>
        <v/>
      </c>
      <c r="P148" s="233" t="str">
        <f t="shared" si="98"/>
        <v/>
      </c>
      <c r="Q148" s="233" t="str">
        <f t="shared" si="98"/>
        <v/>
      </c>
      <c r="R148" s="233" t="str">
        <f t="shared" si="98"/>
        <v/>
      </c>
      <c r="S148" s="233" t="str">
        <f t="shared" si="98"/>
        <v/>
      </c>
      <c r="T148" s="233" t="str">
        <f t="shared" si="98"/>
        <v/>
      </c>
      <c r="U148" s="233" t="str">
        <f t="shared" si="98"/>
        <v/>
      </c>
      <c r="V148" s="233" t="str">
        <f t="shared" si="98"/>
        <v/>
      </c>
      <c r="W148" s="233" t="str">
        <f t="shared" si="98"/>
        <v/>
      </c>
      <c r="X148" s="233" t="str">
        <f t="shared" si="98"/>
        <v/>
      </c>
      <c r="Y148" s="233" t="str">
        <f t="shared" si="98"/>
        <v/>
      </c>
      <c r="Z148" s="233" t="str">
        <f t="shared" si="98"/>
        <v/>
      </c>
      <c r="AA148" s="233" t="str">
        <f t="shared" si="98"/>
        <v/>
      </c>
      <c r="AB148" s="233" t="str">
        <f t="shared" si="98"/>
        <v/>
      </c>
    </row>
    <row r="149" spans="1:28" ht="18" customHeight="1" x14ac:dyDescent="0.25">
      <c r="A149" s="11" t="s">
        <v>286</v>
      </c>
      <c r="B149" s="244"/>
      <c r="C149" s="233" t="str">
        <f t="shared" si="70"/>
        <v/>
      </c>
      <c r="D149" s="233" t="str">
        <f t="shared" ref="D149:AB149" si="99">IFERROR((12.011*$AD80/$B48)*D80,"")</f>
        <v/>
      </c>
      <c r="E149" s="233" t="str">
        <f t="shared" si="99"/>
        <v/>
      </c>
      <c r="F149" s="233" t="str">
        <f t="shared" si="99"/>
        <v/>
      </c>
      <c r="G149" s="233" t="str">
        <f t="shared" si="99"/>
        <v/>
      </c>
      <c r="H149" s="233" t="str">
        <f t="shared" si="99"/>
        <v/>
      </c>
      <c r="I149" s="233" t="str">
        <f t="shared" si="99"/>
        <v/>
      </c>
      <c r="J149" s="233" t="str">
        <f t="shared" si="99"/>
        <v/>
      </c>
      <c r="K149" s="233" t="str">
        <f t="shared" si="99"/>
        <v/>
      </c>
      <c r="L149" s="233" t="str">
        <f t="shared" si="99"/>
        <v/>
      </c>
      <c r="M149" s="233" t="str">
        <f t="shared" si="99"/>
        <v/>
      </c>
      <c r="N149" s="233" t="str">
        <f t="shared" si="99"/>
        <v/>
      </c>
      <c r="O149" s="233" t="str">
        <f t="shared" si="99"/>
        <v/>
      </c>
      <c r="P149" s="233" t="str">
        <f t="shared" si="99"/>
        <v/>
      </c>
      <c r="Q149" s="233" t="str">
        <f t="shared" si="99"/>
        <v/>
      </c>
      <c r="R149" s="233" t="str">
        <f t="shared" si="99"/>
        <v/>
      </c>
      <c r="S149" s="233" t="str">
        <f t="shared" si="99"/>
        <v/>
      </c>
      <c r="T149" s="233" t="str">
        <f t="shared" si="99"/>
        <v/>
      </c>
      <c r="U149" s="233" t="str">
        <f t="shared" si="99"/>
        <v/>
      </c>
      <c r="V149" s="233" t="str">
        <f t="shared" si="99"/>
        <v/>
      </c>
      <c r="W149" s="233" t="str">
        <f t="shared" si="99"/>
        <v/>
      </c>
      <c r="X149" s="233" t="str">
        <f t="shared" si="99"/>
        <v/>
      </c>
      <c r="Y149" s="233" t="str">
        <f t="shared" si="99"/>
        <v/>
      </c>
      <c r="Z149" s="233" t="str">
        <f t="shared" si="99"/>
        <v/>
      </c>
      <c r="AA149" s="233" t="str">
        <f t="shared" si="99"/>
        <v/>
      </c>
      <c r="AB149" s="233" t="str">
        <f t="shared" si="99"/>
        <v/>
      </c>
    </row>
    <row r="150" spans="1:28" ht="18" customHeight="1" x14ac:dyDescent="0.25">
      <c r="A150" s="252" t="s">
        <v>44</v>
      </c>
      <c r="B150" s="244"/>
      <c r="C150" s="253">
        <f>SUM(C121:C149)</f>
        <v>0</v>
      </c>
      <c r="D150" s="253" t="str">
        <f t="shared" ref="D150:AB150" si="100">IF(SUM(D121:D149)=0,"",SUM(D121:D149))</f>
        <v/>
      </c>
      <c r="E150" s="253" t="str">
        <f t="shared" si="100"/>
        <v/>
      </c>
      <c r="F150" s="253" t="str">
        <f t="shared" si="100"/>
        <v/>
      </c>
      <c r="G150" s="253" t="str">
        <f t="shared" si="100"/>
        <v/>
      </c>
      <c r="H150" s="253" t="str">
        <f t="shared" si="100"/>
        <v/>
      </c>
      <c r="I150" s="253" t="str">
        <f t="shared" si="100"/>
        <v/>
      </c>
      <c r="J150" s="253" t="str">
        <f t="shared" si="100"/>
        <v/>
      </c>
      <c r="K150" s="253" t="str">
        <f t="shared" si="100"/>
        <v/>
      </c>
      <c r="L150" s="253" t="str">
        <f t="shared" si="100"/>
        <v/>
      </c>
      <c r="M150" s="253" t="str">
        <f t="shared" si="100"/>
        <v/>
      </c>
      <c r="N150" s="253" t="str">
        <f t="shared" si="100"/>
        <v/>
      </c>
      <c r="O150" s="253" t="str">
        <f t="shared" si="100"/>
        <v/>
      </c>
      <c r="P150" s="253" t="str">
        <f t="shared" si="100"/>
        <v/>
      </c>
      <c r="Q150" s="253" t="str">
        <f t="shared" si="100"/>
        <v/>
      </c>
      <c r="R150" s="253" t="str">
        <f t="shared" si="100"/>
        <v/>
      </c>
      <c r="S150" s="253" t="str">
        <f t="shared" si="100"/>
        <v/>
      </c>
      <c r="T150" s="253" t="str">
        <f t="shared" si="100"/>
        <v/>
      </c>
      <c r="U150" s="253" t="str">
        <f t="shared" si="100"/>
        <v/>
      </c>
      <c r="V150" s="253" t="str">
        <f t="shared" si="100"/>
        <v/>
      </c>
      <c r="W150" s="253" t="str">
        <f t="shared" si="100"/>
        <v/>
      </c>
      <c r="X150" s="253" t="str">
        <f t="shared" si="100"/>
        <v/>
      </c>
      <c r="Y150" s="253" t="str">
        <f t="shared" si="100"/>
        <v/>
      </c>
      <c r="Z150" s="253" t="str">
        <f t="shared" si="100"/>
        <v/>
      </c>
      <c r="AA150" s="253" t="str">
        <f t="shared" si="100"/>
        <v/>
      </c>
      <c r="AB150" s="253" t="str">
        <f t="shared" si="100"/>
        <v/>
      </c>
    </row>
  </sheetData>
  <sheetProtection sheet="1" objects="1" scenarios="1"/>
  <mergeCells count="1">
    <mergeCell ref="H5:K5"/>
  </mergeCells>
  <conditionalFormatting sqref="B52:AB84">
    <cfRule type="expression" dxfId="113" priority="3">
      <formula>NOT(B52="")</formula>
    </cfRule>
  </conditionalFormatting>
  <conditionalFormatting sqref="B88:AB118">
    <cfRule type="expression" dxfId="112" priority="6">
      <formula>NOT(B88="")</formula>
    </cfRule>
  </conditionalFormatting>
  <conditionalFormatting sqref="C121:C149">
    <cfRule type="expression" dxfId="111" priority="2">
      <formula>NOT(C121="")</formula>
    </cfRule>
  </conditionalFormatting>
  <conditionalFormatting sqref="D15:AB16">
    <cfRule type="expression" dxfId="110" priority="19">
      <formula>NOT(D15="")</formula>
    </cfRule>
  </conditionalFormatting>
  <conditionalFormatting sqref="D16:AB16">
    <cfRule type="expression" dxfId="109" priority="22">
      <formula>OR(D16&lt;$C$5, D16&gt;$C$6)</formula>
    </cfRule>
  </conditionalFormatting>
  <conditionalFormatting sqref="D17:AB18">
    <cfRule type="containsText" dxfId="108" priority="21" operator="containsText" text="ERROR">
      <formula>NOT(ISERROR(SEARCH("ERROR",D17)))</formula>
    </cfRule>
  </conditionalFormatting>
  <conditionalFormatting sqref="D20:AB49 B20:B49">
    <cfRule type="expression" dxfId="107" priority="18">
      <formula>NOT(B20="")</formula>
    </cfRule>
  </conditionalFormatting>
  <conditionalFormatting sqref="D120:AB149">
    <cfRule type="expression" dxfId="106" priority="1">
      <formula>NOT(D120="")</formula>
    </cfRule>
  </conditionalFormatting>
  <conditionalFormatting sqref="E20:AB49">
    <cfRule type="expression" dxfId="105" priority="11">
      <formula>D20&gt;$AE20</formula>
    </cfRule>
  </conditionalFormatting>
  <conditionalFormatting sqref="K6">
    <cfRule type="containsText" dxfId="104" priority="12" operator="containsText" text="Pass">
      <formula>NOT(ISERROR(SEARCH("Pass",K6)))</formula>
    </cfRule>
    <cfRule type="containsText" dxfId="103" priority="13" operator="containsText" text="Fail">
      <formula>NOT(ISERROR(SEARCH("Fail",K6)))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E150"/>
  <sheetViews>
    <sheetView showGridLines="0" topLeftCell="A11" zoomScaleNormal="100" workbookViewId="0">
      <selection activeCell="D42" sqref="D42:O48"/>
    </sheetView>
  </sheetViews>
  <sheetFormatPr defaultColWidth="9.140625" defaultRowHeight="18" customHeight="1" outlineLevelRow="2" x14ac:dyDescent="0.25"/>
  <cols>
    <col min="1" max="1" width="38.42578125" style="1" customWidth="1"/>
    <col min="2" max="2" width="17.85546875" style="1" hidden="1" customWidth="1"/>
    <col min="3" max="4" width="17.85546875" style="1" customWidth="1"/>
    <col min="5" max="7" width="15.42578125" style="1" bestFit="1" customWidth="1"/>
    <col min="8" max="8" width="15.85546875" style="1" bestFit="1" customWidth="1"/>
    <col min="9" max="28" width="15.42578125" style="1" bestFit="1" customWidth="1"/>
    <col min="29" max="30" width="12.85546875" style="1" customWidth="1"/>
    <col min="31" max="32" width="9.140625" style="1" customWidth="1"/>
    <col min="33" max="16384" width="9.140625" style="1"/>
  </cols>
  <sheetData>
    <row r="1" spans="1:29" s="2" customFormat="1" ht="18" customHeight="1" x14ac:dyDescent="0.25">
      <c r="A1" s="9" t="s">
        <v>0</v>
      </c>
      <c r="B1" s="34"/>
      <c r="C1" s="34" t="str">
        <f>'R3_MB'!C1</f>
        <v>R6-C1-S1</v>
      </c>
    </row>
    <row r="2" spans="1:29" s="2" customFormat="1" ht="18" customHeight="1" x14ac:dyDescent="0.25">
      <c r="A2" s="9" t="s">
        <v>1</v>
      </c>
      <c r="B2" s="46"/>
      <c r="C2" s="46" t="str">
        <f>'R3_MB'!C2</f>
        <v/>
      </c>
      <c r="D2" s="45"/>
      <c r="E2" s="45"/>
      <c r="F2" s="45"/>
      <c r="G2" s="45"/>
      <c r="H2" s="45"/>
      <c r="I2" s="45"/>
      <c r="J2" s="44"/>
      <c r="K2" s="141"/>
      <c r="L2" s="141"/>
      <c r="M2" s="141"/>
      <c r="N2" s="141"/>
    </row>
    <row r="3" spans="1:29" s="2" customFormat="1" ht="18" customHeight="1" x14ac:dyDescent="0.25">
      <c r="A3" s="9" t="s">
        <v>3</v>
      </c>
      <c r="B3" s="43"/>
      <c r="C3" s="43">
        <f>Run_Plan!$B$3</f>
        <v>45425.583333333336</v>
      </c>
      <c r="D3" s="91"/>
      <c r="E3" s="9" t="s">
        <v>126</v>
      </c>
      <c r="F3" s="41">
        <f>(C6-C5)*1440</f>
        <v>5.9999999986030161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</row>
    <row r="4" spans="1:29" s="2" customFormat="1" ht="18" customHeight="1" x14ac:dyDescent="0.25">
      <c r="A4" s="9" t="s">
        <v>123</v>
      </c>
      <c r="B4" s="43"/>
      <c r="C4" s="43" t="str">
        <f>Liq!B4</f>
        <v>C1-S1</v>
      </c>
      <c r="D4" s="93"/>
      <c r="E4" s="12" t="s">
        <v>127</v>
      </c>
      <c r="F4" s="40">
        <f>24*((C5+C6)/2-C3)</f>
        <v>17.916666666569654</v>
      </c>
    </row>
    <row r="5" spans="1:29" s="2" customFormat="1" ht="18" customHeight="1" x14ac:dyDescent="0.25">
      <c r="A5" s="9" t="s">
        <v>124</v>
      </c>
      <c r="B5" s="92"/>
      <c r="C5" s="92">
        <f>Liq!B5</f>
        <v>45426.327777777777</v>
      </c>
      <c r="D5" s="91"/>
      <c r="E5" s="79" t="s">
        <v>212</v>
      </c>
      <c r="F5" s="158">
        <f>Gas!E20</f>
        <v>0.22890922011282697</v>
      </c>
      <c r="H5" s="257" t="s">
        <v>213</v>
      </c>
      <c r="I5" s="258"/>
      <c r="J5" s="258"/>
      <c r="K5" s="259"/>
    </row>
    <row r="6" spans="1:29" s="2" customFormat="1" ht="18" customHeight="1" x14ac:dyDescent="0.25">
      <c r="A6" s="9" t="s">
        <v>125</v>
      </c>
      <c r="B6" s="43"/>
      <c r="C6" s="43">
        <f>Liq!B6</f>
        <v>45426.331944444442</v>
      </c>
      <c r="D6" s="42"/>
      <c r="E6" s="42"/>
      <c r="H6" s="185">
        <f t="array" ref="H6">MIN(IF(D16:XFD16&lt;&gt;0,D16:XFD16))</f>
        <v>0</v>
      </c>
      <c r="I6" s="185">
        <f t="array" ref="I6">MAX(IF(D16:XFD16&lt;&gt;0,D16:XFD16))</f>
        <v>0</v>
      </c>
      <c r="J6" s="70"/>
      <c r="K6" s="186" t="str">
        <f>IF(AND(H7=TRUE,I7=TRUE),"Pass","Fail")</f>
        <v>Pass</v>
      </c>
    </row>
    <row r="7" spans="1:29" s="2" customFormat="1" ht="18" customHeight="1" x14ac:dyDescent="0.25">
      <c r="H7" s="70" t="b">
        <f>IF(Liq!E3&gt;'R1_MB'!H6,"NA",TRUE)</f>
        <v>1</v>
      </c>
      <c r="I7" s="70" t="b">
        <f>IF(Liq!E6&lt;'R1_MB'!I6,"NA",TRUE)</f>
        <v>1</v>
      </c>
    </row>
    <row r="8" spans="1:29" s="2" customFormat="1" ht="18" customHeight="1" x14ac:dyDescent="0.25">
      <c r="A8" s="9" t="s">
        <v>214</v>
      </c>
      <c r="B8" s="43"/>
      <c r="C8" s="94">
        <f>Liq!E13</f>
        <v>0.50000000002910383</v>
      </c>
      <c r="D8" s="42"/>
      <c r="E8" s="42"/>
    </row>
    <row r="9" spans="1:29" s="2" customFormat="1" ht="18" customHeight="1" x14ac:dyDescent="0.25">
      <c r="A9" s="9" t="s">
        <v>215</v>
      </c>
      <c r="B9" s="43"/>
      <c r="C9" s="94">
        <f>IFERROR(Gas!E12-Gas!E20,"")</f>
        <v>2.5568050656014587</v>
      </c>
      <c r="D9" s="142" t="s">
        <v>216</v>
      </c>
      <c r="E9" s="42"/>
    </row>
    <row r="10" spans="1:29" s="2" customFormat="1" ht="18" customHeight="1" x14ac:dyDescent="0.25">
      <c r="A10" s="9" t="s">
        <v>217</v>
      </c>
      <c r="B10" s="43"/>
      <c r="C10" s="94">
        <f>Liq!E40</f>
        <v>0</v>
      </c>
      <c r="D10" s="42"/>
      <c r="E10" s="42"/>
    </row>
    <row r="11" spans="1:29" s="2" customFormat="1" ht="18" customHeight="1" x14ac:dyDescent="0.25">
      <c r="A11" s="9" t="s">
        <v>218</v>
      </c>
      <c r="B11" s="43"/>
      <c r="C11" s="94">
        <f>Liq!E41</f>
        <v>0</v>
      </c>
      <c r="D11" s="42"/>
      <c r="E11" s="42"/>
    </row>
    <row r="12" spans="1:29" s="2" customFormat="1" ht="18" customHeight="1" x14ac:dyDescent="0.25">
      <c r="A12" s="9" t="s">
        <v>219</v>
      </c>
      <c r="B12" s="43"/>
      <c r="C12" s="94">
        <f>SUM(C52:C74,C76:C80)</f>
        <v>2.6223487719943304</v>
      </c>
      <c r="D12" s="142" t="s">
        <v>216</v>
      </c>
      <c r="E12" s="42"/>
    </row>
    <row r="13" spans="1:29" s="2" customFormat="1" ht="18" customHeight="1" x14ac:dyDescent="0.25">
      <c r="A13" s="9" t="s">
        <v>220</v>
      </c>
      <c r="B13" s="43"/>
      <c r="C13" s="36">
        <f>IFERROR(100*(C12+C11+C10)/(C9+C8),"")</f>
        <v>85.787242421144967</v>
      </c>
      <c r="D13" s="142"/>
      <c r="E13" s="42"/>
    </row>
    <row r="14" spans="1:29" s="2" customFormat="1" ht="18" customHeight="1" x14ac:dyDescent="0.25"/>
    <row r="15" spans="1:29" ht="18" customHeight="1" outlineLevel="1" x14ac:dyDescent="0.25">
      <c r="A15" s="9" t="s">
        <v>221</v>
      </c>
      <c r="B15" s="143"/>
      <c r="C15" s="151"/>
      <c r="D15" s="130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</row>
    <row r="16" spans="1:29" s="134" customFormat="1" ht="18" customHeight="1" outlineLevel="1" x14ac:dyDescent="0.25">
      <c r="A16" s="139" t="s">
        <v>222</v>
      </c>
      <c r="B16" s="144"/>
      <c r="C16" s="152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31" ht="18" customHeight="1" outlineLevel="1" x14ac:dyDescent="0.25">
      <c r="A17" s="9" t="s">
        <v>223</v>
      </c>
      <c r="B17" s="145"/>
      <c r="C17" s="153"/>
      <c r="D17" s="148" t="str">
        <f t="shared" ref="D17:AB17" si="0">IF(D15="", "", (D16-$D$16)*1440)</f>
        <v/>
      </c>
      <c r="E17" s="140" t="str">
        <f t="shared" si="0"/>
        <v/>
      </c>
      <c r="F17" s="140" t="str">
        <f t="shared" si="0"/>
        <v/>
      </c>
      <c r="G17" s="140" t="str">
        <f t="shared" si="0"/>
        <v/>
      </c>
      <c r="H17" s="140" t="str">
        <f t="shared" si="0"/>
        <v/>
      </c>
      <c r="I17" s="140" t="str">
        <f t="shared" si="0"/>
        <v/>
      </c>
      <c r="J17" s="140" t="str">
        <f t="shared" si="0"/>
        <v/>
      </c>
      <c r="K17" s="140" t="str">
        <f t="shared" si="0"/>
        <v/>
      </c>
      <c r="L17" s="140" t="str">
        <f t="shared" si="0"/>
        <v/>
      </c>
      <c r="M17" s="140" t="str">
        <f t="shared" si="0"/>
        <v/>
      </c>
      <c r="N17" s="140" t="str">
        <f t="shared" si="0"/>
        <v/>
      </c>
      <c r="O17" s="140" t="str">
        <f t="shared" si="0"/>
        <v/>
      </c>
      <c r="P17" s="140" t="str">
        <f t="shared" si="0"/>
        <v/>
      </c>
      <c r="Q17" s="140" t="str">
        <f t="shared" si="0"/>
        <v/>
      </c>
      <c r="R17" s="140" t="str">
        <f t="shared" si="0"/>
        <v/>
      </c>
      <c r="S17" s="140" t="str">
        <f t="shared" si="0"/>
        <v/>
      </c>
      <c r="T17" s="140" t="str">
        <f t="shared" si="0"/>
        <v/>
      </c>
      <c r="U17" s="140" t="str">
        <f t="shared" si="0"/>
        <v/>
      </c>
      <c r="V17" s="140" t="str">
        <f t="shared" si="0"/>
        <v/>
      </c>
      <c r="W17" s="140" t="str">
        <f t="shared" si="0"/>
        <v/>
      </c>
      <c r="X17" s="140" t="str">
        <f t="shared" si="0"/>
        <v/>
      </c>
      <c r="Y17" s="140" t="str">
        <f t="shared" si="0"/>
        <v/>
      </c>
      <c r="Z17" s="140" t="str">
        <f t="shared" si="0"/>
        <v/>
      </c>
      <c r="AA17" s="140" t="str">
        <f t="shared" si="0"/>
        <v/>
      </c>
      <c r="AB17" s="140" t="str">
        <f t="shared" si="0"/>
        <v/>
      </c>
    </row>
    <row r="18" spans="1:31" ht="18" customHeight="1" outlineLevel="1" x14ac:dyDescent="0.25">
      <c r="A18" s="9" t="s">
        <v>224</v>
      </c>
      <c r="B18" s="146"/>
      <c r="C18" s="154"/>
      <c r="D18" s="149"/>
      <c r="E18" s="140" t="str">
        <f t="shared" ref="E18:AB18" si="1">IF(E17="", "", E17-D17)</f>
        <v/>
      </c>
      <c r="F18" s="140" t="str">
        <f t="shared" si="1"/>
        <v/>
      </c>
      <c r="G18" s="140" t="str">
        <f t="shared" si="1"/>
        <v/>
      </c>
      <c r="H18" s="140" t="str">
        <f t="shared" si="1"/>
        <v/>
      </c>
      <c r="I18" s="140" t="str">
        <f t="shared" si="1"/>
        <v/>
      </c>
      <c r="J18" s="140" t="str">
        <f t="shared" si="1"/>
        <v/>
      </c>
      <c r="K18" s="140" t="str">
        <f t="shared" si="1"/>
        <v/>
      </c>
      <c r="L18" s="140" t="str">
        <f t="shared" si="1"/>
        <v/>
      </c>
      <c r="M18" s="140" t="str">
        <f t="shared" si="1"/>
        <v/>
      </c>
      <c r="N18" s="140" t="str">
        <f t="shared" si="1"/>
        <v/>
      </c>
      <c r="O18" s="140" t="str">
        <f t="shared" si="1"/>
        <v/>
      </c>
      <c r="P18" s="140" t="str">
        <f t="shared" si="1"/>
        <v/>
      </c>
      <c r="Q18" s="140" t="str">
        <f t="shared" si="1"/>
        <v/>
      </c>
      <c r="R18" s="140" t="str">
        <f t="shared" si="1"/>
        <v/>
      </c>
      <c r="S18" s="140" t="str">
        <f t="shared" si="1"/>
        <v/>
      </c>
      <c r="T18" s="140" t="str">
        <f t="shared" si="1"/>
        <v/>
      </c>
      <c r="U18" s="140" t="str">
        <f t="shared" si="1"/>
        <v/>
      </c>
      <c r="V18" s="140" t="str">
        <f t="shared" si="1"/>
        <v/>
      </c>
      <c r="W18" s="140" t="str">
        <f t="shared" si="1"/>
        <v/>
      </c>
      <c r="X18" s="140" t="str">
        <f t="shared" si="1"/>
        <v/>
      </c>
      <c r="Y18" s="140" t="str">
        <f t="shared" si="1"/>
        <v/>
      </c>
      <c r="Z18" s="140" t="str">
        <f t="shared" si="1"/>
        <v/>
      </c>
      <c r="AA18" s="140" t="str">
        <f t="shared" si="1"/>
        <v/>
      </c>
      <c r="AB18" s="140" t="str">
        <f t="shared" si="1"/>
        <v/>
      </c>
      <c r="AC18" s="2"/>
      <c r="AD18" s="135"/>
    </row>
    <row r="19" spans="1:31" ht="18" customHeight="1" outlineLevel="1" x14ac:dyDescent="0.25">
      <c r="A19" s="9" t="s">
        <v>225</v>
      </c>
      <c r="B19" s="147" t="s">
        <v>60</v>
      </c>
      <c r="C19" s="15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31" ht="18" customHeight="1" outlineLevel="1" x14ac:dyDescent="0.25">
      <c r="A20" s="9" t="s">
        <v>34</v>
      </c>
      <c r="B20" s="127">
        <v>16.04</v>
      </c>
      <c r="C20" s="156"/>
      <c r="D20" s="150">
        <v>2.6131389999999999</v>
      </c>
      <c r="E20" s="150">
        <v>2.7301709999999999</v>
      </c>
      <c r="F20" s="150">
        <v>2.8033290000000002</v>
      </c>
      <c r="G20" s="150">
        <v>2.8252769999999998</v>
      </c>
      <c r="H20" s="119">
        <v>2.8039809999999998</v>
      </c>
      <c r="I20" s="119">
        <v>2.7888440000000001</v>
      </c>
      <c r="J20" s="119">
        <v>2.774238</v>
      </c>
      <c r="K20" s="119">
        <v>2.7833420000000002</v>
      </c>
      <c r="L20" s="119">
        <v>2.7025670000000002</v>
      </c>
      <c r="M20" s="119">
        <v>2.7022240000000002</v>
      </c>
      <c r="N20" s="119">
        <v>2.6867450000000002</v>
      </c>
      <c r="O20" s="119">
        <v>2.6922299999999999</v>
      </c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92">
        <f t="shared" ref="AC20:AC48" si="2">IFERROR(_xlfn.STDEV.S(E20:AB20),"")</f>
        <v>5.1700185199422072E-2</v>
      </c>
      <c r="AD20" s="192">
        <f t="shared" ref="AD20:AD48" si="3">IFERROR(AVERAGE(E20:AB20),"")</f>
        <v>2.753904363636364</v>
      </c>
      <c r="AE20" s="189">
        <f t="shared" ref="AE20:AE48" si="4">IFERROR(AD20+(2*AC20),"")</f>
        <v>2.8573047340352082</v>
      </c>
    </row>
    <row r="21" spans="1:31" ht="18" customHeight="1" outlineLevel="1" x14ac:dyDescent="0.25">
      <c r="A21" s="9" t="s">
        <v>35</v>
      </c>
      <c r="B21" s="127">
        <v>30.07</v>
      </c>
      <c r="C21" s="156"/>
      <c r="D21" s="150">
        <v>1.4036E-2</v>
      </c>
      <c r="E21" s="150">
        <v>9.0168999999999999E-2</v>
      </c>
      <c r="F21" s="150">
        <v>0.171205</v>
      </c>
      <c r="G21" s="150">
        <v>0.16306100000000001</v>
      </c>
      <c r="H21" s="119">
        <v>0.12482600000000001</v>
      </c>
      <c r="I21" s="119">
        <v>0.110261</v>
      </c>
      <c r="J21" s="119">
        <v>0.102754</v>
      </c>
      <c r="K21" s="119">
        <v>9.6311999999999995E-2</v>
      </c>
      <c r="L21" s="119">
        <v>7.3355000000000004E-2</v>
      </c>
      <c r="M21" s="119">
        <v>5.7950000000000002E-2</v>
      </c>
      <c r="N21" s="119">
        <v>4.6980000000000001E-2</v>
      </c>
      <c r="O21" s="119">
        <v>4.2747E-2</v>
      </c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92">
        <f t="shared" si="2"/>
        <v>4.2913542053973831E-2</v>
      </c>
      <c r="AD21" s="192">
        <f t="shared" si="3"/>
        <v>9.8147272727272736E-2</v>
      </c>
      <c r="AE21" s="189">
        <f t="shared" si="4"/>
        <v>0.1839743568352204</v>
      </c>
    </row>
    <row r="22" spans="1:31" ht="18" customHeight="1" outlineLevel="1" x14ac:dyDescent="0.25">
      <c r="A22" s="9" t="s">
        <v>33</v>
      </c>
      <c r="B22" s="127">
        <v>28.05</v>
      </c>
      <c r="C22" s="156"/>
      <c r="D22" s="150">
        <v>1.78973</v>
      </c>
      <c r="E22" s="150">
        <v>3.2880340000000001</v>
      </c>
      <c r="F22" s="150">
        <v>4.5501820000000004</v>
      </c>
      <c r="G22" s="150">
        <v>4.5706160000000002</v>
      </c>
      <c r="H22" s="119">
        <v>4.1161969999999997</v>
      </c>
      <c r="I22" s="119">
        <v>4.0141049999999998</v>
      </c>
      <c r="J22" s="119">
        <v>3.936849</v>
      </c>
      <c r="K22" s="119">
        <v>3.6840220000000001</v>
      </c>
      <c r="L22" s="119">
        <v>2.8967230000000002</v>
      </c>
      <c r="M22" s="119">
        <v>2.7306439999999998</v>
      </c>
      <c r="N22" s="119">
        <v>2.6099060000000001</v>
      </c>
      <c r="O22" s="119">
        <v>2.5984590000000001</v>
      </c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92">
        <f t="shared" si="2"/>
        <v>0.75506875146956098</v>
      </c>
      <c r="AD22" s="192">
        <f t="shared" si="3"/>
        <v>3.545067</v>
      </c>
      <c r="AE22" s="189">
        <f t="shared" si="4"/>
        <v>5.0552045029391222</v>
      </c>
    </row>
    <row r="23" spans="1:31" ht="18" customHeight="1" outlineLevel="1" x14ac:dyDescent="0.25">
      <c r="A23" s="9" t="s">
        <v>57</v>
      </c>
      <c r="B23" s="127">
        <v>44.1</v>
      </c>
      <c r="C23" s="156"/>
      <c r="D23" s="150">
        <v>0</v>
      </c>
      <c r="E23" s="150">
        <v>0</v>
      </c>
      <c r="F23" s="150">
        <v>0</v>
      </c>
      <c r="G23" s="150">
        <v>0</v>
      </c>
      <c r="H23" s="119">
        <v>0</v>
      </c>
      <c r="I23" s="119">
        <v>0</v>
      </c>
      <c r="J23" s="119">
        <v>0</v>
      </c>
      <c r="K23" s="119">
        <v>0</v>
      </c>
      <c r="L23" s="119">
        <v>0</v>
      </c>
      <c r="M23" s="119">
        <v>0</v>
      </c>
      <c r="N23" s="119">
        <v>0</v>
      </c>
      <c r="O23" s="119">
        <v>0</v>
      </c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92">
        <f t="shared" si="2"/>
        <v>0</v>
      </c>
      <c r="AD23" s="192">
        <f t="shared" si="3"/>
        <v>0</v>
      </c>
      <c r="AE23" s="189">
        <f t="shared" si="4"/>
        <v>0</v>
      </c>
    </row>
    <row r="24" spans="1:31" ht="18" customHeight="1" outlineLevel="1" x14ac:dyDescent="0.25">
      <c r="A24" s="9" t="s">
        <v>56</v>
      </c>
      <c r="B24" s="127">
        <v>42.08</v>
      </c>
      <c r="C24" s="156"/>
      <c r="D24" s="150">
        <v>2.4819999999999998E-3</v>
      </c>
      <c r="E24" s="150">
        <v>1.0560000000000001E-3</v>
      </c>
      <c r="F24" s="150">
        <v>2.1710000000000002E-3</v>
      </c>
      <c r="G24" s="150">
        <v>2.4260000000000002E-3</v>
      </c>
      <c r="H24" s="119">
        <v>1.8489999999999999E-3</v>
      </c>
      <c r="I24" s="119">
        <v>1.64E-3</v>
      </c>
      <c r="J24" s="119">
        <v>1.436E-3</v>
      </c>
      <c r="K24" s="119">
        <v>1.1820000000000001E-3</v>
      </c>
      <c r="L24" s="119">
        <v>6.4400000000000004E-4</v>
      </c>
      <c r="M24" s="119">
        <v>4.35E-4</v>
      </c>
      <c r="N24" s="119">
        <v>3.9800000000000002E-4</v>
      </c>
      <c r="O24" s="119">
        <v>2.9700000000000001E-4</v>
      </c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92">
        <f t="shared" si="2"/>
        <v>7.4029092561333923E-4</v>
      </c>
      <c r="AD24" s="192">
        <f t="shared" si="3"/>
        <v>1.2303636363636366E-3</v>
      </c>
      <c r="AE24" s="189">
        <f t="shared" si="4"/>
        <v>2.7109454875903151E-3</v>
      </c>
    </row>
    <row r="25" spans="1:31" ht="18" customHeight="1" outlineLevel="1" x14ac:dyDescent="0.25">
      <c r="A25" s="9" t="s">
        <v>226</v>
      </c>
      <c r="B25" s="127">
        <v>58.12</v>
      </c>
      <c r="C25" s="156"/>
      <c r="D25" s="150">
        <v>3.8900000000000002E-4</v>
      </c>
      <c r="E25" s="150">
        <v>1.8389999999999999E-3</v>
      </c>
      <c r="F25" s="150">
        <v>2.434E-3</v>
      </c>
      <c r="G25" s="150">
        <v>2.4480000000000001E-3</v>
      </c>
      <c r="H25" s="119">
        <v>2.0449999999999999E-3</v>
      </c>
      <c r="I25" s="119">
        <v>2.3679999999999999E-3</v>
      </c>
      <c r="J25" s="119">
        <v>1.7489999999999999E-3</v>
      </c>
      <c r="K25" s="119">
        <v>1.6969999999999999E-3</v>
      </c>
      <c r="L25" s="119">
        <v>1.232E-3</v>
      </c>
      <c r="M25" s="119">
        <v>9.6000000000000002E-4</v>
      </c>
      <c r="N25" s="119">
        <v>8.8900000000000003E-4</v>
      </c>
      <c r="O25" s="119">
        <v>7.7999999999999999E-4</v>
      </c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92">
        <f t="shared" si="2"/>
        <v>6.2848124293989288E-4</v>
      </c>
      <c r="AD25" s="192">
        <f t="shared" si="3"/>
        <v>1.6764545454545454E-3</v>
      </c>
      <c r="AE25" s="189">
        <f t="shared" si="4"/>
        <v>2.9334170313343312E-3</v>
      </c>
    </row>
    <row r="26" spans="1:31" ht="18" customHeight="1" outlineLevel="1" x14ac:dyDescent="0.25">
      <c r="A26" s="9" t="s">
        <v>227</v>
      </c>
      <c r="B26" s="127">
        <v>72.150000000000006</v>
      </c>
      <c r="C26" s="156"/>
      <c r="D26" s="150">
        <v>0</v>
      </c>
      <c r="E26" s="150">
        <v>0</v>
      </c>
      <c r="F26" s="150">
        <v>0</v>
      </c>
      <c r="G26" s="150">
        <v>0</v>
      </c>
      <c r="H26" s="119">
        <v>0</v>
      </c>
      <c r="I26" s="119">
        <v>0</v>
      </c>
      <c r="J26" s="119">
        <v>0</v>
      </c>
      <c r="K26" s="119">
        <v>0</v>
      </c>
      <c r="L26" s="119">
        <v>0</v>
      </c>
      <c r="M26" s="119">
        <v>0</v>
      </c>
      <c r="N26" s="119">
        <v>0</v>
      </c>
      <c r="O26" s="119">
        <v>0</v>
      </c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92">
        <f t="shared" si="2"/>
        <v>0</v>
      </c>
      <c r="AD26" s="192">
        <f t="shared" si="3"/>
        <v>0</v>
      </c>
      <c r="AE26" s="189">
        <f t="shared" si="4"/>
        <v>0</v>
      </c>
    </row>
    <row r="27" spans="1:31" ht="18" customHeight="1" outlineLevel="1" x14ac:dyDescent="0.25">
      <c r="A27" s="9" t="s">
        <v>228</v>
      </c>
      <c r="B27" s="127">
        <v>86.18</v>
      </c>
      <c r="C27" s="156"/>
      <c r="D27" s="150">
        <v>0</v>
      </c>
      <c r="E27" s="150">
        <v>0</v>
      </c>
      <c r="F27" s="150">
        <v>0</v>
      </c>
      <c r="G27" s="150">
        <v>0</v>
      </c>
      <c r="H27" s="119">
        <v>0</v>
      </c>
      <c r="I27" s="119">
        <v>0</v>
      </c>
      <c r="J27" s="119">
        <v>0</v>
      </c>
      <c r="K27" s="119">
        <v>0</v>
      </c>
      <c r="L27" s="119">
        <v>0</v>
      </c>
      <c r="M27" s="119">
        <v>0</v>
      </c>
      <c r="N27" s="119">
        <v>0</v>
      </c>
      <c r="O27" s="119">
        <v>0</v>
      </c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92">
        <f t="shared" si="2"/>
        <v>0</v>
      </c>
      <c r="AD27" s="192">
        <f t="shared" si="3"/>
        <v>0</v>
      </c>
      <c r="AE27" s="189">
        <f t="shared" si="4"/>
        <v>0</v>
      </c>
    </row>
    <row r="28" spans="1:31" ht="18" customHeight="1" outlineLevel="1" x14ac:dyDescent="0.25">
      <c r="A28" s="9" t="s">
        <v>229</v>
      </c>
      <c r="B28" s="127">
        <v>86.18</v>
      </c>
      <c r="C28" s="156"/>
      <c r="D28" s="150">
        <v>0</v>
      </c>
      <c r="E28" s="150">
        <v>0</v>
      </c>
      <c r="F28" s="150">
        <v>0</v>
      </c>
      <c r="G28" s="150">
        <v>0</v>
      </c>
      <c r="H28" s="119">
        <v>0</v>
      </c>
      <c r="I28" s="119">
        <v>0</v>
      </c>
      <c r="J28" s="119">
        <v>0</v>
      </c>
      <c r="K28" s="119">
        <v>0</v>
      </c>
      <c r="L28" s="119">
        <v>0</v>
      </c>
      <c r="M28" s="119">
        <v>0</v>
      </c>
      <c r="N28" s="119">
        <v>0</v>
      </c>
      <c r="O28" s="119">
        <v>0</v>
      </c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92">
        <f t="shared" si="2"/>
        <v>0</v>
      </c>
      <c r="AD28" s="192">
        <f t="shared" si="3"/>
        <v>0</v>
      </c>
      <c r="AE28" s="189">
        <f t="shared" si="4"/>
        <v>0</v>
      </c>
    </row>
    <row r="29" spans="1:31" ht="18" customHeight="1" outlineLevel="1" x14ac:dyDescent="0.25">
      <c r="A29" s="9" t="s">
        <v>230</v>
      </c>
      <c r="B29" s="127">
        <v>58.12</v>
      </c>
      <c r="C29" s="156"/>
      <c r="D29" s="150">
        <v>1.3467E-2</v>
      </c>
      <c r="E29" s="150">
        <v>0.35163499999999998</v>
      </c>
      <c r="F29" s="150">
        <v>0.58978900000000001</v>
      </c>
      <c r="G29" s="150">
        <v>0.57368799999999998</v>
      </c>
      <c r="H29" s="119">
        <v>0.43949300000000002</v>
      </c>
      <c r="I29" s="119">
        <v>0.51612599999999997</v>
      </c>
      <c r="J29" s="119">
        <v>0.42760500000000001</v>
      </c>
      <c r="K29" s="119">
        <v>0.36936200000000002</v>
      </c>
      <c r="L29" s="119">
        <v>0.21246100000000001</v>
      </c>
      <c r="M29" s="119">
        <v>0.186811</v>
      </c>
      <c r="N29" s="119">
        <v>0.18498600000000001</v>
      </c>
      <c r="O29" s="119">
        <v>0.176533</v>
      </c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92">
        <f t="shared" si="2"/>
        <v>0.15796007800016498</v>
      </c>
      <c r="AD29" s="192">
        <f t="shared" si="3"/>
        <v>0.36622627272727271</v>
      </c>
      <c r="AE29" s="189">
        <f t="shared" si="4"/>
        <v>0.68214642872760267</v>
      </c>
    </row>
    <row r="30" spans="1:31" ht="18" customHeight="1" outlineLevel="1" x14ac:dyDescent="0.25">
      <c r="A30" s="9" t="s">
        <v>231</v>
      </c>
      <c r="B30" s="127">
        <v>72.150000000000006</v>
      </c>
      <c r="C30" s="156"/>
      <c r="D30" s="150">
        <v>8.4711239471999995E-3</v>
      </c>
      <c r="E30" s="150">
        <v>1.8850835788E-3</v>
      </c>
      <c r="F30" s="150">
        <v>0</v>
      </c>
      <c r="G30" s="150">
        <v>0</v>
      </c>
      <c r="H30" s="119">
        <v>0</v>
      </c>
      <c r="I30" s="119">
        <v>0</v>
      </c>
      <c r="J30" s="119">
        <v>0</v>
      </c>
      <c r="K30" s="119">
        <v>0</v>
      </c>
      <c r="L30" s="119">
        <v>1.0845763463999999E-3</v>
      </c>
      <c r="M30" s="119">
        <v>1.0759909379999999E-3</v>
      </c>
      <c r="N30" s="119">
        <v>9.2605123719999999E-4</v>
      </c>
      <c r="O30" s="119">
        <v>7.277892924E-4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92">
        <f t="shared" si="2"/>
        <v>6.5739952173667429E-4</v>
      </c>
      <c r="AD30" s="192">
        <f t="shared" si="3"/>
        <v>5.1813558116363639E-4</v>
      </c>
      <c r="AE30" s="189">
        <f t="shared" si="4"/>
        <v>1.832934624636985E-3</v>
      </c>
    </row>
    <row r="31" spans="1:31" ht="18" customHeight="1" outlineLevel="1" x14ac:dyDescent="0.25">
      <c r="A31" s="9" t="s">
        <v>232</v>
      </c>
      <c r="B31" s="127">
        <v>86.18</v>
      </c>
      <c r="C31" s="156"/>
      <c r="D31" s="150">
        <v>1.9699999999999999E-4</v>
      </c>
      <c r="E31" s="150">
        <v>9.0600000000000001E-4</v>
      </c>
      <c r="F31" s="150">
        <v>2.5999999999999998E-4</v>
      </c>
      <c r="G31" s="150">
        <v>0</v>
      </c>
      <c r="H31" s="119">
        <v>0</v>
      </c>
      <c r="I31" s="119">
        <v>1.732E-3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  <c r="O31" s="119">
        <v>0</v>
      </c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92">
        <f t="shared" si="2"/>
        <v>5.5899630833062999E-4</v>
      </c>
      <c r="AD31" s="192">
        <f t="shared" si="3"/>
        <v>2.6345454545454545E-4</v>
      </c>
      <c r="AE31" s="189">
        <f t="shared" si="4"/>
        <v>1.3814471621158054E-3</v>
      </c>
    </row>
    <row r="32" spans="1:31" ht="18" customHeight="1" outlineLevel="1" x14ac:dyDescent="0.25">
      <c r="A32" s="9" t="s">
        <v>233</v>
      </c>
      <c r="B32" s="127">
        <v>100.21</v>
      </c>
      <c r="C32" s="156"/>
      <c r="D32" s="150">
        <v>7.9209999999999992E-3</v>
      </c>
      <c r="E32" s="150">
        <v>6.2759999999999996E-2</v>
      </c>
      <c r="F32" s="150">
        <v>8.5793999999999995E-2</v>
      </c>
      <c r="G32" s="150">
        <v>7.8770000000000007E-2</v>
      </c>
      <c r="H32" s="119">
        <v>6.7053000000000001E-2</v>
      </c>
      <c r="I32" s="119">
        <v>0.18746199999999999</v>
      </c>
      <c r="J32" s="119">
        <v>9.6282999999999994E-2</v>
      </c>
      <c r="K32" s="119">
        <v>3.3792000000000003E-2</v>
      </c>
      <c r="L32" s="119">
        <v>1.7974E-2</v>
      </c>
      <c r="M32" s="119">
        <v>1.4595E-2</v>
      </c>
      <c r="N32" s="119">
        <v>1.4376E-2</v>
      </c>
      <c r="O32" s="119">
        <v>1.3431999999999999E-2</v>
      </c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92">
        <f t="shared" si="2"/>
        <v>5.2334573397081835E-2</v>
      </c>
      <c r="AD32" s="192">
        <f t="shared" si="3"/>
        <v>6.1117363636363643E-2</v>
      </c>
      <c r="AE32" s="189">
        <f t="shared" si="4"/>
        <v>0.16578651043052731</v>
      </c>
    </row>
    <row r="33" spans="1:31" ht="18" customHeight="1" outlineLevel="1" x14ac:dyDescent="0.25">
      <c r="A33" s="9" t="s">
        <v>234</v>
      </c>
      <c r="B33" s="127">
        <v>78.11</v>
      </c>
      <c r="C33" s="156"/>
      <c r="D33" s="150">
        <v>0</v>
      </c>
      <c r="E33" s="150">
        <v>0</v>
      </c>
      <c r="F33" s="150">
        <v>0</v>
      </c>
      <c r="G33" s="150">
        <v>0</v>
      </c>
      <c r="H33" s="119">
        <v>0</v>
      </c>
      <c r="I33" s="119">
        <v>0</v>
      </c>
      <c r="J33" s="119">
        <v>0</v>
      </c>
      <c r="K33" s="119">
        <v>0</v>
      </c>
      <c r="L33" s="119">
        <v>0</v>
      </c>
      <c r="M33" s="119">
        <v>0</v>
      </c>
      <c r="N33" s="119">
        <v>0</v>
      </c>
      <c r="O33" s="119">
        <v>0</v>
      </c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92">
        <f t="shared" si="2"/>
        <v>0</v>
      </c>
      <c r="AD33" s="192">
        <f t="shared" si="3"/>
        <v>0</v>
      </c>
      <c r="AE33" s="189">
        <f t="shared" si="4"/>
        <v>0</v>
      </c>
    </row>
    <row r="34" spans="1:31" ht="18" customHeight="1" outlineLevel="1" x14ac:dyDescent="0.25">
      <c r="A34" s="9" t="s">
        <v>235</v>
      </c>
      <c r="B34" s="127">
        <v>92.14</v>
      </c>
      <c r="C34" s="156"/>
      <c r="D34" s="150">
        <v>0</v>
      </c>
      <c r="E34" s="150">
        <v>0</v>
      </c>
      <c r="F34" s="150">
        <v>0</v>
      </c>
      <c r="G34" s="150">
        <v>0</v>
      </c>
      <c r="H34" s="119">
        <v>0</v>
      </c>
      <c r="I34" s="119">
        <v>0</v>
      </c>
      <c r="J34" s="119">
        <v>0</v>
      </c>
      <c r="K34" s="119">
        <v>0</v>
      </c>
      <c r="L34" s="119">
        <v>0</v>
      </c>
      <c r="M34" s="119">
        <v>0</v>
      </c>
      <c r="N34" s="119">
        <v>0</v>
      </c>
      <c r="O34" s="119">
        <v>0</v>
      </c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92">
        <f t="shared" si="2"/>
        <v>0</v>
      </c>
      <c r="AD34" s="192">
        <f t="shared" si="3"/>
        <v>0</v>
      </c>
      <c r="AE34" s="189">
        <f t="shared" si="4"/>
        <v>0</v>
      </c>
    </row>
    <row r="35" spans="1:31" ht="18" customHeight="1" outlineLevel="1" x14ac:dyDescent="0.25">
      <c r="A35" s="9" t="s">
        <v>236</v>
      </c>
      <c r="B35" s="127">
        <v>106.167</v>
      </c>
      <c r="C35" s="156"/>
      <c r="D35" s="150">
        <v>0</v>
      </c>
      <c r="E35" s="150">
        <v>0</v>
      </c>
      <c r="F35" s="150">
        <v>0</v>
      </c>
      <c r="G35" s="150">
        <v>0</v>
      </c>
      <c r="H35" s="119">
        <v>0</v>
      </c>
      <c r="I35" s="119">
        <v>0</v>
      </c>
      <c r="J35" s="119">
        <v>0</v>
      </c>
      <c r="K35" s="119">
        <v>0</v>
      </c>
      <c r="L35" s="119">
        <v>0</v>
      </c>
      <c r="M35" s="119">
        <v>0</v>
      </c>
      <c r="N35" s="119">
        <v>0</v>
      </c>
      <c r="O35" s="119">
        <v>0</v>
      </c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92">
        <f t="shared" si="2"/>
        <v>0</v>
      </c>
      <c r="AD35" s="192">
        <f t="shared" si="3"/>
        <v>0</v>
      </c>
      <c r="AE35" s="189">
        <f t="shared" si="4"/>
        <v>0</v>
      </c>
    </row>
    <row r="36" spans="1:31" ht="18" customHeight="1" outlineLevel="1" x14ac:dyDescent="0.25">
      <c r="A36" s="9" t="s">
        <v>237</v>
      </c>
      <c r="B36" s="127">
        <v>106.167</v>
      </c>
      <c r="C36" s="156"/>
      <c r="D36" s="150">
        <v>3.8939999999999999E-3</v>
      </c>
      <c r="E36" s="150">
        <v>0</v>
      </c>
      <c r="F36" s="150">
        <v>0</v>
      </c>
      <c r="G36" s="150">
        <v>0</v>
      </c>
      <c r="H36" s="119">
        <v>0</v>
      </c>
      <c r="I36" s="119">
        <v>0</v>
      </c>
      <c r="J36" s="119">
        <v>0</v>
      </c>
      <c r="K36" s="119">
        <v>0</v>
      </c>
      <c r="L36" s="119">
        <v>9.7900000000000005E-4</v>
      </c>
      <c r="M36" s="119">
        <v>1.0020000000000001E-3</v>
      </c>
      <c r="N36" s="119">
        <v>9.4799999999999995E-4</v>
      </c>
      <c r="O36" s="119">
        <v>8.25E-4</v>
      </c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92">
        <f t="shared" si="2"/>
        <v>4.754614791776703E-4</v>
      </c>
      <c r="AD36" s="192">
        <f t="shared" si="3"/>
        <v>3.4127272727272733E-4</v>
      </c>
      <c r="AE36" s="189">
        <f t="shared" si="4"/>
        <v>1.2921956856280679E-3</v>
      </c>
    </row>
    <row r="37" spans="1:31" ht="18" customHeight="1" outlineLevel="1" x14ac:dyDescent="0.25">
      <c r="A37" s="9" t="s">
        <v>238</v>
      </c>
      <c r="B37" s="127">
        <v>106.167</v>
      </c>
      <c r="C37" s="156"/>
      <c r="D37" s="150">
        <v>2.2469999999999999E-3</v>
      </c>
      <c r="E37" s="150">
        <v>6.7419999999999997E-3</v>
      </c>
      <c r="F37" s="150">
        <v>3.64E-3</v>
      </c>
      <c r="G37" s="150">
        <v>2.977E-3</v>
      </c>
      <c r="H37" s="119">
        <v>3.5070000000000001E-3</v>
      </c>
      <c r="I37" s="119">
        <v>1.3094E-2</v>
      </c>
      <c r="J37" s="119">
        <v>6.437E-3</v>
      </c>
      <c r="K37" s="119">
        <v>2.892E-3</v>
      </c>
      <c r="L37" s="119">
        <v>1.8010000000000001E-3</v>
      </c>
      <c r="M37" s="119">
        <v>1.498E-3</v>
      </c>
      <c r="N37" s="119">
        <v>1.48E-3</v>
      </c>
      <c r="O37" s="119">
        <v>1.47E-3</v>
      </c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92">
        <f t="shared" si="2"/>
        <v>3.499100965053219E-3</v>
      </c>
      <c r="AD37" s="192">
        <f t="shared" si="3"/>
        <v>4.1398181818181811E-3</v>
      </c>
      <c r="AE37" s="189">
        <f t="shared" si="4"/>
        <v>1.1138020111924619E-2</v>
      </c>
    </row>
    <row r="38" spans="1:31" ht="18" customHeight="1" outlineLevel="1" x14ac:dyDescent="0.25">
      <c r="A38" s="9" t="s">
        <v>239</v>
      </c>
      <c r="B38" s="127">
        <v>106.167</v>
      </c>
      <c r="C38" s="156"/>
      <c r="D38" s="150">
        <v>0</v>
      </c>
      <c r="E38" s="150">
        <v>0</v>
      </c>
      <c r="F38" s="150">
        <v>0</v>
      </c>
      <c r="G38" s="150">
        <v>0</v>
      </c>
      <c r="H38" s="119">
        <v>0</v>
      </c>
      <c r="I38" s="119">
        <v>0</v>
      </c>
      <c r="J38" s="119">
        <v>0</v>
      </c>
      <c r="K38" s="119">
        <v>0</v>
      </c>
      <c r="L38" s="119">
        <v>0</v>
      </c>
      <c r="M38" s="119">
        <v>0</v>
      </c>
      <c r="N38" s="119">
        <v>0</v>
      </c>
      <c r="O38" s="119">
        <v>0</v>
      </c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92">
        <f t="shared" si="2"/>
        <v>0</v>
      </c>
      <c r="AD38" s="192">
        <f t="shared" si="3"/>
        <v>0</v>
      </c>
      <c r="AE38" s="189">
        <f t="shared" si="4"/>
        <v>0</v>
      </c>
    </row>
    <row r="39" spans="1:31" ht="18" customHeight="1" outlineLevel="1" x14ac:dyDescent="0.25">
      <c r="A39" s="9" t="s">
        <v>240</v>
      </c>
      <c r="B39" s="127">
        <v>86.18</v>
      </c>
      <c r="C39" s="156"/>
      <c r="D39" s="150">
        <v>1.3467E-2</v>
      </c>
      <c r="E39" s="150">
        <v>0.35163499999999998</v>
      </c>
      <c r="F39" s="150">
        <v>0.58978900000000001</v>
      </c>
      <c r="G39" s="150">
        <v>0.57368799999999998</v>
      </c>
      <c r="H39" s="119">
        <v>0.43949300000000002</v>
      </c>
      <c r="I39" s="119">
        <v>0.51612599999999997</v>
      </c>
      <c r="J39" s="119">
        <v>0.42760500000000001</v>
      </c>
      <c r="K39" s="119">
        <v>0.36936200000000002</v>
      </c>
      <c r="L39" s="119">
        <v>0.21246100000000001</v>
      </c>
      <c r="M39" s="119">
        <v>0.186811</v>
      </c>
      <c r="N39" s="119">
        <v>0.18498600000000001</v>
      </c>
      <c r="O39" s="119">
        <v>0.176533</v>
      </c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92">
        <f t="shared" si="2"/>
        <v>0.15796007800016498</v>
      </c>
      <c r="AD39" s="192">
        <f t="shared" si="3"/>
        <v>0.36622627272727271</v>
      </c>
      <c r="AE39" s="189">
        <f t="shared" si="4"/>
        <v>0.68214642872760267</v>
      </c>
    </row>
    <row r="40" spans="1:31" ht="18" customHeight="1" outlineLevel="1" x14ac:dyDescent="0.25">
      <c r="A40" s="9" t="s">
        <v>241</v>
      </c>
      <c r="B40" s="127">
        <v>114.23</v>
      </c>
      <c r="C40" s="156"/>
      <c r="D40" s="150">
        <v>8.4709999999999994E-3</v>
      </c>
      <c r="E40" s="150">
        <v>1.885E-3</v>
      </c>
      <c r="F40" s="150">
        <v>0</v>
      </c>
      <c r="G40" s="150">
        <v>0</v>
      </c>
      <c r="H40" s="119">
        <v>0</v>
      </c>
      <c r="I40" s="119">
        <v>0</v>
      </c>
      <c r="J40" s="119">
        <v>0</v>
      </c>
      <c r="K40" s="119">
        <v>0</v>
      </c>
      <c r="L40" s="119">
        <v>1.085E-3</v>
      </c>
      <c r="M40" s="119">
        <v>1.0759999999999999E-3</v>
      </c>
      <c r="N40" s="119">
        <v>9.2599999999999996E-4</v>
      </c>
      <c r="O40" s="119">
        <v>7.2800000000000002E-4</v>
      </c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92">
        <f t="shared" si="2"/>
        <v>6.5742297163725845E-4</v>
      </c>
      <c r="AD40" s="192">
        <f t="shared" si="3"/>
        <v>5.1818181818181824E-4</v>
      </c>
      <c r="AE40" s="189">
        <f t="shared" si="4"/>
        <v>1.8330277614563351E-3</v>
      </c>
    </row>
    <row r="41" spans="1:31" ht="18" customHeight="1" outlineLevel="1" x14ac:dyDescent="0.25">
      <c r="A41" s="9" t="s">
        <v>242</v>
      </c>
      <c r="B41" s="127">
        <v>100.21</v>
      </c>
      <c r="C41" s="156"/>
      <c r="D41" s="150">
        <v>0</v>
      </c>
      <c r="E41" s="150">
        <v>0</v>
      </c>
      <c r="F41" s="150">
        <v>0</v>
      </c>
      <c r="G41" s="150">
        <v>0</v>
      </c>
      <c r="H41" s="119">
        <v>0</v>
      </c>
      <c r="I41" s="119">
        <v>0</v>
      </c>
      <c r="J41" s="119">
        <v>0</v>
      </c>
      <c r="K41" s="119">
        <v>0</v>
      </c>
      <c r="L41" s="119">
        <v>0</v>
      </c>
      <c r="M41" s="119">
        <v>0</v>
      </c>
      <c r="N41" s="119">
        <v>0</v>
      </c>
      <c r="O41" s="119">
        <v>0</v>
      </c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92">
        <f t="shared" si="2"/>
        <v>0</v>
      </c>
      <c r="AD41" s="192">
        <f t="shared" si="3"/>
        <v>0</v>
      </c>
      <c r="AE41" s="189">
        <f t="shared" si="4"/>
        <v>0</v>
      </c>
    </row>
    <row r="42" spans="1:31" ht="18" customHeight="1" outlineLevel="1" x14ac:dyDescent="0.25">
      <c r="A42" s="9" t="s">
        <v>37</v>
      </c>
      <c r="B42" s="127">
        <v>44.01</v>
      </c>
      <c r="C42" s="156"/>
      <c r="D42" s="150">
        <v>0</v>
      </c>
      <c r="E42" s="150">
        <v>0</v>
      </c>
      <c r="F42" s="150">
        <v>0</v>
      </c>
      <c r="G42" s="150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>
        <v>0</v>
      </c>
      <c r="N42" s="119">
        <v>0</v>
      </c>
      <c r="O42" s="119">
        <v>0</v>
      </c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92">
        <f t="shared" si="2"/>
        <v>0</v>
      </c>
      <c r="AD42" s="192">
        <f t="shared" si="3"/>
        <v>0</v>
      </c>
      <c r="AE42" s="189">
        <f t="shared" si="4"/>
        <v>0</v>
      </c>
    </row>
    <row r="43" spans="1:31" ht="18" customHeight="1" outlineLevel="1" x14ac:dyDescent="0.25">
      <c r="A43" s="9" t="s">
        <v>39</v>
      </c>
      <c r="B43" s="127">
        <v>39.948</v>
      </c>
      <c r="C43" s="156"/>
      <c r="D43" s="150">
        <v>4.5494139999999996</v>
      </c>
      <c r="E43" s="150">
        <v>4.5248929999999996</v>
      </c>
      <c r="F43" s="150">
        <v>4.6401919999999999</v>
      </c>
      <c r="G43" s="150">
        <v>4.6185090000000004</v>
      </c>
      <c r="H43" s="119">
        <v>4.5836670000000002</v>
      </c>
      <c r="I43" s="119">
        <v>4.5508249999999997</v>
      </c>
      <c r="J43" s="119">
        <v>4.4387660000000002</v>
      </c>
      <c r="K43" s="119">
        <v>4.489935</v>
      </c>
      <c r="L43" s="119">
        <v>4.4325539999999997</v>
      </c>
      <c r="M43" s="119">
        <v>4.4330559999999997</v>
      </c>
      <c r="N43" s="119">
        <v>4.4511599999999998</v>
      </c>
      <c r="O43" s="119">
        <v>4.4373480000000001</v>
      </c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92">
        <f t="shared" si="2"/>
        <v>7.884640558302991E-2</v>
      </c>
      <c r="AD43" s="192">
        <f t="shared" si="3"/>
        <v>4.5091731818181824</v>
      </c>
      <c r="AE43" s="189">
        <f t="shared" si="4"/>
        <v>4.666865992984242</v>
      </c>
    </row>
    <row r="44" spans="1:31" ht="18" customHeight="1" outlineLevel="1" x14ac:dyDescent="0.25">
      <c r="A44" s="9" t="s">
        <v>38</v>
      </c>
      <c r="B44" s="127">
        <v>28.01</v>
      </c>
      <c r="C44" s="156"/>
      <c r="D44" s="150">
        <v>0</v>
      </c>
      <c r="E44" s="150">
        <v>0</v>
      </c>
      <c r="F44" s="150">
        <v>0</v>
      </c>
      <c r="G44" s="150">
        <v>0</v>
      </c>
      <c r="H44" s="119">
        <v>0</v>
      </c>
      <c r="I44" s="119">
        <v>0</v>
      </c>
      <c r="J44" s="119">
        <v>0</v>
      </c>
      <c r="K44" s="119">
        <v>0</v>
      </c>
      <c r="L44" s="119">
        <v>0</v>
      </c>
      <c r="M44" s="119">
        <v>0</v>
      </c>
      <c r="N44" s="119">
        <v>0</v>
      </c>
      <c r="O44" s="119">
        <v>0</v>
      </c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92">
        <f t="shared" si="2"/>
        <v>0</v>
      </c>
      <c r="AD44" s="192">
        <f t="shared" si="3"/>
        <v>0</v>
      </c>
      <c r="AE44" s="189">
        <f t="shared" si="4"/>
        <v>0</v>
      </c>
    </row>
    <row r="45" spans="1:31" ht="18" customHeight="1" outlineLevel="1" x14ac:dyDescent="0.25">
      <c r="A45" s="9" t="s">
        <v>243</v>
      </c>
      <c r="B45" s="127">
        <v>2.016</v>
      </c>
      <c r="C45" s="156"/>
      <c r="D45" s="150">
        <v>21.445194999999998</v>
      </c>
      <c r="E45" s="150">
        <v>19.782201000000001</v>
      </c>
      <c r="F45" s="150">
        <v>18.319120000000002</v>
      </c>
      <c r="G45" s="150">
        <v>18.457550000000001</v>
      </c>
      <c r="H45" s="119">
        <v>19.203726</v>
      </c>
      <c r="I45" s="119">
        <v>19.397086000000002</v>
      </c>
      <c r="J45" s="119">
        <v>19.298490000000001</v>
      </c>
      <c r="K45" s="119">
        <v>19.535931000000001</v>
      </c>
      <c r="L45" s="119">
        <v>20.332837999999999</v>
      </c>
      <c r="M45" s="119">
        <v>20.514775</v>
      </c>
      <c r="N45" s="119">
        <v>20.766069999999999</v>
      </c>
      <c r="O45" s="119">
        <v>20.746655000000001</v>
      </c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92">
        <f t="shared" si="2"/>
        <v>0.85257967116032829</v>
      </c>
      <c r="AD45" s="192">
        <f t="shared" si="3"/>
        <v>19.668585636363641</v>
      </c>
      <c r="AE45" s="189">
        <f t="shared" si="4"/>
        <v>21.373744978684297</v>
      </c>
    </row>
    <row r="46" spans="1:31" ht="18" customHeight="1" outlineLevel="1" x14ac:dyDescent="0.25">
      <c r="A46" s="9" t="s">
        <v>55</v>
      </c>
      <c r="B46" s="127">
        <v>26.04</v>
      </c>
      <c r="C46" s="156"/>
      <c r="D46" s="150">
        <v>6.9022740000000002</v>
      </c>
      <c r="E46" s="150">
        <v>3.7565789999999999</v>
      </c>
      <c r="F46" s="150">
        <v>1.8833880000000001</v>
      </c>
      <c r="G46" s="150">
        <v>2.2646999999999999</v>
      </c>
      <c r="H46" s="119">
        <v>3.12967</v>
      </c>
      <c r="I46" s="119">
        <v>3.4905940000000002</v>
      </c>
      <c r="J46" s="119">
        <v>3.413011</v>
      </c>
      <c r="K46" s="119">
        <v>3.8579029999999999</v>
      </c>
      <c r="L46" s="119">
        <v>4.621016</v>
      </c>
      <c r="M46" s="119">
        <v>4.8313550000000003</v>
      </c>
      <c r="N46" s="119">
        <v>5.0287170000000003</v>
      </c>
      <c r="O46" s="119">
        <v>4.9735040000000001</v>
      </c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92">
        <f t="shared" si="2"/>
        <v>1.0643205274763901</v>
      </c>
      <c r="AD46" s="192">
        <f t="shared" si="3"/>
        <v>3.7500397272727271</v>
      </c>
      <c r="AE46" s="189">
        <f t="shared" si="4"/>
        <v>5.8786807822255067</v>
      </c>
    </row>
    <row r="47" spans="1:31" ht="18" customHeight="1" outlineLevel="1" x14ac:dyDescent="0.25">
      <c r="A47" s="9" t="s">
        <v>244</v>
      </c>
      <c r="B47" s="127">
        <v>58.12</v>
      </c>
      <c r="C47" s="156"/>
      <c r="D47" s="150">
        <v>0</v>
      </c>
      <c r="E47" s="150">
        <v>0</v>
      </c>
      <c r="F47" s="150">
        <v>0</v>
      </c>
      <c r="G47" s="150">
        <v>0</v>
      </c>
      <c r="H47" s="119">
        <v>0</v>
      </c>
      <c r="I47" s="119">
        <v>0</v>
      </c>
      <c r="J47" s="119">
        <v>0</v>
      </c>
      <c r="K47" s="119">
        <v>0</v>
      </c>
      <c r="L47" s="119">
        <v>0</v>
      </c>
      <c r="M47" s="119">
        <v>0</v>
      </c>
      <c r="N47" s="119">
        <v>0</v>
      </c>
      <c r="O47" s="119">
        <v>0</v>
      </c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92">
        <f t="shared" si="2"/>
        <v>0</v>
      </c>
      <c r="AD47" s="192">
        <f t="shared" si="3"/>
        <v>0</v>
      </c>
      <c r="AE47" s="189">
        <f t="shared" si="4"/>
        <v>0</v>
      </c>
    </row>
    <row r="48" spans="1:31" ht="18" customHeight="1" outlineLevel="1" x14ac:dyDescent="0.25">
      <c r="A48" s="9" t="s">
        <v>245</v>
      </c>
      <c r="B48" s="127">
        <v>28.013400000000001</v>
      </c>
      <c r="C48" s="156"/>
      <c r="D48" s="150">
        <v>59.044800000000002</v>
      </c>
      <c r="E48" s="150">
        <v>61.657359999999997</v>
      </c>
      <c r="F48" s="150">
        <v>63.151254999999999</v>
      </c>
      <c r="G48" s="150">
        <v>62.903419999999997</v>
      </c>
      <c r="H48" s="119">
        <v>62.376641999999997</v>
      </c>
      <c r="I48" s="119">
        <v>61.884205000000001</v>
      </c>
      <c r="J48" s="119">
        <v>60.547297</v>
      </c>
      <c r="K48" s="119">
        <v>61.42306</v>
      </c>
      <c r="L48" s="119">
        <v>61.440175000000004</v>
      </c>
      <c r="M48" s="119">
        <v>61.302503000000002</v>
      </c>
      <c r="N48" s="119">
        <v>61.225262000000001</v>
      </c>
      <c r="O48" s="119">
        <v>61.274771000000001</v>
      </c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92">
        <f t="shared" si="2"/>
        <v>0.7786922119849512</v>
      </c>
      <c r="AD48" s="192">
        <f t="shared" si="3"/>
        <v>61.744177272727278</v>
      </c>
      <c r="AE48" s="189">
        <f t="shared" si="4"/>
        <v>63.301561696697178</v>
      </c>
    </row>
    <row r="49" spans="1:30" ht="18" customHeight="1" outlineLevel="1" x14ac:dyDescent="0.25">
      <c r="A49" s="9"/>
      <c r="B49" s="127"/>
      <c r="C49" s="157"/>
      <c r="D49" s="150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</row>
    <row r="51" spans="1:30" ht="18" customHeight="1" outlineLevel="1" x14ac:dyDescent="0.25">
      <c r="A51" s="9" t="s">
        <v>246</v>
      </c>
      <c r="B51" s="7"/>
      <c r="C51" s="7" t="s">
        <v>247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208" t="s">
        <v>248</v>
      </c>
      <c r="AD51" s="189" t="s">
        <v>249</v>
      </c>
    </row>
    <row r="52" spans="1:30" ht="18" customHeight="1" outlineLevel="1" x14ac:dyDescent="0.25">
      <c r="A52" s="9" t="str">
        <f t="shared" ref="A52:A81" si="5">IF(A20="", "", CONCATENATE(A20, " [g/h]"))</f>
        <v>Methane [g/h]</v>
      </c>
      <c r="B52" s="102"/>
      <c r="C52" s="103">
        <f t="shared" ref="C52:C84" si="6">IFERROR(AVERAGE(D52:AB52), "")</f>
        <v>5.5857180178741035E-2</v>
      </c>
      <c r="D52" s="103">
        <f t="shared" ref="D52:AB52" si="7">IF(SUM(D20:D48)=0, "", (D20*$B20/(D$43*$B$43))*$F$5)</f>
        <v>5.2793403411574805E-2</v>
      </c>
      <c r="E52" s="103">
        <f t="shared" si="7"/>
        <v>5.5456715436757301E-2</v>
      </c>
      <c r="F52" s="103">
        <f t="shared" si="7"/>
        <v>5.552783325537429E-2</v>
      </c>
      <c r="G52" s="103">
        <f t="shared" si="7"/>
        <v>5.6225308653943401E-2</v>
      </c>
      <c r="H52" s="103">
        <f t="shared" si="7"/>
        <v>5.6225666988247644E-2</v>
      </c>
      <c r="I52" s="103">
        <f t="shared" si="7"/>
        <v>5.6325712618493624E-2</v>
      </c>
      <c r="J52" s="103">
        <f t="shared" si="7"/>
        <v>5.7445243394932517E-2</v>
      </c>
      <c r="K52" s="103">
        <f t="shared" si="7"/>
        <v>5.6976940834675374E-2</v>
      </c>
      <c r="L52" s="103">
        <f t="shared" si="7"/>
        <v>5.6039602076903144E-2</v>
      </c>
      <c r="M52" s="103">
        <f t="shared" si="7"/>
        <v>5.6026144605420186E-2</v>
      </c>
      <c r="N52" s="103">
        <f t="shared" si="7"/>
        <v>5.5478645873791289E-2</v>
      </c>
      <c r="O52" s="103">
        <f t="shared" si="7"/>
        <v>5.576494499477893E-2</v>
      </c>
      <c r="P52" s="103" t="str">
        <f t="shared" si="7"/>
        <v/>
      </c>
      <c r="Q52" s="103" t="str">
        <f t="shared" si="7"/>
        <v/>
      </c>
      <c r="R52" s="103" t="str">
        <f t="shared" si="7"/>
        <v/>
      </c>
      <c r="S52" s="103" t="str">
        <f t="shared" si="7"/>
        <v/>
      </c>
      <c r="T52" s="103" t="str">
        <f t="shared" si="7"/>
        <v/>
      </c>
      <c r="U52" s="103" t="str">
        <f t="shared" si="7"/>
        <v/>
      </c>
      <c r="V52" s="103" t="str">
        <f t="shared" si="7"/>
        <v/>
      </c>
      <c r="W52" s="103" t="str">
        <f t="shared" si="7"/>
        <v/>
      </c>
      <c r="X52" s="103" t="str">
        <f t="shared" si="7"/>
        <v/>
      </c>
      <c r="Y52" s="103" t="str">
        <f t="shared" si="7"/>
        <v/>
      </c>
      <c r="Z52" s="103" t="str">
        <f t="shared" si="7"/>
        <v/>
      </c>
      <c r="AA52" s="103" t="str">
        <f t="shared" si="7"/>
        <v/>
      </c>
      <c r="AB52" s="103" t="str">
        <f t="shared" si="7"/>
        <v/>
      </c>
      <c r="AC52" s="192">
        <f t="shared" ref="AC52:AC80" si="8">(12.011*$AD52/$B20)*$C52</f>
        <v>4.1826720145065999E-2</v>
      </c>
      <c r="AD52" s="191">
        <v>1</v>
      </c>
    </row>
    <row r="53" spans="1:30" ht="18" customHeight="1" outlineLevel="1" x14ac:dyDescent="0.25">
      <c r="A53" s="9" t="str">
        <f t="shared" si="5"/>
        <v>Ethane [g/h]</v>
      </c>
      <c r="B53" s="102"/>
      <c r="C53" s="103">
        <f t="shared" si="6"/>
        <v>3.4617165230817017E-3</v>
      </c>
      <c r="D53" s="103">
        <f t="shared" ref="D53:AB53" si="9">IF(SUM(D21:D49)=0, "", (D21*$B21/(D$43*$B$43))*$F$5)</f>
        <v>5.3160563088584182E-4</v>
      </c>
      <c r="E53" s="103">
        <f t="shared" si="9"/>
        <v>3.4336072079761666E-3</v>
      </c>
      <c r="F53" s="103">
        <f t="shared" si="9"/>
        <v>6.357438470872937E-3</v>
      </c>
      <c r="G53" s="103">
        <f t="shared" si="9"/>
        <v>6.0834505159471017E-3</v>
      </c>
      <c r="H53" s="103">
        <f t="shared" si="9"/>
        <v>4.6923853222045663E-3</v>
      </c>
      <c r="I53" s="103">
        <f t="shared" si="9"/>
        <v>4.174778751560213E-3</v>
      </c>
      <c r="J53" s="103">
        <f t="shared" si="9"/>
        <v>3.9887623230120831E-3</v>
      </c>
      <c r="K53" s="103">
        <f t="shared" si="9"/>
        <v>3.6960855955253092E-3</v>
      </c>
      <c r="L53" s="103">
        <f t="shared" si="9"/>
        <v>2.8515261518529448E-3</v>
      </c>
      <c r="M53" s="103">
        <f t="shared" si="9"/>
        <v>2.2524330723474265E-3</v>
      </c>
      <c r="N53" s="103">
        <f t="shared" si="9"/>
        <v>1.818617975914955E-3</v>
      </c>
      <c r="O53" s="103">
        <f t="shared" si="9"/>
        <v>1.6599072588808768E-3</v>
      </c>
      <c r="P53" s="103" t="str">
        <f t="shared" si="9"/>
        <v/>
      </c>
      <c r="Q53" s="103" t="str">
        <f t="shared" si="9"/>
        <v/>
      </c>
      <c r="R53" s="103" t="str">
        <f t="shared" si="9"/>
        <v/>
      </c>
      <c r="S53" s="103" t="str">
        <f t="shared" si="9"/>
        <v/>
      </c>
      <c r="T53" s="103" t="str">
        <f t="shared" si="9"/>
        <v/>
      </c>
      <c r="U53" s="103" t="str">
        <f t="shared" si="9"/>
        <v/>
      </c>
      <c r="V53" s="103" t="str">
        <f t="shared" si="9"/>
        <v/>
      </c>
      <c r="W53" s="103" t="str">
        <f t="shared" si="9"/>
        <v/>
      </c>
      <c r="X53" s="103" t="str">
        <f t="shared" si="9"/>
        <v/>
      </c>
      <c r="Y53" s="103" t="str">
        <f t="shared" si="9"/>
        <v/>
      </c>
      <c r="Z53" s="103" t="str">
        <f t="shared" si="9"/>
        <v/>
      </c>
      <c r="AA53" s="103" t="str">
        <f t="shared" si="9"/>
        <v/>
      </c>
      <c r="AB53" s="103" t="str">
        <f t="shared" si="9"/>
        <v/>
      </c>
      <c r="AC53" s="192">
        <f t="shared" si="8"/>
        <v>2.7654590727458806E-3</v>
      </c>
      <c r="AD53" s="189">
        <v>2</v>
      </c>
    </row>
    <row r="54" spans="1:30" ht="18" customHeight="1" outlineLevel="1" x14ac:dyDescent="0.25">
      <c r="A54" s="9" t="str">
        <f t="shared" si="5"/>
        <v>Ethylene [g/h]</v>
      </c>
      <c r="B54" s="102"/>
      <c r="C54" s="103">
        <f t="shared" si="6"/>
        <v>0.12080590849206078</v>
      </c>
      <c r="D54" s="103">
        <f t="shared" ref="D54:AB54" si="10">IF(SUM(D22:D50)=0, "", (D22*$B22/(D$43*$B$43))*$F$5)</f>
        <v>6.323145397681168E-2</v>
      </c>
      <c r="E54" s="103">
        <f t="shared" si="10"/>
        <v>0.11679630295792877</v>
      </c>
      <c r="F54" s="103">
        <f t="shared" si="10"/>
        <v>0.15761368655821373</v>
      </c>
      <c r="G54" s="103">
        <f t="shared" si="10"/>
        <v>0.15906478817712666</v>
      </c>
      <c r="H54" s="103">
        <f t="shared" si="10"/>
        <v>0.1443391697898411</v>
      </c>
      <c r="I54" s="103">
        <f t="shared" si="10"/>
        <v>0.14177501548119872</v>
      </c>
      <c r="J54" s="103">
        <f t="shared" si="10"/>
        <v>0.14255669455176107</v>
      </c>
      <c r="K54" s="103">
        <f t="shared" si="10"/>
        <v>0.13188131573810383</v>
      </c>
      <c r="L54" s="103">
        <f t="shared" si="10"/>
        <v>0.10503983784562143</v>
      </c>
      <c r="M54" s="103">
        <f t="shared" si="10"/>
        <v>9.9006333261571822E-2</v>
      </c>
      <c r="N54" s="103">
        <f t="shared" si="10"/>
        <v>9.4243795961618651E-2</v>
      </c>
      <c r="O54" s="103">
        <f t="shared" si="10"/>
        <v>9.4122507604931877E-2</v>
      </c>
      <c r="P54" s="103" t="str">
        <f t="shared" si="10"/>
        <v/>
      </c>
      <c r="Q54" s="103" t="str">
        <f t="shared" si="10"/>
        <v/>
      </c>
      <c r="R54" s="103" t="str">
        <f t="shared" si="10"/>
        <v/>
      </c>
      <c r="S54" s="103" t="str">
        <f t="shared" si="10"/>
        <v/>
      </c>
      <c r="T54" s="103" t="str">
        <f t="shared" si="10"/>
        <v/>
      </c>
      <c r="U54" s="103" t="str">
        <f t="shared" si="10"/>
        <v/>
      </c>
      <c r="V54" s="103" t="str">
        <f t="shared" si="10"/>
        <v/>
      </c>
      <c r="W54" s="103" t="str">
        <f t="shared" si="10"/>
        <v/>
      </c>
      <c r="X54" s="103" t="str">
        <f t="shared" si="10"/>
        <v/>
      </c>
      <c r="Y54" s="103" t="str">
        <f t="shared" si="10"/>
        <v/>
      </c>
      <c r="Z54" s="103" t="str">
        <f t="shared" si="10"/>
        <v/>
      </c>
      <c r="AA54" s="103" t="str">
        <f t="shared" si="10"/>
        <v/>
      </c>
      <c r="AB54" s="103" t="str">
        <f t="shared" si="10"/>
        <v/>
      </c>
      <c r="AC54" s="192">
        <f t="shared" si="8"/>
        <v>0.10345809389648071</v>
      </c>
      <c r="AD54" s="189">
        <v>2</v>
      </c>
    </row>
    <row r="55" spans="1:30" ht="18" customHeight="1" outlineLevel="1" x14ac:dyDescent="0.25">
      <c r="A55" s="9" t="str">
        <f t="shared" si="5"/>
        <v>Propane [g/h]</v>
      </c>
      <c r="B55" s="102"/>
      <c r="C55" s="103">
        <f t="shared" si="6"/>
        <v>0</v>
      </c>
      <c r="D55" s="103">
        <f t="shared" ref="D55:AB55" si="11">IF(SUM(D23:D51)=0, "", (D23*$B23/(D$43*$B$43))*$F$5)</f>
        <v>0</v>
      </c>
      <c r="E55" s="103">
        <f t="shared" si="11"/>
        <v>0</v>
      </c>
      <c r="F55" s="103">
        <f t="shared" si="11"/>
        <v>0</v>
      </c>
      <c r="G55" s="103">
        <f t="shared" si="11"/>
        <v>0</v>
      </c>
      <c r="H55" s="103">
        <f t="shared" si="11"/>
        <v>0</v>
      </c>
      <c r="I55" s="103">
        <f t="shared" si="11"/>
        <v>0</v>
      </c>
      <c r="J55" s="103">
        <f t="shared" si="11"/>
        <v>0</v>
      </c>
      <c r="K55" s="103">
        <f t="shared" si="11"/>
        <v>0</v>
      </c>
      <c r="L55" s="103">
        <f t="shared" si="11"/>
        <v>0</v>
      </c>
      <c r="M55" s="103">
        <f t="shared" si="11"/>
        <v>0</v>
      </c>
      <c r="N55" s="103">
        <f t="shared" si="11"/>
        <v>0</v>
      </c>
      <c r="O55" s="103">
        <f t="shared" si="11"/>
        <v>0</v>
      </c>
      <c r="P55" s="103" t="str">
        <f t="shared" si="11"/>
        <v/>
      </c>
      <c r="Q55" s="103" t="str">
        <f t="shared" si="11"/>
        <v/>
      </c>
      <c r="R55" s="103" t="str">
        <f t="shared" si="11"/>
        <v/>
      </c>
      <c r="S55" s="103" t="str">
        <f t="shared" si="11"/>
        <v/>
      </c>
      <c r="T55" s="103" t="str">
        <f t="shared" si="11"/>
        <v/>
      </c>
      <c r="U55" s="103" t="str">
        <f t="shared" si="11"/>
        <v/>
      </c>
      <c r="V55" s="103" t="str">
        <f t="shared" si="11"/>
        <v/>
      </c>
      <c r="W55" s="103" t="str">
        <f t="shared" si="11"/>
        <v/>
      </c>
      <c r="X55" s="103" t="str">
        <f t="shared" si="11"/>
        <v/>
      </c>
      <c r="Y55" s="103" t="str">
        <f t="shared" si="11"/>
        <v/>
      </c>
      <c r="Z55" s="103" t="str">
        <f t="shared" si="11"/>
        <v/>
      </c>
      <c r="AA55" s="103" t="str">
        <f t="shared" si="11"/>
        <v/>
      </c>
      <c r="AB55" s="103" t="str">
        <f t="shared" si="11"/>
        <v/>
      </c>
      <c r="AC55" s="192">
        <f t="shared" si="8"/>
        <v>0</v>
      </c>
      <c r="AD55" s="189">
        <v>3</v>
      </c>
    </row>
    <row r="56" spans="1:30" ht="18" customHeight="1" outlineLevel="1" x14ac:dyDescent="0.25">
      <c r="A56" s="9" t="str">
        <f t="shared" si="5"/>
        <v>Propylene [g/h]</v>
      </c>
      <c r="B56" s="102"/>
      <c r="C56" s="103">
        <f t="shared" si="6"/>
        <v>7.0778116415158918E-5</v>
      </c>
      <c r="D56" s="103">
        <f t="shared" ref="D56:AB56" si="12">IF(SUM(D24:D52)=0, "", (D24*$B24/(D$43*$B$43))*$F$5)</f>
        <v>1.3154983057991594E-4</v>
      </c>
      <c r="E56" s="103">
        <f t="shared" si="12"/>
        <v>5.6272936676384214E-5</v>
      </c>
      <c r="F56" s="103">
        <f t="shared" si="12"/>
        <v>1.1281525987462961E-4</v>
      </c>
      <c r="G56" s="103">
        <f t="shared" si="12"/>
        <v>1.2665810264578497E-4</v>
      </c>
      <c r="H56" s="103">
        <f t="shared" si="12"/>
        <v>9.7267516632869666E-5</v>
      </c>
      <c r="I56" s="103">
        <f t="shared" si="12"/>
        <v>8.6895580434325021E-5</v>
      </c>
      <c r="J56" s="103">
        <f t="shared" si="12"/>
        <v>7.8007464983419607E-5</v>
      </c>
      <c r="K56" s="103">
        <f t="shared" si="12"/>
        <v>6.3477731555935664E-5</v>
      </c>
      <c r="L56" s="103">
        <f t="shared" si="12"/>
        <v>3.5032877292026879E-5</v>
      </c>
      <c r="M56" s="103">
        <f t="shared" si="12"/>
        <v>2.3660832175430281E-5</v>
      </c>
      <c r="N56" s="103">
        <f t="shared" si="12"/>
        <v>2.1560252473013172E-5</v>
      </c>
      <c r="O56" s="103">
        <f t="shared" si="12"/>
        <v>1.6139011658172063E-5</v>
      </c>
      <c r="P56" s="103" t="str">
        <f t="shared" si="12"/>
        <v/>
      </c>
      <c r="Q56" s="103" t="str">
        <f t="shared" si="12"/>
        <v/>
      </c>
      <c r="R56" s="103" t="str">
        <f t="shared" si="12"/>
        <v/>
      </c>
      <c r="S56" s="103" t="str">
        <f t="shared" si="12"/>
        <v/>
      </c>
      <c r="T56" s="103" t="str">
        <f t="shared" si="12"/>
        <v/>
      </c>
      <c r="U56" s="103" t="str">
        <f t="shared" si="12"/>
        <v/>
      </c>
      <c r="V56" s="103" t="str">
        <f t="shared" si="12"/>
        <v/>
      </c>
      <c r="W56" s="103" t="str">
        <f t="shared" si="12"/>
        <v/>
      </c>
      <c r="X56" s="103" t="str">
        <f t="shared" si="12"/>
        <v/>
      </c>
      <c r="Y56" s="103" t="str">
        <f t="shared" si="12"/>
        <v/>
      </c>
      <c r="Z56" s="103" t="str">
        <f t="shared" si="12"/>
        <v/>
      </c>
      <c r="AA56" s="103" t="str">
        <f t="shared" si="12"/>
        <v/>
      </c>
      <c r="AB56" s="103" t="str">
        <f t="shared" si="12"/>
        <v/>
      </c>
      <c r="AC56" s="192">
        <f t="shared" si="8"/>
        <v>6.0607126159396905E-5</v>
      </c>
      <c r="AD56" s="189">
        <v>3</v>
      </c>
    </row>
    <row r="57" spans="1:30" ht="18" customHeight="1" outlineLevel="1" x14ac:dyDescent="0.25">
      <c r="A57" s="9" t="str">
        <f t="shared" si="5"/>
        <v>Butane [g/h]</v>
      </c>
      <c r="B57" s="102"/>
      <c r="C57" s="103">
        <f t="shared" si="6"/>
        <v>1.1531426409534244E-4</v>
      </c>
      <c r="D57" s="103">
        <f t="shared" ref="D57:AB57" si="13">IF(SUM(D25:D53)=0, "", (D25*$B25/(D$43*$B$43))*$F$5)</f>
        <v>2.8476590612443182E-5</v>
      </c>
      <c r="E57" s="103">
        <f t="shared" si="13"/>
        <v>1.3535280660039313E-4</v>
      </c>
      <c r="F57" s="103">
        <f t="shared" si="13"/>
        <v>1.7469419469183951E-4</v>
      </c>
      <c r="G57" s="103">
        <f t="shared" si="13"/>
        <v>1.7652388190723319E-4</v>
      </c>
      <c r="H57" s="103">
        <f t="shared" si="13"/>
        <v>1.4858470404830861E-4</v>
      </c>
      <c r="I57" s="103">
        <f t="shared" si="13"/>
        <v>1.7329475284168591E-4</v>
      </c>
      <c r="J57" s="103">
        <f t="shared" si="13"/>
        <v>1.3122645864884587E-4</v>
      </c>
      <c r="K57" s="103">
        <f t="shared" si="13"/>
        <v>1.2587388560059989E-4</v>
      </c>
      <c r="L57" s="103">
        <f t="shared" si="13"/>
        <v>9.25657923224443E-5</v>
      </c>
      <c r="M57" s="103">
        <f t="shared" si="13"/>
        <v>7.2121020901324653E-5</v>
      </c>
      <c r="N57" s="103">
        <f t="shared" si="13"/>
        <v>6.6515430392655186E-5</v>
      </c>
      <c r="O57" s="103">
        <f t="shared" si="13"/>
        <v>5.8541650576335988E-5</v>
      </c>
      <c r="P57" s="103" t="str">
        <f t="shared" si="13"/>
        <v/>
      </c>
      <c r="Q57" s="103" t="str">
        <f t="shared" si="13"/>
        <v/>
      </c>
      <c r="R57" s="103" t="str">
        <f t="shared" si="13"/>
        <v/>
      </c>
      <c r="S57" s="103" t="str">
        <f t="shared" si="13"/>
        <v/>
      </c>
      <c r="T57" s="103" t="str">
        <f t="shared" si="13"/>
        <v/>
      </c>
      <c r="U57" s="103" t="str">
        <f t="shared" si="13"/>
        <v/>
      </c>
      <c r="V57" s="103" t="str">
        <f t="shared" si="13"/>
        <v/>
      </c>
      <c r="W57" s="103" t="str">
        <f t="shared" si="13"/>
        <v/>
      </c>
      <c r="X57" s="103" t="str">
        <f t="shared" si="13"/>
        <v/>
      </c>
      <c r="Y57" s="103" t="str">
        <f t="shared" si="13"/>
        <v/>
      </c>
      <c r="Z57" s="103" t="str">
        <f t="shared" si="13"/>
        <v/>
      </c>
      <c r="AA57" s="103" t="str">
        <f t="shared" si="13"/>
        <v/>
      </c>
      <c r="AB57" s="103" t="str">
        <f t="shared" si="13"/>
        <v/>
      </c>
      <c r="AC57" s="192">
        <f t="shared" si="8"/>
        <v>9.5322754717767238E-5</v>
      </c>
      <c r="AD57" s="189">
        <v>4</v>
      </c>
    </row>
    <row r="58" spans="1:30" ht="18" customHeight="1" outlineLevel="1" x14ac:dyDescent="0.25">
      <c r="A58" s="9" t="str">
        <f t="shared" si="5"/>
        <v>Pentane [g/h]</v>
      </c>
      <c r="B58" s="102"/>
      <c r="C58" s="103">
        <f t="shared" si="6"/>
        <v>0</v>
      </c>
      <c r="D58" s="103">
        <f t="shared" ref="D58:AB58" si="14">IF(SUM(D26:D54)=0, "", (D26*$B26/(D$43*$B$43))*$F$5)</f>
        <v>0</v>
      </c>
      <c r="E58" s="103">
        <f t="shared" si="14"/>
        <v>0</v>
      </c>
      <c r="F58" s="103">
        <f t="shared" si="14"/>
        <v>0</v>
      </c>
      <c r="G58" s="103">
        <f t="shared" si="14"/>
        <v>0</v>
      </c>
      <c r="H58" s="103">
        <f t="shared" si="14"/>
        <v>0</v>
      </c>
      <c r="I58" s="103">
        <f t="shared" si="14"/>
        <v>0</v>
      </c>
      <c r="J58" s="103">
        <f t="shared" si="14"/>
        <v>0</v>
      </c>
      <c r="K58" s="103">
        <f t="shared" si="14"/>
        <v>0</v>
      </c>
      <c r="L58" s="103">
        <f t="shared" si="14"/>
        <v>0</v>
      </c>
      <c r="M58" s="103">
        <f t="shared" si="14"/>
        <v>0</v>
      </c>
      <c r="N58" s="103">
        <f t="shared" si="14"/>
        <v>0</v>
      </c>
      <c r="O58" s="103">
        <f t="shared" si="14"/>
        <v>0</v>
      </c>
      <c r="P58" s="103" t="str">
        <f t="shared" si="14"/>
        <v/>
      </c>
      <c r="Q58" s="103" t="str">
        <f t="shared" si="14"/>
        <v/>
      </c>
      <c r="R58" s="103" t="str">
        <f t="shared" si="14"/>
        <v/>
      </c>
      <c r="S58" s="103" t="str">
        <f t="shared" si="14"/>
        <v/>
      </c>
      <c r="T58" s="103" t="str">
        <f t="shared" si="14"/>
        <v/>
      </c>
      <c r="U58" s="103" t="str">
        <f t="shared" si="14"/>
        <v/>
      </c>
      <c r="V58" s="103" t="str">
        <f t="shared" si="14"/>
        <v/>
      </c>
      <c r="W58" s="103" t="str">
        <f t="shared" si="14"/>
        <v/>
      </c>
      <c r="X58" s="103" t="str">
        <f t="shared" si="14"/>
        <v/>
      </c>
      <c r="Y58" s="103" t="str">
        <f t="shared" si="14"/>
        <v/>
      </c>
      <c r="Z58" s="103" t="str">
        <f t="shared" si="14"/>
        <v/>
      </c>
      <c r="AA58" s="103" t="str">
        <f t="shared" si="14"/>
        <v/>
      </c>
      <c r="AB58" s="103" t="str">
        <f t="shared" si="14"/>
        <v/>
      </c>
      <c r="AC58" s="192">
        <f t="shared" si="8"/>
        <v>0</v>
      </c>
      <c r="AD58" s="189">
        <v>5</v>
      </c>
    </row>
    <row r="59" spans="1:30" ht="18" customHeight="1" outlineLevel="1" x14ac:dyDescent="0.25">
      <c r="A59" s="9" t="str">
        <f t="shared" si="5"/>
        <v>C6s (Isomers of hexane?) [g/h]</v>
      </c>
      <c r="B59" s="102"/>
      <c r="C59" s="103">
        <f t="shared" si="6"/>
        <v>0</v>
      </c>
      <c r="D59" s="103">
        <f t="shared" ref="D59:AB59" si="15">IF(SUM(D27:D55)=0, "", (D27*$B27/(D$43*$B$43))*$F$5)</f>
        <v>0</v>
      </c>
      <c r="E59" s="103">
        <f t="shared" si="15"/>
        <v>0</v>
      </c>
      <c r="F59" s="103">
        <f t="shared" si="15"/>
        <v>0</v>
      </c>
      <c r="G59" s="103">
        <f t="shared" si="15"/>
        <v>0</v>
      </c>
      <c r="H59" s="103">
        <f t="shared" si="15"/>
        <v>0</v>
      </c>
      <c r="I59" s="103">
        <f t="shared" si="15"/>
        <v>0</v>
      </c>
      <c r="J59" s="103">
        <f t="shared" si="15"/>
        <v>0</v>
      </c>
      <c r="K59" s="103">
        <f t="shared" si="15"/>
        <v>0</v>
      </c>
      <c r="L59" s="103">
        <f t="shared" si="15"/>
        <v>0</v>
      </c>
      <c r="M59" s="103">
        <f t="shared" si="15"/>
        <v>0</v>
      </c>
      <c r="N59" s="103">
        <f t="shared" si="15"/>
        <v>0</v>
      </c>
      <c r="O59" s="103">
        <f t="shared" si="15"/>
        <v>0</v>
      </c>
      <c r="P59" s="103" t="str">
        <f t="shared" si="15"/>
        <v/>
      </c>
      <c r="Q59" s="103" t="str">
        <f t="shared" si="15"/>
        <v/>
      </c>
      <c r="R59" s="103" t="str">
        <f t="shared" si="15"/>
        <v/>
      </c>
      <c r="S59" s="103" t="str">
        <f t="shared" si="15"/>
        <v/>
      </c>
      <c r="T59" s="103" t="str">
        <f t="shared" si="15"/>
        <v/>
      </c>
      <c r="U59" s="103" t="str">
        <f t="shared" si="15"/>
        <v/>
      </c>
      <c r="V59" s="103" t="str">
        <f t="shared" si="15"/>
        <v/>
      </c>
      <c r="W59" s="103" t="str">
        <f t="shared" si="15"/>
        <v/>
      </c>
      <c r="X59" s="103" t="str">
        <f t="shared" si="15"/>
        <v/>
      </c>
      <c r="Y59" s="103" t="str">
        <f t="shared" si="15"/>
        <v/>
      </c>
      <c r="Z59" s="103" t="str">
        <f t="shared" si="15"/>
        <v/>
      </c>
      <c r="AA59" s="103" t="str">
        <f t="shared" si="15"/>
        <v/>
      </c>
      <c r="AB59" s="103" t="str">
        <f t="shared" si="15"/>
        <v/>
      </c>
      <c r="AC59" s="192">
        <f t="shared" si="8"/>
        <v>0</v>
      </c>
      <c r="AD59" s="189">
        <v>6</v>
      </c>
    </row>
    <row r="60" spans="1:30" ht="18" customHeight="1" outlineLevel="1" x14ac:dyDescent="0.25">
      <c r="A60" s="9" t="str">
        <f t="shared" si="5"/>
        <v>Hexane [g/h]</v>
      </c>
      <c r="B60" s="102"/>
      <c r="C60" s="103">
        <f t="shared" si="6"/>
        <v>0</v>
      </c>
      <c r="D60" s="103">
        <f t="shared" ref="D60:AB60" si="16">IF(SUM(D28:D56)=0, "", (D28*$B28/(D$43*$B$43))*$F$5)</f>
        <v>0</v>
      </c>
      <c r="E60" s="103">
        <f t="shared" si="16"/>
        <v>0</v>
      </c>
      <c r="F60" s="103">
        <f t="shared" si="16"/>
        <v>0</v>
      </c>
      <c r="G60" s="103">
        <f t="shared" si="16"/>
        <v>0</v>
      </c>
      <c r="H60" s="103">
        <f t="shared" si="16"/>
        <v>0</v>
      </c>
      <c r="I60" s="103">
        <f t="shared" si="16"/>
        <v>0</v>
      </c>
      <c r="J60" s="103">
        <f t="shared" si="16"/>
        <v>0</v>
      </c>
      <c r="K60" s="103">
        <f t="shared" si="16"/>
        <v>0</v>
      </c>
      <c r="L60" s="103">
        <f t="shared" si="16"/>
        <v>0</v>
      </c>
      <c r="M60" s="103">
        <f t="shared" si="16"/>
        <v>0</v>
      </c>
      <c r="N60" s="103">
        <f t="shared" si="16"/>
        <v>0</v>
      </c>
      <c r="O60" s="103">
        <f t="shared" si="16"/>
        <v>0</v>
      </c>
      <c r="P60" s="103" t="str">
        <f t="shared" si="16"/>
        <v/>
      </c>
      <c r="Q60" s="103" t="str">
        <f t="shared" si="16"/>
        <v/>
      </c>
      <c r="R60" s="103" t="str">
        <f t="shared" si="16"/>
        <v/>
      </c>
      <c r="S60" s="103" t="str">
        <f t="shared" si="16"/>
        <v/>
      </c>
      <c r="T60" s="103" t="str">
        <f t="shared" si="16"/>
        <v/>
      </c>
      <c r="U60" s="103" t="str">
        <f t="shared" si="16"/>
        <v/>
      </c>
      <c r="V60" s="103" t="str">
        <f t="shared" si="16"/>
        <v/>
      </c>
      <c r="W60" s="103" t="str">
        <f t="shared" si="16"/>
        <v/>
      </c>
      <c r="X60" s="103" t="str">
        <f t="shared" si="16"/>
        <v/>
      </c>
      <c r="Y60" s="103" t="str">
        <f t="shared" si="16"/>
        <v/>
      </c>
      <c r="Z60" s="103" t="str">
        <f t="shared" si="16"/>
        <v/>
      </c>
      <c r="AA60" s="103" t="str">
        <f t="shared" si="16"/>
        <v/>
      </c>
      <c r="AB60" s="103" t="str">
        <f t="shared" si="16"/>
        <v/>
      </c>
      <c r="AC60" s="192">
        <f t="shared" si="8"/>
        <v>0</v>
      </c>
      <c r="AD60" s="189">
        <v>6</v>
      </c>
    </row>
    <row r="61" spans="1:30" ht="18" customHeight="1" outlineLevel="1" x14ac:dyDescent="0.25">
      <c r="A61" s="9" t="str">
        <f t="shared" si="5"/>
        <v>C4 [g/h]</v>
      </c>
      <c r="B61" s="102"/>
      <c r="C61" s="103">
        <f t="shared" si="6"/>
        <v>2.473641472703585E-2</v>
      </c>
      <c r="D61" s="103">
        <f t="shared" ref="D61:AB61" si="17">IF(SUM(D29:D57)=0, "", (D29*$B29/(D$43*$B$43))*$F$5)</f>
        <v>9.85846390174222E-4</v>
      </c>
      <c r="E61" s="103">
        <f t="shared" si="17"/>
        <v>2.5880796165812528E-2</v>
      </c>
      <c r="F61" s="103">
        <f t="shared" si="17"/>
        <v>4.2330613965943037E-2</v>
      </c>
      <c r="G61" s="103">
        <f t="shared" si="17"/>
        <v>4.1368314037416989E-2</v>
      </c>
      <c r="H61" s="103">
        <f t="shared" si="17"/>
        <v>3.1932487695013841E-2</v>
      </c>
      <c r="I61" s="103">
        <f t="shared" si="17"/>
        <v>3.7771084292722953E-2</v>
      </c>
      <c r="J61" s="103">
        <f t="shared" si="17"/>
        <v>3.2082955889388073E-2</v>
      </c>
      <c r="K61" s="103">
        <f t="shared" si="17"/>
        <v>2.7397189235833105E-2</v>
      </c>
      <c r="L61" s="103">
        <f t="shared" si="17"/>
        <v>1.5963166235891914E-2</v>
      </c>
      <c r="M61" s="103">
        <f t="shared" si="17"/>
        <v>1.4034375037080583E-2</v>
      </c>
      <c r="N61" s="103">
        <f t="shared" si="17"/>
        <v>1.3840746239162781E-2</v>
      </c>
      <c r="O61" s="103">
        <f t="shared" si="17"/>
        <v>1.3249401539990156E-2</v>
      </c>
      <c r="P61" s="103" t="str">
        <f t="shared" si="17"/>
        <v/>
      </c>
      <c r="Q61" s="103" t="str">
        <f t="shared" si="17"/>
        <v/>
      </c>
      <c r="R61" s="103" t="str">
        <f t="shared" si="17"/>
        <v/>
      </c>
      <c r="S61" s="103" t="str">
        <f t="shared" si="17"/>
        <v/>
      </c>
      <c r="T61" s="103" t="str">
        <f t="shared" si="17"/>
        <v/>
      </c>
      <c r="U61" s="103" t="str">
        <f t="shared" si="17"/>
        <v/>
      </c>
      <c r="V61" s="103" t="str">
        <f t="shared" si="17"/>
        <v/>
      </c>
      <c r="W61" s="103" t="str">
        <f t="shared" si="17"/>
        <v/>
      </c>
      <c r="X61" s="103" t="str">
        <f t="shared" si="17"/>
        <v/>
      </c>
      <c r="Y61" s="103" t="str">
        <f t="shared" si="17"/>
        <v/>
      </c>
      <c r="Z61" s="103" t="str">
        <f t="shared" si="17"/>
        <v/>
      </c>
      <c r="AA61" s="103" t="str">
        <f t="shared" si="17"/>
        <v/>
      </c>
      <c r="AB61" s="103" t="str">
        <f t="shared" si="17"/>
        <v/>
      </c>
      <c r="AC61" s="192">
        <f t="shared" si="8"/>
        <v>2.0447975036918625E-2</v>
      </c>
      <c r="AD61" s="189">
        <v>4</v>
      </c>
    </row>
    <row r="62" spans="1:30" ht="18" customHeight="1" outlineLevel="1" x14ac:dyDescent="0.25">
      <c r="A62" s="9" t="str">
        <f t="shared" si="5"/>
        <v>C5 [g/h]</v>
      </c>
      <c r="B62" s="102"/>
      <c r="C62" s="103">
        <f t="shared" si="6"/>
        <v>1.0811583048470548E-4</v>
      </c>
      <c r="D62" s="103">
        <f t="shared" ref="D62:AB62" si="18">IF(SUM(D30:D58)=0, "", (D30*$B30/(D$43*$B$43))*$F$5)</f>
        <v>7.6982171332698674E-4</v>
      </c>
      <c r="E62" s="103">
        <f t="shared" si="18"/>
        <v>1.722371681153238E-4</v>
      </c>
      <c r="F62" s="103">
        <f t="shared" si="18"/>
        <v>0</v>
      </c>
      <c r="G62" s="103">
        <f t="shared" si="18"/>
        <v>0</v>
      </c>
      <c r="H62" s="103">
        <f t="shared" si="18"/>
        <v>0</v>
      </c>
      <c r="I62" s="103">
        <f t="shared" si="18"/>
        <v>0</v>
      </c>
      <c r="J62" s="103">
        <f t="shared" si="18"/>
        <v>0</v>
      </c>
      <c r="K62" s="103">
        <f t="shared" si="18"/>
        <v>0</v>
      </c>
      <c r="L62" s="103">
        <f t="shared" si="18"/>
        <v>1.0116043157339112E-4</v>
      </c>
      <c r="M62" s="103">
        <f t="shared" si="18"/>
        <v>1.0034828998976637E-4</v>
      </c>
      <c r="N62" s="103">
        <f t="shared" si="18"/>
        <v>8.6013454577663629E-5</v>
      </c>
      <c r="O62" s="103">
        <f t="shared" si="18"/>
        <v>6.780890823333389E-5</v>
      </c>
      <c r="P62" s="103" t="str">
        <f t="shared" si="18"/>
        <v/>
      </c>
      <c r="Q62" s="103" t="str">
        <f t="shared" si="18"/>
        <v/>
      </c>
      <c r="R62" s="103" t="str">
        <f t="shared" si="18"/>
        <v/>
      </c>
      <c r="S62" s="103" t="str">
        <f t="shared" si="18"/>
        <v/>
      </c>
      <c r="T62" s="103" t="str">
        <f t="shared" si="18"/>
        <v/>
      </c>
      <c r="U62" s="103" t="str">
        <f t="shared" si="18"/>
        <v/>
      </c>
      <c r="V62" s="103" t="str">
        <f t="shared" si="18"/>
        <v/>
      </c>
      <c r="W62" s="103" t="str">
        <f t="shared" si="18"/>
        <v/>
      </c>
      <c r="X62" s="103" t="str">
        <f t="shared" si="18"/>
        <v/>
      </c>
      <c r="Y62" s="103" t="str">
        <f t="shared" si="18"/>
        <v/>
      </c>
      <c r="Z62" s="103" t="str">
        <f t="shared" si="18"/>
        <v/>
      </c>
      <c r="AA62" s="103" t="str">
        <f t="shared" si="18"/>
        <v/>
      </c>
      <c r="AB62" s="103" t="str">
        <f t="shared" si="18"/>
        <v/>
      </c>
      <c r="AC62" s="192">
        <f t="shared" si="8"/>
        <v>8.9991631320290871E-5</v>
      </c>
      <c r="AD62" s="189">
        <v>5</v>
      </c>
    </row>
    <row r="63" spans="1:30" ht="18" customHeight="1" outlineLevel="1" x14ac:dyDescent="0.25">
      <c r="A63" s="9" t="str">
        <f t="shared" si="5"/>
        <v>C6 [g/h]</v>
      </c>
      <c r="B63" s="102"/>
      <c r="C63" s="103">
        <f t="shared" si="6"/>
        <v>2.7989717410407477E-5</v>
      </c>
      <c r="D63" s="103">
        <f t="shared" ref="D63:AB63" si="19">IF(SUM(D31:D59)=0, "", (D31*$B31/(D$43*$B$43))*$F$5)</f>
        <v>2.1383830372190226E-5</v>
      </c>
      <c r="E63" s="103">
        <f t="shared" si="19"/>
        <v>9.887684903462961E-5</v>
      </c>
      <c r="F63" s="103">
        <f t="shared" si="19"/>
        <v>2.7670189362706845E-5</v>
      </c>
      <c r="G63" s="103">
        <f t="shared" si="19"/>
        <v>0</v>
      </c>
      <c r="H63" s="103">
        <f t="shared" si="19"/>
        <v>0</v>
      </c>
      <c r="I63" s="103">
        <f t="shared" si="19"/>
        <v>1.8794574015536302E-4</v>
      </c>
      <c r="J63" s="103">
        <f t="shared" si="19"/>
        <v>0</v>
      </c>
      <c r="K63" s="103">
        <f t="shared" si="19"/>
        <v>0</v>
      </c>
      <c r="L63" s="103">
        <f t="shared" si="19"/>
        <v>0</v>
      </c>
      <c r="M63" s="103">
        <f t="shared" si="19"/>
        <v>0</v>
      </c>
      <c r="N63" s="103">
        <f t="shared" si="19"/>
        <v>0</v>
      </c>
      <c r="O63" s="103">
        <f t="shared" si="19"/>
        <v>0</v>
      </c>
      <c r="P63" s="103" t="str">
        <f t="shared" si="19"/>
        <v/>
      </c>
      <c r="Q63" s="103" t="str">
        <f t="shared" si="19"/>
        <v/>
      </c>
      <c r="R63" s="103" t="str">
        <f t="shared" si="19"/>
        <v/>
      </c>
      <c r="S63" s="103" t="str">
        <f t="shared" si="19"/>
        <v/>
      </c>
      <c r="T63" s="103" t="str">
        <f t="shared" si="19"/>
        <v/>
      </c>
      <c r="U63" s="103" t="str">
        <f t="shared" si="19"/>
        <v/>
      </c>
      <c r="V63" s="103" t="str">
        <f t="shared" si="19"/>
        <v/>
      </c>
      <c r="W63" s="103" t="str">
        <f t="shared" si="19"/>
        <v/>
      </c>
      <c r="X63" s="103" t="str">
        <f t="shared" si="19"/>
        <v/>
      </c>
      <c r="Y63" s="103" t="str">
        <f t="shared" si="19"/>
        <v/>
      </c>
      <c r="Z63" s="103" t="str">
        <f t="shared" si="19"/>
        <v/>
      </c>
      <c r="AA63" s="103" t="str">
        <f t="shared" si="19"/>
        <v/>
      </c>
      <c r="AB63" s="103" t="str">
        <f t="shared" si="19"/>
        <v/>
      </c>
      <c r="AC63" s="192">
        <f t="shared" si="8"/>
        <v>2.3405743500793982E-5</v>
      </c>
      <c r="AD63" s="189">
        <v>6</v>
      </c>
    </row>
    <row r="64" spans="1:30" ht="18" customHeight="1" outlineLevel="1" x14ac:dyDescent="0.25">
      <c r="A64" s="9" t="str">
        <f t="shared" si="5"/>
        <v>C6 Above [g/h]</v>
      </c>
      <c r="B64" s="102"/>
      <c r="C64" s="103">
        <f t="shared" si="6"/>
        <v>7.1681445129280303E-3</v>
      </c>
      <c r="D64" s="103">
        <f t="shared" ref="D64:AB64" si="20">IF(SUM(D32:D60)=0, "", (D32*$B32/(D$43*$B$43))*$F$5)</f>
        <v>9.9977865446841153E-4</v>
      </c>
      <c r="E64" s="103">
        <f t="shared" si="20"/>
        <v>7.9644158443064657E-3</v>
      </c>
      <c r="F64" s="103">
        <f t="shared" si="20"/>
        <v>1.0616962226909051E-2</v>
      </c>
      <c r="G64" s="103">
        <f t="shared" si="20"/>
        <v>9.7935097015908936E-3</v>
      </c>
      <c r="H64" s="103">
        <f t="shared" si="20"/>
        <v>8.4001000929603484E-3</v>
      </c>
      <c r="I64" s="103">
        <f t="shared" si="20"/>
        <v>2.3653881543732224E-2</v>
      </c>
      <c r="J64" s="103">
        <f t="shared" si="20"/>
        <v>1.245565783931867E-2</v>
      </c>
      <c r="K64" s="103">
        <f t="shared" si="20"/>
        <v>4.3216854040368843E-3</v>
      </c>
      <c r="L64" s="103">
        <f t="shared" si="20"/>
        <v>2.3284665795314068E-3</v>
      </c>
      <c r="M64" s="103">
        <f t="shared" si="20"/>
        <v>1.8905152652646615E-3</v>
      </c>
      <c r="N64" s="103">
        <f t="shared" si="20"/>
        <v>1.8545739925273745E-3</v>
      </c>
      <c r="O64" s="103">
        <f t="shared" si="20"/>
        <v>1.7381870104899717E-3</v>
      </c>
      <c r="P64" s="103" t="str">
        <f t="shared" si="20"/>
        <v/>
      </c>
      <c r="Q64" s="103" t="str">
        <f t="shared" si="20"/>
        <v/>
      </c>
      <c r="R64" s="103" t="str">
        <f t="shared" si="20"/>
        <v/>
      </c>
      <c r="S64" s="103" t="str">
        <f t="shared" si="20"/>
        <v/>
      </c>
      <c r="T64" s="103" t="str">
        <f t="shared" si="20"/>
        <v/>
      </c>
      <c r="U64" s="103" t="str">
        <f t="shared" si="20"/>
        <v/>
      </c>
      <c r="V64" s="103" t="str">
        <f t="shared" si="20"/>
        <v/>
      </c>
      <c r="W64" s="103" t="str">
        <f t="shared" si="20"/>
        <v/>
      </c>
      <c r="X64" s="103" t="str">
        <f t="shared" si="20"/>
        <v/>
      </c>
      <c r="Y64" s="103" t="str">
        <f t="shared" si="20"/>
        <v/>
      </c>
      <c r="Z64" s="103" t="str">
        <f t="shared" si="20"/>
        <v/>
      </c>
      <c r="AA64" s="103" t="str">
        <f t="shared" si="20"/>
        <v/>
      </c>
      <c r="AB64" s="103" t="str">
        <f t="shared" si="20"/>
        <v/>
      </c>
      <c r="AC64" s="192">
        <f t="shared" si="8"/>
        <v>5.1549695885507582E-3</v>
      </c>
      <c r="AD64" s="189">
        <v>6</v>
      </c>
    </row>
    <row r="65" spans="1:30" ht="18" customHeight="1" outlineLevel="1" x14ac:dyDescent="0.25">
      <c r="A65" s="9" t="str">
        <f t="shared" si="5"/>
        <v>Benzene [g/h]</v>
      </c>
      <c r="B65" s="102"/>
      <c r="C65" s="103">
        <f t="shared" si="6"/>
        <v>0</v>
      </c>
      <c r="D65" s="103">
        <f t="shared" ref="D65:AB65" si="21">IF(SUM(D33:D61)=0, "", (D33*$B33/(D$43*$B$43))*$F$5)</f>
        <v>0</v>
      </c>
      <c r="E65" s="103">
        <f t="shared" si="21"/>
        <v>0</v>
      </c>
      <c r="F65" s="103">
        <f t="shared" si="21"/>
        <v>0</v>
      </c>
      <c r="G65" s="103">
        <f t="shared" si="21"/>
        <v>0</v>
      </c>
      <c r="H65" s="103">
        <f t="shared" si="21"/>
        <v>0</v>
      </c>
      <c r="I65" s="103">
        <f t="shared" si="21"/>
        <v>0</v>
      </c>
      <c r="J65" s="103">
        <f t="shared" si="21"/>
        <v>0</v>
      </c>
      <c r="K65" s="103">
        <f t="shared" si="21"/>
        <v>0</v>
      </c>
      <c r="L65" s="103">
        <f t="shared" si="21"/>
        <v>0</v>
      </c>
      <c r="M65" s="103">
        <f t="shared" si="21"/>
        <v>0</v>
      </c>
      <c r="N65" s="103">
        <f t="shared" si="21"/>
        <v>0</v>
      </c>
      <c r="O65" s="103">
        <f t="shared" si="21"/>
        <v>0</v>
      </c>
      <c r="P65" s="103" t="str">
        <f t="shared" si="21"/>
        <v/>
      </c>
      <c r="Q65" s="103" t="str">
        <f t="shared" si="21"/>
        <v/>
      </c>
      <c r="R65" s="103" t="str">
        <f t="shared" si="21"/>
        <v/>
      </c>
      <c r="S65" s="103" t="str">
        <f t="shared" si="21"/>
        <v/>
      </c>
      <c r="T65" s="103" t="str">
        <f t="shared" si="21"/>
        <v/>
      </c>
      <c r="U65" s="103" t="str">
        <f t="shared" si="21"/>
        <v/>
      </c>
      <c r="V65" s="103" t="str">
        <f t="shared" si="21"/>
        <v/>
      </c>
      <c r="W65" s="103" t="str">
        <f t="shared" si="21"/>
        <v/>
      </c>
      <c r="X65" s="103" t="str">
        <f t="shared" si="21"/>
        <v/>
      </c>
      <c r="Y65" s="103" t="str">
        <f t="shared" si="21"/>
        <v/>
      </c>
      <c r="Z65" s="103" t="str">
        <f t="shared" si="21"/>
        <v/>
      </c>
      <c r="AA65" s="103" t="str">
        <f t="shared" si="21"/>
        <v/>
      </c>
      <c r="AB65" s="103" t="str">
        <f t="shared" si="21"/>
        <v/>
      </c>
      <c r="AC65" s="192">
        <f t="shared" si="8"/>
        <v>0</v>
      </c>
      <c r="AD65" s="189">
        <v>6</v>
      </c>
    </row>
    <row r="66" spans="1:30" ht="18" customHeight="1" outlineLevel="1" x14ac:dyDescent="0.25">
      <c r="A66" s="9" t="str">
        <f t="shared" si="5"/>
        <v>Toluene [g/h]</v>
      </c>
      <c r="B66" s="102"/>
      <c r="C66" s="103">
        <f t="shared" si="6"/>
        <v>0</v>
      </c>
      <c r="D66" s="103">
        <f t="shared" ref="D66:AB66" si="22">IF(SUM(D34:D62)=0, "", (D34*$B34/(D$43*$B$43))*$F$5)</f>
        <v>0</v>
      </c>
      <c r="E66" s="103">
        <f t="shared" si="22"/>
        <v>0</v>
      </c>
      <c r="F66" s="103">
        <f t="shared" si="22"/>
        <v>0</v>
      </c>
      <c r="G66" s="103">
        <f t="shared" si="22"/>
        <v>0</v>
      </c>
      <c r="H66" s="103">
        <f t="shared" si="22"/>
        <v>0</v>
      </c>
      <c r="I66" s="103">
        <f t="shared" si="22"/>
        <v>0</v>
      </c>
      <c r="J66" s="103">
        <f t="shared" si="22"/>
        <v>0</v>
      </c>
      <c r="K66" s="103">
        <f t="shared" si="22"/>
        <v>0</v>
      </c>
      <c r="L66" s="103">
        <f t="shared" si="22"/>
        <v>0</v>
      </c>
      <c r="M66" s="103">
        <f t="shared" si="22"/>
        <v>0</v>
      </c>
      <c r="N66" s="103">
        <f t="shared" si="22"/>
        <v>0</v>
      </c>
      <c r="O66" s="103">
        <f t="shared" si="22"/>
        <v>0</v>
      </c>
      <c r="P66" s="103" t="str">
        <f t="shared" si="22"/>
        <v/>
      </c>
      <c r="Q66" s="103" t="str">
        <f t="shared" si="22"/>
        <v/>
      </c>
      <c r="R66" s="103" t="str">
        <f t="shared" si="22"/>
        <v/>
      </c>
      <c r="S66" s="103" t="str">
        <f t="shared" si="22"/>
        <v/>
      </c>
      <c r="T66" s="103" t="str">
        <f t="shared" si="22"/>
        <v/>
      </c>
      <c r="U66" s="103" t="str">
        <f t="shared" si="22"/>
        <v/>
      </c>
      <c r="V66" s="103" t="str">
        <f t="shared" si="22"/>
        <v/>
      </c>
      <c r="W66" s="103" t="str">
        <f t="shared" si="22"/>
        <v/>
      </c>
      <c r="X66" s="103" t="str">
        <f t="shared" si="22"/>
        <v/>
      </c>
      <c r="Y66" s="103" t="str">
        <f t="shared" si="22"/>
        <v/>
      </c>
      <c r="Z66" s="103" t="str">
        <f t="shared" si="22"/>
        <v/>
      </c>
      <c r="AA66" s="103" t="str">
        <f t="shared" si="22"/>
        <v/>
      </c>
      <c r="AB66" s="103" t="str">
        <f t="shared" si="22"/>
        <v/>
      </c>
      <c r="AC66" s="192">
        <f t="shared" si="8"/>
        <v>0</v>
      </c>
      <c r="AD66" s="189">
        <v>7</v>
      </c>
    </row>
    <row r="67" spans="1:30" ht="18" customHeight="1" outlineLevel="1" x14ac:dyDescent="0.25">
      <c r="A67" s="9" t="str">
        <f t="shared" si="5"/>
        <v>Ethylbenzene [g/h]</v>
      </c>
      <c r="B67" s="102"/>
      <c r="C67" s="103">
        <f t="shared" si="6"/>
        <v>0</v>
      </c>
      <c r="D67" s="103">
        <f t="shared" ref="D67:AB67" si="23">IF(SUM(D35:D63)=0, "", (D35*$B35/(D$43*$B$43))*$F$5)</f>
        <v>0</v>
      </c>
      <c r="E67" s="103">
        <f t="shared" si="23"/>
        <v>0</v>
      </c>
      <c r="F67" s="103">
        <f t="shared" si="23"/>
        <v>0</v>
      </c>
      <c r="G67" s="103">
        <f t="shared" si="23"/>
        <v>0</v>
      </c>
      <c r="H67" s="103">
        <f t="shared" si="23"/>
        <v>0</v>
      </c>
      <c r="I67" s="103">
        <f t="shared" si="23"/>
        <v>0</v>
      </c>
      <c r="J67" s="103">
        <f t="shared" si="23"/>
        <v>0</v>
      </c>
      <c r="K67" s="103">
        <f t="shared" si="23"/>
        <v>0</v>
      </c>
      <c r="L67" s="103">
        <f t="shared" si="23"/>
        <v>0</v>
      </c>
      <c r="M67" s="103">
        <f t="shared" si="23"/>
        <v>0</v>
      </c>
      <c r="N67" s="103">
        <f t="shared" si="23"/>
        <v>0</v>
      </c>
      <c r="O67" s="103">
        <f t="shared" si="23"/>
        <v>0</v>
      </c>
      <c r="P67" s="103" t="str">
        <f t="shared" si="23"/>
        <v/>
      </c>
      <c r="Q67" s="103" t="str">
        <f t="shared" si="23"/>
        <v/>
      </c>
      <c r="R67" s="103" t="str">
        <f t="shared" si="23"/>
        <v/>
      </c>
      <c r="S67" s="103" t="str">
        <f t="shared" si="23"/>
        <v/>
      </c>
      <c r="T67" s="103" t="str">
        <f t="shared" si="23"/>
        <v/>
      </c>
      <c r="U67" s="103" t="str">
        <f t="shared" si="23"/>
        <v/>
      </c>
      <c r="V67" s="103" t="str">
        <f t="shared" si="23"/>
        <v/>
      </c>
      <c r="W67" s="103" t="str">
        <f t="shared" si="23"/>
        <v/>
      </c>
      <c r="X67" s="103" t="str">
        <f t="shared" si="23"/>
        <v/>
      </c>
      <c r="Y67" s="103" t="str">
        <f t="shared" si="23"/>
        <v/>
      </c>
      <c r="Z67" s="103" t="str">
        <f t="shared" si="23"/>
        <v/>
      </c>
      <c r="AA67" s="103" t="str">
        <f t="shared" si="23"/>
        <v/>
      </c>
      <c r="AB67" s="103" t="str">
        <f t="shared" si="23"/>
        <v/>
      </c>
      <c r="AC67" s="192">
        <f t="shared" si="8"/>
        <v>0</v>
      </c>
      <c r="AD67" s="189">
        <v>8</v>
      </c>
    </row>
    <row r="68" spans="1:30" ht="18" customHeight="1" outlineLevel="1" x14ac:dyDescent="0.25">
      <c r="A68" s="9" t="str">
        <f t="shared" si="5"/>
        <v>p-Xylene [g/h]</v>
      </c>
      <c r="B68" s="102"/>
      <c r="C68" s="103">
        <f t="shared" si="6"/>
        <v>8.6271446615362831E-5</v>
      </c>
      <c r="D68" s="103">
        <f t="shared" ref="D68:AB68" si="24">IF(SUM(D36:D64)=0, "", (D36*$B36/(D$43*$B$43))*$F$5)</f>
        <v>5.2071282876649976E-4</v>
      </c>
      <c r="E68" s="103">
        <f t="shared" si="24"/>
        <v>0</v>
      </c>
      <c r="F68" s="103">
        <f t="shared" si="24"/>
        <v>0</v>
      </c>
      <c r="G68" s="103">
        <f t="shared" si="24"/>
        <v>0</v>
      </c>
      <c r="H68" s="103">
        <f t="shared" si="24"/>
        <v>0</v>
      </c>
      <c r="I68" s="103">
        <f t="shared" si="24"/>
        <v>0</v>
      </c>
      <c r="J68" s="103">
        <f t="shared" si="24"/>
        <v>0</v>
      </c>
      <c r="K68" s="103">
        <f t="shared" si="24"/>
        <v>0</v>
      </c>
      <c r="L68" s="103">
        <f t="shared" si="24"/>
        <v>1.343650897990039E-4</v>
      </c>
      <c r="M68" s="103">
        <f t="shared" si="24"/>
        <v>1.375062043129695E-4</v>
      </c>
      <c r="N68" s="103">
        <f t="shared" si="24"/>
        <v>1.2956655804203203E-4</v>
      </c>
      <c r="O68" s="103">
        <f t="shared" si="24"/>
        <v>1.1310667846384885E-4</v>
      </c>
      <c r="P68" s="103" t="str">
        <f t="shared" si="24"/>
        <v/>
      </c>
      <c r="Q68" s="103" t="str">
        <f t="shared" si="24"/>
        <v/>
      </c>
      <c r="R68" s="103" t="str">
        <f t="shared" si="24"/>
        <v/>
      </c>
      <c r="S68" s="103" t="str">
        <f t="shared" si="24"/>
        <v/>
      </c>
      <c r="T68" s="103" t="str">
        <f t="shared" si="24"/>
        <v/>
      </c>
      <c r="U68" s="103" t="str">
        <f t="shared" si="24"/>
        <v/>
      </c>
      <c r="V68" s="103" t="str">
        <f t="shared" si="24"/>
        <v/>
      </c>
      <c r="W68" s="103" t="str">
        <f t="shared" si="24"/>
        <v/>
      </c>
      <c r="X68" s="103" t="str">
        <f t="shared" si="24"/>
        <v/>
      </c>
      <c r="Y68" s="103" t="str">
        <f t="shared" si="24"/>
        <v/>
      </c>
      <c r="Z68" s="103" t="str">
        <f t="shared" si="24"/>
        <v/>
      </c>
      <c r="AA68" s="103" t="str">
        <f t="shared" si="24"/>
        <v/>
      </c>
      <c r="AB68" s="103" t="str">
        <f t="shared" si="24"/>
        <v/>
      </c>
      <c r="AC68" s="192">
        <f t="shared" si="8"/>
        <v>7.808123769511225E-5</v>
      </c>
      <c r="AD68" s="189">
        <v>8</v>
      </c>
    </row>
    <row r="69" spans="1:30" ht="18" customHeight="1" outlineLevel="1" x14ac:dyDescent="0.25">
      <c r="A69" s="9" t="str">
        <f t="shared" si="5"/>
        <v>m-Xylene [g/h]</v>
      </c>
      <c r="B69" s="102"/>
      <c r="C69" s="103">
        <f t="shared" si="6"/>
        <v>5.3523152005399515E-4</v>
      </c>
      <c r="D69" s="103">
        <f t="shared" ref="D69:AB69" si="25">IF(SUM(D37:D65)=0, "", (D37*$B37/(D$43*$B$43))*$F$5)</f>
        <v>3.0047296513567671E-4</v>
      </c>
      <c r="E69" s="103">
        <f t="shared" si="25"/>
        <v>9.0643825138436685E-4</v>
      </c>
      <c r="F69" s="103">
        <f t="shared" si="25"/>
        <v>4.772250396494195E-4</v>
      </c>
      <c r="G69" s="103">
        <f t="shared" si="25"/>
        <v>3.921342988462529E-4</v>
      </c>
      <c r="H69" s="103">
        <f t="shared" si="25"/>
        <v>4.6545799776334613E-4</v>
      </c>
      <c r="I69" s="103">
        <f t="shared" si="25"/>
        <v>1.7504108288783861E-3</v>
      </c>
      <c r="J69" s="103">
        <f t="shared" si="25"/>
        <v>8.8222436619460147E-4</v>
      </c>
      <c r="K69" s="103">
        <f t="shared" si="25"/>
        <v>3.9184654769012952E-4</v>
      </c>
      <c r="L69" s="103">
        <f t="shared" si="25"/>
        <v>2.4718235620838205E-4</v>
      </c>
      <c r="M69" s="103">
        <f t="shared" si="25"/>
        <v>2.0557314776529774E-4</v>
      </c>
      <c r="N69" s="103">
        <f t="shared" si="25"/>
        <v>2.0227690496013435E-4</v>
      </c>
      <c r="O69" s="103">
        <f t="shared" si="25"/>
        <v>2.0153553617194885E-4</v>
      </c>
      <c r="P69" s="103" t="str">
        <f t="shared" si="25"/>
        <v/>
      </c>
      <c r="Q69" s="103" t="str">
        <f t="shared" si="25"/>
        <v/>
      </c>
      <c r="R69" s="103" t="str">
        <f t="shared" si="25"/>
        <v/>
      </c>
      <c r="S69" s="103" t="str">
        <f t="shared" si="25"/>
        <v/>
      </c>
      <c r="T69" s="103" t="str">
        <f t="shared" si="25"/>
        <v/>
      </c>
      <c r="U69" s="103" t="str">
        <f t="shared" si="25"/>
        <v/>
      </c>
      <c r="V69" s="103" t="str">
        <f t="shared" si="25"/>
        <v/>
      </c>
      <c r="W69" s="103" t="str">
        <f t="shared" si="25"/>
        <v/>
      </c>
      <c r="X69" s="103" t="str">
        <f t="shared" si="25"/>
        <v/>
      </c>
      <c r="Y69" s="103" t="str">
        <f t="shared" si="25"/>
        <v/>
      </c>
      <c r="Z69" s="103" t="str">
        <f t="shared" si="25"/>
        <v/>
      </c>
      <c r="AA69" s="103" t="str">
        <f t="shared" si="25"/>
        <v/>
      </c>
      <c r="AB69" s="103" t="str">
        <f t="shared" si="25"/>
        <v/>
      </c>
      <c r="AC69" s="192">
        <f t="shared" si="8"/>
        <v>4.8441913493786469E-4</v>
      </c>
      <c r="AD69" s="189">
        <v>8</v>
      </c>
    </row>
    <row r="70" spans="1:30" ht="18" customHeight="1" outlineLevel="1" x14ac:dyDescent="0.25">
      <c r="A70" s="9" t="str">
        <f t="shared" si="5"/>
        <v>o-Xylene [g/h]</v>
      </c>
      <c r="B70" s="102"/>
      <c r="C70" s="103">
        <f t="shared" si="6"/>
        <v>0</v>
      </c>
      <c r="D70" s="103">
        <f t="shared" ref="D70:AB70" si="26">IF(SUM(D38:D66)=0, "", (D38*$B38/(D$43*$B$43))*$F$5)</f>
        <v>0</v>
      </c>
      <c r="E70" s="103">
        <f t="shared" si="26"/>
        <v>0</v>
      </c>
      <c r="F70" s="103">
        <f t="shared" si="26"/>
        <v>0</v>
      </c>
      <c r="G70" s="103">
        <f t="shared" si="26"/>
        <v>0</v>
      </c>
      <c r="H70" s="103">
        <f t="shared" si="26"/>
        <v>0</v>
      </c>
      <c r="I70" s="103">
        <f t="shared" si="26"/>
        <v>0</v>
      </c>
      <c r="J70" s="103">
        <f t="shared" si="26"/>
        <v>0</v>
      </c>
      <c r="K70" s="103">
        <f t="shared" si="26"/>
        <v>0</v>
      </c>
      <c r="L70" s="103">
        <f t="shared" si="26"/>
        <v>0</v>
      </c>
      <c r="M70" s="103">
        <f t="shared" si="26"/>
        <v>0</v>
      </c>
      <c r="N70" s="103">
        <f t="shared" si="26"/>
        <v>0</v>
      </c>
      <c r="O70" s="103">
        <f t="shared" si="26"/>
        <v>0</v>
      </c>
      <c r="P70" s="103" t="str">
        <f t="shared" si="26"/>
        <v/>
      </c>
      <c r="Q70" s="103" t="str">
        <f t="shared" si="26"/>
        <v/>
      </c>
      <c r="R70" s="103" t="str">
        <f t="shared" si="26"/>
        <v/>
      </c>
      <c r="S70" s="103" t="str">
        <f t="shared" si="26"/>
        <v/>
      </c>
      <c r="T70" s="103" t="str">
        <f t="shared" si="26"/>
        <v/>
      </c>
      <c r="U70" s="103" t="str">
        <f t="shared" si="26"/>
        <v/>
      </c>
      <c r="V70" s="103" t="str">
        <f t="shared" si="26"/>
        <v/>
      </c>
      <c r="W70" s="103" t="str">
        <f t="shared" si="26"/>
        <v/>
      </c>
      <c r="X70" s="103" t="str">
        <f t="shared" si="26"/>
        <v/>
      </c>
      <c r="Y70" s="103" t="str">
        <f t="shared" si="26"/>
        <v/>
      </c>
      <c r="Z70" s="103" t="str">
        <f t="shared" si="26"/>
        <v/>
      </c>
      <c r="AA70" s="103" t="str">
        <f t="shared" si="26"/>
        <v/>
      </c>
      <c r="AB70" s="103" t="str">
        <f t="shared" si="26"/>
        <v/>
      </c>
      <c r="AC70" s="192">
        <f t="shared" si="8"/>
        <v>0</v>
      </c>
      <c r="AD70" s="189">
        <v>8</v>
      </c>
    </row>
    <row r="71" spans="1:30" ht="18" customHeight="1" outlineLevel="1" x14ac:dyDescent="0.25">
      <c r="A71" s="9" t="str">
        <f t="shared" si="5"/>
        <v>C6 Unknowns [g/h]</v>
      </c>
      <c r="B71" s="102"/>
      <c r="C71" s="103">
        <f t="shared" si="6"/>
        <v>3.6679012752511175E-2</v>
      </c>
      <c r="D71" s="103">
        <f t="shared" ref="D71:AB71" si="27">IF(SUM(D39:D67)=0, "", (D39*$B39/(D$43*$B$43))*$F$5)</f>
        <v>1.4618073280319075E-3</v>
      </c>
      <c r="E71" s="103">
        <f t="shared" si="27"/>
        <v>3.8375894934097106E-2</v>
      </c>
      <c r="F71" s="103">
        <f t="shared" si="27"/>
        <v>6.2767589669390417E-2</v>
      </c>
      <c r="G71" s="103">
        <f t="shared" si="27"/>
        <v>6.1340696898564973E-2</v>
      </c>
      <c r="H71" s="103">
        <f t="shared" si="27"/>
        <v>4.7349308147905937E-2</v>
      </c>
      <c r="I71" s="103">
        <f t="shared" si="27"/>
        <v>5.6006745429230301E-2</v>
      </c>
      <c r="J71" s="103">
        <f t="shared" si="27"/>
        <v>4.7572421516645987E-2</v>
      </c>
      <c r="K71" s="103">
        <f t="shared" si="27"/>
        <v>4.062439381183925E-2</v>
      </c>
      <c r="L71" s="103">
        <f t="shared" si="27"/>
        <v>2.3670090609242352E-2</v>
      </c>
      <c r="M71" s="103">
        <f t="shared" si="27"/>
        <v>2.081009017026161E-2</v>
      </c>
      <c r="N71" s="103">
        <f t="shared" si="27"/>
        <v>2.0522978508104764E-2</v>
      </c>
      <c r="O71" s="103">
        <f t="shared" si="27"/>
        <v>1.9646136006819543E-2</v>
      </c>
      <c r="P71" s="103" t="str">
        <f t="shared" si="27"/>
        <v/>
      </c>
      <c r="Q71" s="103" t="str">
        <f t="shared" si="27"/>
        <v/>
      </c>
      <c r="R71" s="103" t="str">
        <f t="shared" si="27"/>
        <v/>
      </c>
      <c r="S71" s="103" t="str">
        <f t="shared" si="27"/>
        <v/>
      </c>
      <c r="T71" s="103" t="str">
        <f t="shared" si="27"/>
        <v/>
      </c>
      <c r="U71" s="103" t="str">
        <f t="shared" si="27"/>
        <v/>
      </c>
      <c r="V71" s="103" t="str">
        <f t="shared" si="27"/>
        <v/>
      </c>
      <c r="W71" s="103" t="str">
        <f t="shared" si="27"/>
        <v/>
      </c>
      <c r="X71" s="103" t="str">
        <f t="shared" si="27"/>
        <v/>
      </c>
      <c r="Y71" s="103" t="str">
        <f t="shared" si="27"/>
        <v/>
      </c>
      <c r="Z71" s="103" t="str">
        <f t="shared" si="27"/>
        <v/>
      </c>
      <c r="AA71" s="103" t="str">
        <f t="shared" si="27"/>
        <v/>
      </c>
      <c r="AB71" s="103" t="str">
        <f t="shared" si="27"/>
        <v/>
      </c>
      <c r="AC71" s="192">
        <f t="shared" si="8"/>
        <v>3.0671962555377935E-2</v>
      </c>
      <c r="AD71" s="189">
        <v>6</v>
      </c>
    </row>
    <row r="72" spans="1:30" ht="18" customHeight="1" outlineLevel="1" x14ac:dyDescent="0.25">
      <c r="A72" s="9" t="str">
        <f t="shared" si="5"/>
        <v>C8 Unknowns [g/h]</v>
      </c>
      <c r="B72" s="102"/>
      <c r="C72" s="103">
        <f t="shared" si="6"/>
        <v>1.7117695319046058E-4</v>
      </c>
      <c r="D72" s="103">
        <f t="shared" ref="D72:AB72" si="28">IF(SUM(D40:D68)=0, "", (D40*$B40/(D$43*$B$43))*$F$5)</f>
        <v>1.2187865231707757E-3</v>
      </c>
      <c r="E72" s="103">
        <f t="shared" si="28"/>
        <v>2.7267885516774174E-4</v>
      </c>
      <c r="F72" s="103">
        <f t="shared" si="28"/>
        <v>0</v>
      </c>
      <c r="G72" s="103">
        <f t="shared" si="28"/>
        <v>0</v>
      </c>
      <c r="H72" s="103">
        <f t="shared" si="28"/>
        <v>0</v>
      </c>
      <c r="I72" s="103">
        <f t="shared" si="28"/>
        <v>0</v>
      </c>
      <c r="J72" s="103">
        <f t="shared" si="28"/>
        <v>0</v>
      </c>
      <c r="K72" s="103">
        <f t="shared" si="28"/>
        <v>0</v>
      </c>
      <c r="L72" s="103">
        <f t="shared" si="28"/>
        <v>1.6022272891840999E-4</v>
      </c>
      <c r="M72" s="103">
        <f t="shared" si="28"/>
        <v>1.5887569930912956E-4</v>
      </c>
      <c r="N72" s="103">
        <f t="shared" si="28"/>
        <v>1.361714940334315E-4</v>
      </c>
      <c r="O72" s="103">
        <f t="shared" si="28"/>
        <v>1.0738813768603816E-4</v>
      </c>
      <c r="P72" s="103" t="str">
        <f t="shared" si="28"/>
        <v/>
      </c>
      <c r="Q72" s="103" t="str">
        <f t="shared" si="28"/>
        <v/>
      </c>
      <c r="R72" s="103" t="str">
        <f t="shared" si="28"/>
        <v/>
      </c>
      <c r="S72" s="103" t="str">
        <f t="shared" si="28"/>
        <v/>
      </c>
      <c r="T72" s="103" t="str">
        <f t="shared" si="28"/>
        <v/>
      </c>
      <c r="U72" s="103" t="str">
        <f t="shared" si="28"/>
        <v/>
      </c>
      <c r="V72" s="103" t="str">
        <f t="shared" si="28"/>
        <v/>
      </c>
      <c r="W72" s="103" t="str">
        <f t="shared" si="28"/>
        <v/>
      </c>
      <c r="X72" s="103" t="str">
        <f t="shared" si="28"/>
        <v/>
      </c>
      <c r="Y72" s="103" t="str">
        <f t="shared" si="28"/>
        <v/>
      </c>
      <c r="Z72" s="103" t="str">
        <f t="shared" si="28"/>
        <v/>
      </c>
      <c r="AA72" s="103" t="str">
        <f t="shared" si="28"/>
        <v/>
      </c>
      <c r="AB72" s="103" t="str">
        <f t="shared" si="28"/>
        <v/>
      </c>
      <c r="AC72" s="192">
        <f t="shared" si="8"/>
        <v>1.4399064237209991E-4</v>
      </c>
      <c r="AD72" s="189">
        <v>8</v>
      </c>
    </row>
    <row r="73" spans="1:30" ht="18" customHeight="1" outlineLevel="1" x14ac:dyDescent="0.25">
      <c r="A73" s="9" t="str">
        <f t="shared" si="5"/>
        <v>C7 Unknowns [g/h]</v>
      </c>
      <c r="B73" s="102"/>
      <c r="C73" s="103">
        <f t="shared" si="6"/>
        <v>0</v>
      </c>
      <c r="D73" s="103">
        <f t="shared" ref="D73:AB73" si="29">IF(SUM(D41:D69)=0, "", (D41*$B41/(D$43*$B$43))*$F$5)</f>
        <v>0</v>
      </c>
      <c r="E73" s="103">
        <f t="shared" si="29"/>
        <v>0</v>
      </c>
      <c r="F73" s="103">
        <f t="shared" si="29"/>
        <v>0</v>
      </c>
      <c r="G73" s="103">
        <f t="shared" si="29"/>
        <v>0</v>
      </c>
      <c r="H73" s="103">
        <f t="shared" si="29"/>
        <v>0</v>
      </c>
      <c r="I73" s="103">
        <f t="shared" si="29"/>
        <v>0</v>
      </c>
      <c r="J73" s="103">
        <f t="shared" si="29"/>
        <v>0</v>
      </c>
      <c r="K73" s="103">
        <f t="shared" si="29"/>
        <v>0</v>
      </c>
      <c r="L73" s="103">
        <f t="shared" si="29"/>
        <v>0</v>
      </c>
      <c r="M73" s="103">
        <f t="shared" si="29"/>
        <v>0</v>
      </c>
      <c r="N73" s="103">
        <f t="shared" si="29"/>
        <v>0</v>
      </c>
      <c r="O73" s="103">
        <f t="shared" si="29"/>
        <v>0</v>
      </c>
      <c r="P73" s="103" t="str">
        <f t="shared" si="29"/>
        <v/>
      </c>
      <c r="Q73" s="103" t="str">
        <f t="shared" si="29"/>
        <v/>
      </c>
      <c r="R73" s="103" t="str">
        <f t="shared" si="29"/>
        <v/>
      </c>
      <c r="S73" s="103" t="str">
        <f t="shared" si="29"/>
        <v/>
      </c>
      <c r="T73" s="103" t="str">
        <f t="shared" si="29"/>
        <v/>
      </c>
      <c r="U73" s="103" t="str">
        <f t="shared" si="29"/>
        <v/>
      </c>
      <c r="V73" s="103" t="str">
        <f t="shared" si="29"/>
        <v/>
      </c>
      <c r="W73" s="103" t="str">
        <f t="shared" si="29"/>
        <v/>
      </c>
      <c r="X73" s="103" t="str">
        <f t="shared" si="29"/>
        <v/>
      </c>
      <c r="Y73" s="103" t="str">
        <f t="shared" si="29"/>
        <v/>
      </c>
      <c r="Z73" s="103" t="str">
        <f t="shared" si="29"/>
        <v/>
      </c>
      <c r="AA73" s="103" t="str">
        <f t="shared" si="29"/>
        <v/>
      </c>
      <c r="AB73" s="103" t="str">
        <f t="shared" si="29"/>
        <v/>
      </c>
      <c r="AC73" s="192">
        <f t="shared" si="8"/>
        <v>0</v>
      </c>
      <c r="AD73" s="189">
        <v>7</v>
      </c>
    </row>
    <row r="74" spans="1:30" ht="18" customHeight="1" outlineLevel="1" x14ac:dyDescent="0.25">
      <c r="A74" s="9" t="str">
        <f t="shared" si="5"/>
        <v>CO2 [g/h]</v>
      </c>
      <c r="B74" s="102"/>
      <c r="C74" s="103">
        <f t="shared" si="6"/>
        <v>0</v>
      </c>
      <c r="D74" s="103">
        <f t="shared" ref="D74:AB74" si="30">IF(SUM(D42:D70)=0, "", (D42*$B42/(D$43*$B$43))*$F$5)</f>
        <v>0</v>
      </c>
      <c r="E74" s="103">
        <f t="shared" si="30"/>
        <v>0</v>
      </c>
      <c r="F74" s="103">
        <f t="shared" si="30"/>
        <v>0</v>
      </c>
      <c r="G74" s="103">
        <f t="shared" si="30"/>
        <v>0</v>
      </c>
      <c r="H74" s="103">
        <f t="shared" si="30"/>
        <v>0</v>
      </c>
      <c r="I74" s="103">
        <f t="shared" si="30"/>
        <v>0</v>
      </c>
      <c r="J74" s="103">
        <f t="shared" si="30"/>
        <v>0</v>
      </c>
      <c r="K74" s="103">
        <f t="shared" si="30"/>
        <v>0</v>
      </c>
      <c r="L74" s="103">
        <f t="shared" si="30"/>
        <v>0</v>
      </c>
      <c r="M74" s="103">
        <f t="shared" si="30"/>
        <v>0</v>
      </c>
      <c r="N74" s="103">
        <f t="shared" si="30"/>
        <v>0</v>
      </c>
      <c r="O74" s="103">
        <f t="shared" si="30"/>
        <v>0</v>
      </c>
      <c r="P74" s="103" t="str">
        <f t="shared" si="30"/>
        <v/>
      </c>
      <c r="Q74" s="103" t="str">
        <f t="shared" si="30"/>
        <v/>
      </c>
      <c r="R74" s="103" t="str">
        <f t="shared" si="30"/>
        <v/>
      </c>
      <c r="S74" s="103" t="str">
        <f t="shared" si="30"/>
        <v/>
      </c>
      <c r="T74" s="103" t="str">
        <f t="shared" si="30"/>
        <v/>
      </c>
      <c r="U74" s="103" t="str">
        <f t="shared" si="30"/>
        <v/>
      </c>
      <c r="V74" s="103" t="str">
        <f t="shared" si="30"/>
        <v/>
      </c>
      <c r="W74" s="103" t="str">
        <f t="shared" si="30"/>
        <v/>
      </c>
      <c r="X74" s="103" t="str">
        <f t="shared" si="30"/>
        <v/>
      </c>
      <c r="Y74" s="103" t="str">
        <f t="shared" si="30"/>
        <v/>
      </c>
      <c r="Z74" s="103" t="str">
        <f t="shared" si="30"/>
        <v/>
      </c>
      <c r="AA74" s="103" t="str">
        <f t="shared" si="30"/>
        <v/>
      </c>
      <c r="AB74" s="103" t="str">
        <f t="shared" si="30"/>
        <v/>
      </c>
      <c r="AC74" s="192">
        <f t="shared" si="8"/>
        <v>0</v>
      </c>
      <c r="AD74" s="189">
        <v>1</v>
      </c>
    </row>
    <row r="75" spans="1:30" ht="18" customHeight="1" outlineLevel="1" x14ac:dyDescent="0.25">
      <c r="A75" s="9" t="str">
        <f t="shared" si="5"/>
        <v>Argon [g/h]</v>
      </c>
      <c r="B75" s="102"/>
      <c r="C75" s="103">
        <f t="shared" si="6"/>
        <v>0.22890922011282691</v>
      </c>
      <c r="D75" s="103">
        <f t="shared" ref="D75:AB75" si="31">IF(SUM(D43:D71)=0, "", (D43*$B43/(D$43*$B$43))*$F$5)</f>
        <v>0.22890922011282697</v>
      </c>
      <c r="E75" s="103">
        <f t="shared" si="31"/>
        <v>0.22890922011282697</v>
      </c>
      <c r="F75" s="103">
        <f t="shared" si="31"/>
        <v>0.22890922011282697</v>
      </c>
      <c r="G75" s="103">
        <f t="shared" si="31"/>
        <v>0.22890922011282697</v>
      </c>
      <c r="H75" s="103">
        <f t="shared" si="31"/>
        <v>0.22890922011282697</v>
      </c>
      <c r="I75" s="103">
        <f t="shared" si="31"/>
        <v>0.22890922011282697</v>
      </c>
      <c r="J75" s="103">
        <f t="shared" si="31"/>
        <v>0.22890922011282697</v>
      </c>
      <c r="K75" s="103">
        <f t="shared" si="31"/>
        <v>0.22890922011282697</v>
      </c>
      <c r="L75" s="103">
        <f t="shared" si="31"/>
        <v>0.22890922011282697</v>
      </c>
      <c r="M75" s="103">
        <f t="shared" si="31"/>
        <v>0.22890922011282697</v>
      </c>
      <c r="N75" s="103">
        <f t="shared" si="31"/>
        <v>0.22890922011282697</v>
      </c>
      <c r="O75" s="103">
        <f t="shared" si="31"/>
        <v>0.22890922011282697</v>
      </c>
      <c r="P75" s="103" t="str">
        <f t="shared" si="31"/>
        <v/>
      </c>
      <c r="Q75" s="103" t="str">
        <f t="shared" si="31"/>
        <v/>
      </c>
      <c r="R75" s="103" t="str">
        <f t="shared" si="31"/>
        <v/>
      </c>
      <c r="S75" s="103" t="str">
        <f t="shared" si="31"/>
        <v/>
      </c>
      <c r="T75" s="103" t="str">
        <f t="shared" si="31"/>
        <v/>
      </c>
      <c r="U75" s="103" t="str">
        <f t="shared" si="31"/>
        <v/>
      </c>
      <c r="V75" s="103" t="str">
        <f t="shared" si="31"/>
        <v/>
      </c>
      <c r="W75" s="103" t="str">
        <f t="shared" si="31"/>
        <v/>
      </c>
      <c r="X75" s="103" t="str">
        <f t="shared" si="31"/>
        <v/>
      </c>
      <c r="Y75" s="103" t="str">
        <f t="shared" si="31"/>
        <v/>
      </c>
      <c r="Z75" s="103" t="str">
        <f t="shared" si="31"/>
        <v/>
      </c>
      <c r="AA75" s="103" t="str">
        <f t="shared" si="31"/>
        <v/>
      </c>
      <c r="AB75" s="103" t="str">
        <f t="shared" si="31"/>
        <v/>
      </c>
      <c r="AC75" s="192">
        <f t="shared" si="8"/>
        <v>0</v>
      </c>
      <c r="AD75" s="189">
        <v>0</v>
      </c>
    </row>
    <row r="76" spans="1:30" ht="18" customHeight="1" outlineLevel="1" x14ac:dyDescent="0.25">
      <c r="A76" s="9" t="str">
        <f t="shared" si="5"/>
        <v>CO [g/h]</v>
      </c>
      <c r="B76" s="102"/>
      <c r="C76" s="103">
        <f t="shared" si="6"/>
        <v>0</v>
      </c>
      <c r="D76" s="103">
        <f t="shared" ref="D76:AB76" si="32">IF(SUM(D44:D72)=0, "", (D44*$B44/(D$43*$B$43))*$F$5)</f>
        <v>0</v>
      </c>
      <c r="E76" s="103">
        <f t="shared" si="32"/>
        <v>0</v>
      </c>
      <c r="F76" s="103">
        <f t="shared" si="32"/>
        <v>0</v>
      </c>
      <c r="G76" s="103">
        <f t="shared" si="32"/>
        <v>0</v>
      </c>
      <c r="H76" s="103">
        <f t="shared" si="32"/>
        <v>0</v>
      </c>
      <c r="I76" s="103">
        <f t="shared" si="32"/>
        <v>0</v>
      </c>
      <c r="J76" s="103">
        <f t="shared" si="32"/>
        <v>0</v>
      </c>
      <c r="K76" s="103">
        <f t="shared" si="32"/>
        <v>0</v>
      </c>
      <c r="L76" s="103">
        <f t="shared" si="32"/>
        <v>0</v>
      </c>
      <c r="M76" s="103">
        <f t="shared" si="32"/>
        <v>0</v>
      </c>
      <c r="N76" s="103">
        <f t="shared" si="32"/>
        <v>0</v>
      </c>
      <c r="O76" s="103">
        <f t="shared" si="32"/>
        <v>0</v>
      </c>
      <c r="P76" s="103" t="str">
        <f t="shared" si="32"/>
        <v/>
      </c>
      <c r="Q76" s="103" t="str">
        <f t="shared" si="32"/>
        <v/>
      </c>
      <c r="R76" s="103" t="str">
        <f t="shared" si="32"/>
        <v/>
      </c>
      <c r="S76" s="103" t="str">
        <f t="shared" si="32"/>
        <v/>
      </c>
      <c r="T76" s="103" t="str">
        <f t="shared" si="32"/>
        <v/>
      </c>
      <c r="U76" s="103" t="str">
        <f t="shared" si="32"/>
        <v/>
      </c>
      <c r="V76" s="103" t="str">
        <f t="shared" si="32"/>
        <v/>
      </c>
      <c r="W76" s="103" t="str">
        <f t="shared" si="32"/>
        <v/>
      </c>
      <c r="X76" s="103" t="str">
        <f t="shared" si="32"/>
        <v/>
      </c>
      <c r="Y76" s="103" t="str">
        <f t="shared" si="32"/>
        <v/>
      </c>
      <c r="Z76" s="103" t="str">
        <f t="shared" si="32"/>
        <v/>
      </c>
      <c r="AA76" s="103" t="str">
        <f t="shared" si="32"/>
        <v/>
      </c>
      <c r="AB76" s="103" t="str">
        <f t="shared" si="32"/>
        <v/>
      </c>
      <c r="AC76" s="192">
        <f t="shared" si="8"/>
        <v>0</v>
      </c>
      <c r="AD76" s="189">
        <v>1</v>
      </c>
    </row>
    <row r="77" spans="1:30" ht="18" customHeight="1" outlineLevel="1" x14ac:dyDescent="0.25">
      <c r="A77" s="9" t="str">
        <f t="shared" si="5"/>
        <v>H2 [g/h]</v>
      </c>
      <c r="B77" s="102"/>
      <c r="C77" s="103">
        <f t="shared" si="6"/>
        <v>5.0767721682427436E-2</v>
      </c>
      <c r="D77" s="103">
        <f t="shared" ref="D77:AB77" si="33">IF(SUM(D45:D73)=0, "", (D45*$B45/(D$43*$B$43))*$F$5)</f>
        <v>5.4454442004395275E-2</v>
      </c>
      <c r="E77" s="103">
        <f t="shared" si="33"/>
        <v>5.0503917706625032E-2</v>
      </c>
      <c r="F77" s="103">
        <f t="shared" si="33"/>
        <v>4.5606571890052613E-2</v>
      </c>
      <c r="G77" s="103">
        <f t="shared" si="33"/>
        <v>4.6166933799194294E-2</v>
      </c>
      <c r="H77" s="103">
        <f t="shared" si="33"/>
        <v>4.8398423359636802E-2</v>
      </c>
      <c r="I77" s="103">
        <f t="shared" si="33"/>
        <v>4.9238535631264381E-2</v>
      </c>
      <c r="J77" s="103">
        <f t="shared" si="33"/>
        <v>5.0224989050274865E-2</v>
      </c>
      <c r="K77" s="103">
        <f t="shared" si="33"/>
        <v>5.0263512107426835E-2</v>
      </c>
      <c r="L77" s="103">
        <f t="shared" si="33"/>
        <v>5.2991075945395517E-2</v>
      </c>
      <c r="M77" s="103">
        <f t="shared" si="33"/>
        <v>5.345918246349006E-2</v>
      </c>
      <c r="N77" s="103">
        <f t="shared" si="33"/>
        <v>5.3893933279616092E-2</v>
      </c>
      <c r="O77" s="103">
        <f t="shared" si="33"/>
        <v>5.4011142951757483E-2</v>
      </c>
      <c r="P77" s="103" t="str">
        <f t="shared" si="33"/>
        <v/>
      </c>
      <c r="Q77" s="103" t="str">
        <f t="shared" si="33"/>
        <v/>
      </c>
      <c r="R77" s="103" t="str">
        <f t="shared" si="33"/>
        <v/>
      </c>
      <c r="S77" s="103" t="str">
        <f t="shared" si="33"/>
        <v/>
      </c>
      <c r="T77" s="103" t="str">
        <f t="shared" si="33"/>
        <v/>
      </c>
      <c r="U77" s="103" t="str">
        <f t="shared" si="33"/>
        <v/>
      </c>
      <c r="V77" s="103" t="str">
        <f t="shared" si="33"/>
        <v/>
      </c>
      <c r="W77" s="103" t="str">
        <f t="shared" si="33"/>
        <v/>
      </c>
      <c r="X77" s="103" t="str">
        <f t="shared" si="33"/>
        <v/>
      </c>
      <c r="Y77" s="103" t="str">
        <f t="shared" si="33"/>
        <v/>
      </c>
      <c r="Z77" s="103" t="str">
        <f t="shared" si="33"/>
        <v/>
      </c>
      <c r="AA77" s="103" t="str">
        <f t="shared" si="33"/>
        <v/>
      </c>
      <c r="AB77" s="103" t="str">
        <f t="shared" si="33"/>
        <v/>
      </c>
      <c r="AC77" s="192">
        <f t="shared" si="8"/>
        <v>0</v>
      </c>
      <c r="AD77" s="189">
        <v>0</v>
      </c>
    </row>
    <row r="78" spans="1:30" ht="18" customHeight="1" outlineLevel="1" x14ac:dyDescent="0.25">
      <c r="A78" s="9" t="str">
        <f t="shared" si="5"/>
        <v>Acetylene [g/h]</v>
      </c>
      <c r="B78" s="102"/>
      <c r="C78" s="103">
        <f t="shared" si="6"/>
        <v>0.13310528654835277</v>
      </c>
      <c r="D78" s="103">
        <f t="shared" ref="D78:AB78" si="34">IF(SUM(D46:D74)=0, "", (D46*$B46/(D$43*$B$43))*$F$5)</f>
        <v>0.22638412039337963</v>
      </c>
      <c r="E78" s="103">
        <f t="shared" si="34"/>
        <v>0.12387778658762297</v>
      </c>
      <c r="F78" s="103">
        <f t="shared" si="34"/>
        <v>6.0563793839094861E-2</v>
      </c>
      <c r="G78" s="103">
        <f t="shared" si="34"/>
        <v>7.316748214655823E-2</v>
      </c>
      <c r="H78" s="103">
        <f t="shared" si="34"/>
        <v>0.10188135501053695</v>
      </c>
      <c r="I78" s="103">
        <f t="shared" si="34"/>
        <v>0.11445069309941726</v>
      </c>
      <c r="J78" s="103">
        <f t="shared" si="34"/>
        <v>0.1147320257355087</v>
      </c>
      <c r="K78" s="103">
        <f t="shared" si="34"/>
        <v>0.12820957911354738</v>
      </c>
      <c r="L78" s="103">
        <f t="shared" si="34"/>
        <v>0.15555811129734085</v>
      </c>
      <c r="M78" s="103">
        <f t="shared" si="34"/>
        <v>0.16262037448655392</v>
      </c>
      <c r="N78" s="103">
        <f t="shared" si="34"/>
        <v>0.16857501790344795</v>
      </c>
      <c r="O78" s="103">
        <f t="shared" si="34"/>
        <v>0.16724309896722445</v>
      </c>
      <c r="P78" s="103" t="str">
        <f t="shared" si="34"/>
        <v/>
      </c>
      <c r="Q78" s="103" t="str">
        <f t="shared" si="34"/>
        <v/>
      </c>
      <c r="R78" s="103" t="str">
        <f t="shared" si="34"/>
        <v/>
      </c>
      <c r="S78" s="103" t="str">
        <f t="shared" si="34"/>
        <v/>
      </c>
      <c r="T78" s="103" t="str">
        <f t="shared" si="34"/>
        <v/>
      </c>
      <c r="U78" s="103" t="str">
        <f t="shared" si="34"/>
        <v/>
      </c>
      <c r="V78" s="103" t="str">
        <f t="shared" si="34"/>
        <v/>
      </c>
      <c r="W78" s="103" t="str">
        <f t="shared" si="34"/>
        <v/>
      </c>
      <c r="X78" s="103" t="str">
        <f t="shared" si="34"/>
        <v/>
      </c>
      <c r="Y78" s="103" t="str">
        <f t="shared" si="34"/>
        <v/>
      </c>
      <c r="Z78" s="103" t="str">
        <f t="shared" si="34"/>
        <v/>
      </c>
      <c r="AA78" s="103" t="str">
        <f t="shared" si="34"/>
        <v/>
      </c>
      <c r="AB78" s="103" t="str">
        <f t="shared" si="34"/>
        <v/>
      </c>
      <c r="AC78" s="192">
        <f t="shared" si="8"/>
        <v>0.12279013799786982</v>
      </c>
      <c r="AD78" s="189">
        <v>2</v>
      </c>
    </row>
    <row r="79" spans="1:30" ht="18" customHeight="1" outlineLevel="1" x14ac:dyDescent="0.25">
      <c r="A79" s="9" t="str">
        <f t="shared" si="5"/>
        <v>Isobutane [g/h]</v>
      </c>
      <c r="B79" s="102"/>
      <c r="C79" s="103">
        <f t="shared" si="6"/>
        <v>0</v>
      </c>
      <c r="D79" s="103">
        <f t="shared" ref="D79:AB79" si="35">IF(SUM(D47:D75)=0, "", (D47*$B47/(D$43*$B$43))*$F$5)</f>
        <v>0</v>
      </c>
      <c r="E79" s="103">
        <f t="shared" si="35"/>
        <v>0</v>
      </c>
      <c r="F79" s="103">
        <f t="shared" si="35"/>
        <v>0</v>
      </c>
      <c r="G79" s="103">
        <f t="shared" si="35"/>
        <v>0</v>
      </c>
      <c r="H79" s="103">
        <f t="shared" si="35"/>
        <v>0</v>
      </c>
      <c r="I79" s="103">
        <f t="shared" si="35"/>
        <v>0</v>
      </c>
      <c r="J79" s="103">
        <f t="shared" si="35"/>
        <v>0</v>
      </c>
      <c r="K79" s="103">
        <f t="shared" si="35"/>
        <v>0</v>
      </c>
      <c r="L79" s="103">
        <f t="shared" si="35"/>
        <v>0</v>
      </c>
      <c r="M79" s="103">
        <f t="shared" si="35"/>
        <v>0</v>
      </c>
      <c r="N79" s="103">
        <f t="shared" si="35"/>
        <v>0</v>
      </c>
      <c r="O79" s="103">
        <f t="shared" si="35"/>
        <v>0</v>
      </c>
      <c r="P79" s="103" t="str">
        <f t="shared" si="35"/>
        <v/>
      </c>
      <c r="Q79" s="103" t="str">
        <f t="shared" si="35"/>
        <v/>
      </c>
      <c r="R79" s="103" t="str">
        <f t="shared" si="35"/>
        <v/>
      </c>
      <c r="S79" s="103" t="str">
        <f t="shared" si="35"/>
        <v/>
      </c>
      <c r="T79" s="103" t="str">
        <f t="shared" si="35"/>
        <v/>
      </c>
      <c r="U79" s="103" t="str">
        <f t="shared" si="35"/>
        <v/>
      </c>
      <c r="V79" s="103" t="str">
        <f t="shared" si="35"/>
        <v/>
      </c>
      <c r="W79" s="103" t="str">
        <f t="shared" si="35"/>
        <v/>
      </c>
      <c r="X79" s="103" t="str">
        <f t="shared" si="35"/>
        <v/>
      </c>
      <c r="Y79" s="103" t="str">
        <f t="shared" si="35"/>
        <v/>
      </c>
      <c r="Z79" s="103" t="str">
        <f t="shared" si="35"/>
        <v/>
      </c>
      <c r="AA79" s="103" t="str">
        <f t="shared" si="35"/>
        <v/>
      </c>
      <c r="AB79" s="103" t="str">
        <f t="shared" si="35"/>
        <v/>
      </c>
      <c r="AC79" s="192">
        <f t="shared" si="8"/>
        <v>0</v>
      </c>
      <c r="AD79" s="189">
        <v>4</v>
      </c>
    </row>
    <row r="80" spans="1:30" ht="18" customHeight="1" outlineLevel="1" x14ac:dyDescent="0.25">
      <c r="A80" s="9" t="str">
        <f t="shared" si="5"/>
        <v>N2 [g/h]</v>
      </c>
      <c r="B80" s="102"/>
      <c r="C80" s="103">
        <f t="shared" si="6"/>
        <v>2.1886525087289264</v>
      </c>
      <c r="D80" s="103">
        <f t="shared" ref="D80:AB80" si="36">IF(SUM(D48:D76)=0, "", (D48*$B48/(D$43*$B$43))*$F$5)</f>
        <v>2.0833405318057254</v>
      </c>
      <c r="E80" s="103">
        <f t="shared" si="36"/>
        <v>2.1873117133297808</v>
      </c>
      <c r="F80" s="103">
        <f t="shared" si="36"/>
        <v>2.1846411097462664</v>
      </c>
      <c r="G80" s="103">
        <f t="shared" si="36"/>
        <v>2.186283771622433</v>
      </c>
      <c r="H80" s="103">
        <f t="shared" si="36"/>
        <v>2.1844544802361949</v>
      </c>
      <c r="I80" s="103">
        <f t="shared" si="36"/>
        <v>2.182849270637317</v>
      </c>
      <c r="J80" s="103">
        <f t="shared" si="36"/>
        <v>2.1896090333859273</v>
      </c>
      <c r="K80" s="103">
        <f t="shared" si="36"/>
        <v>2.1959652419765177</v>
      </c>
      <c r="L80" s="103">
        <f t="shared" si="36"/>
        <v>2.2250126066444547</v>
      </c>
      <c r="M80" s="103">
        <f t="shared" si="36"/>
        <v>2.2197755160408912</v>
      </c>
      <c r="N80" s="103">
        <f t="shared" si="36"/>
        <v>2.2079615885227595</v>
      </c>
      <c r="O80" s="103">
        <f t="shared" si="36"/>
        <v>2.2166252407988498</v>
      </c>
      <c r="P80" s="103" t="str">
        <f t="shared" si="36"/>
        <v/>
      </c>
      <c r="Q80" s="103" t="str">
        <f t="shared" si="36"/>
        <v/>
      </c>
      <c r="R80" s="103" t="str">
        <f t="shared" si="36"/>
        <v/>
      </c>
      <c r="S80" s="103" t="str">
        <f t="shared" si="36"/>
        <v/>
      </c>
      <c r="T80" s="103" t="str">
        <f t="shared" si="36"/>
        <v/>
      </c>
      <c r="U80" s="103" t="str">
        <f t="shared" si="36"/>
        <v/>
      </c>
      <c r="V80" s="103" t="str">
        <f t="shared" si="36"/>
        <v/>
      </c>
      <c r="W80" s="103" t="str">
        <f t="shared" si="36"/>
        <v/>
      </c>
      <c r="X80" s="103" t="str">
        <f t="shared" si="36"/>
        <v/>
      </c>
      <c r="Y80" s="103" t="str">
        <f t="shared" si="36"/>
        <v/>
      </c>
      <c r="Z80" s="103" t="str">
        <f t="shared" si="36"/>
        <v/>
      </c>
      <c r="AA80" s="103" t="str">
        <f t="shared" si="36"/>
        <v/>
      </c>
      <c r="AB80" s="103" t="str">
        <f t="shared" si="36"/>
        <v/>
      </c>
      <c r="AC80" s="192">
        <f t="shared" si="8"/>
        <v>0</v>
      </c>
      <c r="AD80" s="189">
        <v>0</v>
      </c>
    </row>
    <row r="81" spans="1:30" ht="18" customHeight="1" outlineLevel="1" x14ac:dyDescent="0.25">
      <c r="A81" s="9" t="str">
        <f t="shared" si="5"/>
        <v/>
      </c>
      <c r="B81" s="102"/>
      <c r="C81" s="103">
        <f t="shared" si="6"/>
        <v>0</v>
      </c>
      <c r="D81" s="103">
        <f t="shared" ref="D81:AB81" si="37">IF(SUM(D49:D77)=0, "", (D49*$B49/(D$43*$B$43))*$F$5)</f>
        <v>0</v>
      </c>
      <c r="E81" s="103">
        <f t="shared" si="37"/>
        <v>0</v>
      </c>
      <c r="F81" s="103">
        <f t="shared" si="37"/>
        <v>0</v>
      </c>
      <c r="G81" s="103">
        <f t="shared" si="37"/>
        <v>0</v>
      </c>
      <c r="H81" s="103">
        <f t="shared" si="37"/>
        <v>0</v>
      </c>
      <c r="I81" s="103">
        <f t="shared" si="37"/>
        <v>0</v>
      </c>
      <c r="J81" s="103">
        <f t="shared" si="37"/>
        <v>0</v>
      </c>
      <c r="K81" s="103">
        <f t="shared" si="37"/>
        <v>0</v>
      </c>
      <c r="L81" s="103">
        <f t="shared" si="37"/>
        <v>0</v>
      </c>
      <c r="M81" s="103">
        <f t="shared" si="37"/>
        <v>0</v>
      </c>
      <c r="N81" s="103">
        <f t="shared" si="37"/>
        <v>0</v>
      </c>
      <c r="O81" s="103">
        <f t="shared" si="37"/>
        <v>0</v>
      </c>
      <c r="P81" s="103" t="str">
        <f t="shared" si="37"/>
        <v/>
      </c>
      <c r="Q81" s="103" t="str">
        <f t="shared" si="37"/>
        <v/>
      </c>
      <c r="R81" s="103" t="str">
        <f t="shared" si="37"/>
        <v/>
      </c>
      <c r="S81" s="103" t="str">
        <f t="shared" si="37"/>
        <v/>
      </c>
      <c r="T81" s="103" t="str">
        <f t="shared" si="37"/>
        <v/>
      </c>
      <c r="U81" s="103" t="str">
        <f t="shared" si="37"/>
        <v/>
      </c>
      <c r="V81" s="103" t="str">
        <f t="shared" si="37"/>
        <v/>
      </c>
      <c r="W81" s="103" t="str">
        <f t="shared" si="37"/>
        <v/>
      </c>
      <c r="X81" s="103" t="str">
        <f t="shared" si="37"/>
        <v/>
      </c>
      <c r="Y81" s="103" t="str">
        <f t="shared" si="37"/>
        <v/>
      </c>
      <c r="Z81" s="103" t="str">
        <f t="shared" si="37"/>
        <v/>
      </c>
      <c r="AA81" s="103" t="str">
        <f t="shared" si="37"/>
        <v/>
      </c>
      <c r="AB81" s="103" t="str">
        <f t="shared" si="37"/>
        <v/>
      </c>
    </row>
    <row r="82" spans="1:30" ht="18" customHeight="1" outlineLevel="1" x14ac:dyDescent="0.25">
      <c r="A82" s="9" t="s">
        <v>250</v>
      </c>
      <c r="B82" s="102"/>
      <c r="C82" s="103">
        <f t="shared" si="6"/>
        <v>0.38292854158297679</v>
      </c>
      <c r="D82" s="103">
        <f t="shared" ref="D82:AB82" si="38">IF(SUM(D52:D81)=0,"",SUM(D52:D73,D78,D79))</f>
        <v>0.349379220067291</v>
      </c>
      <c r="E82" s="103">
        <f t="shared" si="38"/>
        <v>0.37342737600148013</v>
      </c>
      <c r="F82" s="103">
        <f t="shared" si="38"/>
        <v>0.39657032266937703</v>
      </c>
      <c r="G82" s="103">
        <f t="shared" si="38"/>
        <v>0.40773886641454749</v>
      </c>
      <c r="H82" s="103">
        <f t="shared" si="38"/>
        <v>0.39553178326515492</v>
      </c>
      <c r="I82" s="103">
        <f t="shared" si="38"/>
        <v>0.43635645811866508</v>
      </c>
      <c r="J82" s="103">
        <f t="shared" si="38"/>
        <v>0.41192521954039396</v>
      </c>
      <c r="K82" s="103">
        <f t="shared" si="38"/>
        <v>0.39368838789840777</v>
      </c>
      <c r="L82" s="103">
        <f t="shared" si="38"/>
        <v>0.36222133007249768</v>
      </c>
      <c r="M82" s="103">
        <f t="shared" si="38"/>
        <v>0.35733835109295409</v>
      </c>
      <c r="N82" s="103">
        <f t="shared" si="38"/>
        <v>0.35697648054904674</v>
      </c>
      <c r="O82" s="103">
        <f t="shared" si="38"/>
        <v>0.35398870330590548</v>
      </c>
      <c r="P82" s="103" t="str">
        <f t="shared" si="38"/>
        <v/>
      </c>
      <c r="Q82" s="103" t="str">
        <f t="shared" si="38"/>
        <v/>
      </c>
      <c r="R82" s="103" t="str">
        <f t="shared" si="38"/>
        <v/>
      </c>
      <c r="S82" s="103" t="str">
        <f t="shared" si="38"/>
        <v/>
      </c>
      <c r="T82" s="103" t="str">
        <f t="shared" si="38"/>
        <v/>
      </c>
      <c r="U82" s="103" t="str">
        <f t="shared" si="38"/>
        <v/>
      </c>
      <c r="V82" s="103" t="str">
        <f t="shared" si="38"/>
        <v/>
      </c>
      <c r="W82" s="103" t="str">
        <f t="shared" si="38"/>
        <v/>
      </c>
      <c r="X82" s="103" t="str">
        <f t="shared" si="38"/>
        <v/>
      </c>
      <c r="Y82" s="103" t="str">
        <f t="shared" si="38"/>
        <v/>
      </c>
      <c r="Z82" s="103" t="str">
        <f t="shared" si="38"/>
        <v/>
      </c>
      <c r="AA82" s="103" t="str">
        <f t="shared" si="38"/>
        <v/>
      </c>
      <c r="AB82" s="103" t="str">
        <f t="shared" si="38"/>
        <v/>
      </c>
    </row>
    <row r="83" spans="1:30" ht="18" customHeight="1" outlineLevel="1" x14ac:dyDescent="0.25">
      <c r="A83" s="9" t="s">
        <v>251</v>
      </c>
      <c r="B83" s="102"/>
      <c r="C83" s="103">
        <f t="shared" si="6"/>
        <v>0</v>
      </c>
      <c r="D83" s="103">
        <f t="shared" ref="D83:AB83" si="39">IFERROR(D74+D76,"")</f>
        <v>0</v>
      </c>
      <c r="E83" s="103">
        <f t="shared" si="39"/>
        <v>0</v>
      </c>
      <c r="F83" s="103">
        <f t="shared" si="39"/>
        <v>0</v>
      </c>
      <c r="G83" s="103">
        <f t="shared" si="39"/>
        <v>0</v>
      </c>
      <c r="H83" s="103">
        <f t="shared" si="39"/>
        <v>0</v>
      </c>
      <c r="I83" s="103">
        <f t="shared" si="39"/>
        <v>0</v>
      </c>
      <c r="J83" s="103">
        <f t="shared" si="39"/>
        <v>0</v>
      </c>
      <c r="K83" s="103">
        <f t="shared" si="39"/>
        <v>0</v>
      </c>
      <c r="L83" s="103">
        <f t="shared" si="39"/>
        <v>0</v>
      </c>
      <c r="M83" s="103">
        <f t="shared" si="39"/>
        <v>0</v>
      </c>
      <c r="N83" s="103">
        <f t="shared" si="39"/>
        <v>0</v>
      </c>
      <c r="O83" s="103">
        <f t="shared" si="39"/>
        <v>0</v>
      </c>
      <c r="P83" s="103" t="str">
        <f t="shared" si="39"/>
        <v/>
      </c>
      <c r="Q83" s="103" t="str">
        <f t="shared" si="39"/>
        <v/>
      </c>
      <c r="R83" s="103" t="str">
        <f t="shared" si="39"/>
        <v/>
      </c>
      <c r="S83" s="103" t="str">
        <f t="shared" si="39"/>
        <v/>
      </c>
      <c r="T83" s="103" t="str">
        <f t="shared" si="39"/>
        <v/>
      </c>
      <c r="U83" s="103" t="str">
        <f t="shared" si="39"/>
        <v/>
      </c>
      <c r="V83" s="103" t="str">
        <f t="shared" si="39"/>
        <v/>
      </c>
      <c r="W83" s="103" t="str">
        <f t="shared" si="39"/>
        <v/>
      </c>
      <c r="X83" s="103" t="str">
        <f t="shared" si="39"/>
        <v/>
      </c>
      <c r="Y83" s="103" t="str">
        <f t="shared" si="39"/>
        <v/>
      </c>
      <c r="Z83" s="103" t="str">
        <f t="shared" si="39"/>
        <v/>
      </c>
      <c r="AA83" s="103" t="str">
        <f t="shared" si="39"/>
        <v/>
      </c>
      <c r="AB83" s="103" t="str">
        <f t="shared" si="39"/>
        <v/>
      </c>
    </row>
    <row r="84" spans="1:30" ht="18" customHeight="1" outlineLevel="1" x14ac:dyDescent="0.25">
      <c r="A84" s="9" t="s">
        <v>252</v>
      </c>
      <c r="B84" s="102"/>
      <c r="C84" s="103">
        <f t="shared" si="6"/>
        <v>0.38292854158297679</v>
      </c>
      <c r="D84" s="103">
        <f t="shared" ref="D84:AB84" si="40">IF(SUM(D82:D83)=0,"",SUM(D82:D83))</f>
        <v>0.349379220067291</v>
      </c>
      <c r="E84" s="103">
        <f t="shared" si="40"/>
        <v>0.37342737600148013</v>
      </c>
      <c r="F84" s="103">
        <f t="shared" si="40"/>
        <v>0.39657032266937703</v>
      </c>
      <c r="G84" s="103">
        <f t="shared" si="40"/>
        <v>0.40773886641454749</v>
      </c>
      <c r="H84" s="103">
        <f t="shared" si="40"/>
        <v>0.39553178326515492</v>
      </c>
      <c r="I84" s="103">
        <f t="shared" si="40"/>
        <v>0.43635645811866508</v>
      </c>
      <c r="J84" s="103">
        <f t="shared" si="40"/>
        <v>0.41192521954039396</v>
      </c>
      <c r="K84" s="103">
        <f t="shared" si="40"/>
        <v>0.39368838789840777</v>
      </c>
      <c r="L84" s="103">
        <f t="shared" si="40"/>
        <v>0.36222133007249768</v>
      </c>
      <c r="M84" s="103">
        <f t="shared" si="40"/>
        <v>0.35733835109295409</v>
      </c>
      <c r="N84" s="103">
        <f t="shared" si="40"/>
        <v>0.35697648054904674</v>
      </c>
      <c r="O84" s="103">
        <f t="shared" si="40"/>
        <v>0.35398870330590548</v>
      </c>
      <c r="P84" s="103" t="str">
        <f t="shared" si="40"/>
        <v/>
      </c>
      <c r="Q84" s="103" t="str">
        <f t="shared" si="40"/>
        <v/>
      </c>
      <c r="R84" s="103" t="str">
        <f t="shared" si="40"/>
        <v/>
      </c>
      <c r="S84" s="103" t="str">
        <f t="shared" si="40"/>
        <v/>
      </c>
      <c r="T84" s="103" t="str">
        <f t="shared" si="40"/>
        <v/>
      </c>
      <c r="U84" s="103" t="str">
        <f t="shared" si="40"/>
        <v/>
      </c>
      <c r="V84" s="103" t="str">
        <f t="shared" si="40"/>
        <v/>
      </c>
      <c r="W84" s="103" t="str">
        <f t="shared" si="40"/>
        <v/>
      </c>
      <c r="X84" s="103" t="str">
        <f t="shared" si="40"/>
        <v/>
      </c>
      <c r="Y84" s="103" t="str">
        <f t="shared" si="40"/>
        <v/>
      </c>
      <c r="Z84" s="103" t="str">
        <f t="shared" si="40"/>
        <v/>
      </c>
      <c r="AA84" s="103" t="str">
        <f t="shared" si="40"/>
        <v/>
      </c>
      <c r="AB84" s="103" t="str">
        <f t="shared" si="40"/>
        <v/>
      </c>
    </row>
    <row r="86" spans="1:30" ht="18" customHeight="1" outlineLevel="2" x14ac:dyDescent="0.25">
      <c r="A86" s="9" t="s">
        <v>253</v>
      </c>
      <c r="B86" s="189"/>
      <c r="C86" s="7">
        <f>IFERROR(AVERAGE(D86:AB86), "")</f>
        <v>159.70410705546072</v>
      </c>
      <c r="D86" s="7">
        <f>IF(D$75="","",D$75/Gas!$I$35*Gas!$B$11)</f>
        <v>159.7041070554607</v>
      </c>
      <c r="E86" s="7">
        <f>IF(E$75="","",E$75/Gas!$I$35*Gas!$B$11)</f>
        <v>159.7041070554607</v>
      </c>
      <c r="F86" s="7">
        <f>IF(F$75="","",F$75/Gas!$I$35*Gas!$B$11)</f>
        <v>159.7041070554607</v>
      </c>
      <c r="G86" s="7">
        <f>IF(G$75="","",G$75/Gas!$I$35*Gas!$B$11)</f>
        <v>159.7041070554607</v>
      </c>
      <c r="H86" s="7">
        <f>IF(H$75="","",H$75/Gas!$I$35*Gas!$B$11)</f>
        <v>159.7041070554607</v>
      </c>
      <c r="I86" s="7">
        <f>IF(I$75="","",I$75/Gas!$I$35*Gas!$B$11)</f>
        <v>159.7041070554607</v>
      </c>
      <c r="J86" s="7">
        <f>IF(J$75="","",J$75/Gas!$I$35*Gas!$B$11)</f>
        <v>159.7041070554607</v>
      </c>
      <c r="K86" s="7">
        <f>IF(K$75="","",K$75/Gas!$I$35*Gas!$B$11)</f>
        <v>159.7041070554607</v>
      </c>
      <c r="L86" s="7">
        <f>IF(L$75="","",L$75/Gas!$I$35*Gas!$B$11)</f>
        <v>159.7041070554607</v>
      </c>
      <c r="M86" s="7">
        <f>IF(M$75="","",M$75/Gas!$I$35*Gas!$B$11)</f>
        <v>159.7041070554607</v>
      </c>
      <c r="N86" s="7">
        <f>IF(N$75="","",N$75/Gas!$I$35*Gas!$B$11)</f>
        <v>159.7041070554607</v>
      </c>
      <c r="O86" s="7">
        <f>IF(O$75="","",O$75/Gas!$I$35*Gas!$B$11)</f>
        <v>159.7041070554607</v>
      </c>
      <c r="P86" s="7" t="str">
        <f>IF(P$75="","",P$75/Gas!$I$35*Gas!$B$11)</f>
        <v/>
      </c>
      <c r="Q86" s="7" t="str">
        <f>IF(Q$75="","",Q$75/Gas!$I$35*Gas!$B$11)</f>
        <v/>
      </c>
      <c r="R86" s="7" t="str">
        <f>IF(R$75="","",R$75/Gas!$I$35*Gas!$B$11)</f>
        <v/>
      </c>
      <c r="S86" s="7" t="str">
        <f>IF(S$75="","",S$75/Gas!$I$35*Gas!$B$11)</f>
        <v/>
      </c>
      <c r="T86" s="7" t="str">
        <f>IF(T$75="","",T$75/Gas!$I$35*Gas!$B$11)</f>
        <v/>
      </c>
      <c r="U86" s="7" t="str">
        <f>IF(U$75="","",U$75/Gas!$I$35*Gas!$B$11)</f>
        <v/>
      </c>
      <c r="V86" s="7" t="str">
        <f>IF(V$75="","",V$75/Gas!$I$35*Gas!$B$11)</f>
        <v/>
      </c>
      <c r="W86" s="7" t="str">
        <f>IF(W$75="","",W$75/Gas!$I$35*Gas!$B$11)</f>
        <v/>
      </c>
      <c r="X86" s="7" t="str">
        <f>IF(X$75="","",X$75/Gas!$I$35*Gas!$B$11)</f>
        <v/>
      </c>
      <c r="Y86" s="7" t="str">
        <f>IF(Y$75="","",Y$75/Gas!$I$35*Gas!$B$11)</f>
        <v/>
      </c>
      <c r="Z86" s="7" t="str">
        <f>IF(Z$75="","",Z$75/Gas!$I$35*Gas!$B$11)</f>
        <v/>
      </c>
      <c r="AA86" s="7" t="str">
        <f>IF(AA$75="","",AA$75/Gas!$I$35*Gas!$B$11)</f>
        <v/>
      </c>
      <c r="AB86" s="7" t="str">
        <f>IF(AB$75="","",AB$75/Gas!$I$35*Gas!$B$11)</f>
        <v/>
      </c>
    </row>
    <row r="87" spans="1:30" ht="18" customHeight="1" outlineLevel="2" x14ac:dyDescent="0.25">
      <c r="A87" s="9" t="s">
        <v>254</v>
      </c>
      <c r="B87" s="218"/>
      <c r="C87" s="7" t="s">
        <v>247</v>
      </c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D87" s="136"/>
    </row>
    <row r="88" spans="1:30" ht="18" customHeight="1" outlineLevel="2" x14ac:dyDescent="0.25">
      <c r="A88" s="9" t="str">
        <f t="shared" ref="A88:A118" si="41">IF(A20="", "", CONCATENATE(A20, " [Nl/h]"))</f>
        <v>Methane [Nl/h]</v>
      </c>
      <c r="B88" s="219"/>
      <c r="C88" s="103">
        <f t="shared" ref="C88:C118" si="42">IFERROR(AVERAGE(D88:AB88), "")</f>
        <v>4.3793643675202532</v>
      </c>
      <c r="D88" s="103">
        <f t="shared" ref="D88:AB88" si="43">IF(D$86="","",D20/100*D$86)</f>
        <v>4.1732903060679947</v>
      </c>
      <c r="E88" s="103">
        <f t="shared" si="43"/>
        <v>4.360195216637142</v>
      </c>
      <c r="F88" s="103">
        <f t="shared" si="43"/>
        <v>4.4770315472767761</v>
      </c>
      <c r="G88" s="103">
        <f t="shared" si="43"/>
        <v>4.5120834046933078</v>
      </c>
      <c r="H88" s="103">
        <f t="shared" si="43"/>
        <v>4.4780728180547769</v>
      </c>
      <c r="I88" s="103">
        <f t="shared" si="43"/>
        <v>4.4538984073697927</v>
      </c>
      <c r="J88" s="103">
        <f t="shared" si="43"/>
        <v>4.4305720254932721</v>
      </c>
      <c r="K88" s="103">
        <f t="shared" si="43"/>
        <v>4.4451114873996014</v>
      </c>
      <c r="L88" s="103">
        <f t="shared" si="43"/>
        <v>4.3161104949255531</v>
      </c>
      <c r="M88" s="103">
        <f t="shared" si="43"/>
        <v>4.3155627098383524</v>
      </c>
      <c r="N88" s="103">
        <f t="shared" si="43"/>
        <v>4.2908421111072377</v>
      </c>
      <c r="O88" s="103">
        <f t="shared" si="43"/>
        <v>4.2996018813792292</v>
      </c>
      <c r="P88" s="103" t="str">
        <f t="shared" si="43"/>
        <v/>
      </c>
      <c r="Q88" s="103" t="str">
        <f t="shared" si="43"/>
        <v/>
      </c>
      <c r="R88" s="103" t="str">
        <f t="shared" si="43"/>
        <v/>
      </c>
      <c r="S88" s="103" t="str">
        <f t="shared" si="43"/>
        <v/>
      </c>
      <c r="T88" s="103" t="str">
        <f t="shared" si="43"/>
        <v/>
      </c>
      <c r="U88" s="103" t="str">
        <f t="shared" si="43"/>
        <v/>
      </c>
      <c r="V88" s="103" t="str">
        <f t="shared" si="43"/>
        <v/>
      </c>
      <c r="W88" s="103" t="str">
        <f t="shared" si="43"/>
        <v/>
      </c>
      <c r="X88" s="103" t="str">
        <f t="shared" si="43"/>
        <v/>
      </c>
      <c r="Y88" s="103" t="str">
        <f t="shared" si="43"/>
        <v/>
      </c>
      <c r="Z88" s="103" t="str">
        <f t="shared" si="43"/>
        <v/>
      </c>
      <c r="AA88" s="103" t="str">
        <f t="shared" si="43"/>
        <v/>
      </c>
      <c r="AB88" s="103" t="str">
        <f t="shared" si="43"/>
        <v/>
      </c>
    </row>
    <row r="89" spans="1:30" ht="18" customHeight="1" outlineLevel="2" x14ac:dyDescent="0.25">
      <c r="A89" s="9" t="str">
        <f t="shared" si="41"/>
        <v>Ethane [Nl/h]</v>
      </c>
      <c r="B89" s="219"/>
      <c r="C89" s="103">
        <f t="shared" si="42"/>
        <v>0.14555112908820581</v>
      </c>
      <c r="D89" s="103">
        <f t="shared" ref="D89:AB89" si="44">IF(D$86="","",D21/100*D$86)</f>
        <v>2.2416068466304461E-2</v>
      </c>
      <c r="E89" s="103">
        <f t="shared" si="44"/>
        <v>0.14400359629083836</v>
      </c>
      <c r="F89" s="103">
        <f t="shared" si="44"/>
        <v>0.27342141648430146</v>
      </c>
      <c r="G89" s="103">
        <f t="shared" si="44"/>
        <v>0.26041511400570477</v>
      </c>
      <c r="H89" s="103">
        <f t="shared" si="44"/>
        <v>0.1993522486730494</v>
      </c>
      <c r="I89" s="103">
        <f t="shared" si="44"/>
        <v>0.17609134548042152</v>
      </c>
      <c r="J89" s="103">
        <f t="shared" si="44"/>
        <v>0.16410235816376809</v>
      </c>
      <c r="K89" s="103">
        <f t="shared" si="44"/>
        <v>0.1538142195872553</v>
      </c>
      <c r="L89" s="103">
        <f t="shared" si="44"/>
        <v>0.11715094773053319</v>
      </c>
      <c r="M89" s="103">
        <f t="shared" si="44"/>
        <v>9.2548530038639484E-2</v>
      </c>
      <c r="N89" s="103">
        <f t="shared" si="44"/>
        <v>7.5028989494655446E-2</v>
      </c>
      <c r="O89" s="103">
        <f t="shared" si="44"/>
        <v>6.8268714642997788E-2</v>
      </c>
      <c r="P89" s="103" t="str">
        <f t="shared" si="44"/>
        <v/>
      </c>
      <c r="Q89" s="103" t="str">
        <f t="shared" si="44"/>
        <v/>
      </c>
      <c r="R89" s="103" t="str">
        <f t="shared" si="44"/>
        <v/>
      </c>
      <c r="S89" s="103" t="str">
        <f t="shared" si="44"/>
        <v/>
      </c>
      <c r="T89" s="103" t="str">
        <f t="shared" si="44"/>
        <v/>
      </c>
      <c r="U89" s="103" t="str">
        <f t="shared" si="44"/>
        <v/>
      </c>
      <c r="V89" s="103" t="str">
        <f t="shared" si="44"/>
        <v/>
      </c>
      <c r="W89" s="103" t="str">
        <f t="shared" si="44"/>
        <v/>
      </c>
      <c r="X89" s="103" t="str">
        <f t="shared" si="44"/>
        <v/>
      </c>
      <c r="Y89" s="103" t="str">
        <f t="shared" si="44"/>
        <v/>
      </c>
      <c r="Z89" s="103" t="str">
        <f t="shared" si="44"/>
        <v/>
      </c>
      <c r="AA89" s="103" t="str">
        <f t="shared" si="44"/>
        <v/>
      </c>
      <c r="AB89" s="103" t="str">
        <f t="shared" si="44"/>
        <v/>
      </c>
    </row>
    <row r="90" spans="1:30" ht="18" customHeight="1" outlineLevel="2" x14ac:dyDescent="0.25">
      <c r="A90" s="9" t="str">
        <f t="shared" si="41"/>
        <v>Ethylene [Nl/h]</v>
      </c>
      <c r="B90" s="219"/>
      <c r="C90" s="103">
        <f t="shared" si="42"/>
        <v>5.4280054900624668</v>
      </c>
      <c r="D90" s="103">
        <f t="shared" ref="D90:AB90" si="45">IF(D$86="","",D22/100*D$86)</f>
        <v>2.8582723152036968</v>
      </c>
      <c r="E90" s="103">
        <f t="shared" si="45"/>
        <v>5.2511253393799464</v>
      </c>
      <c r="F90" s="103">
        <f t="shared" si="45"/>
        <v>7.2668275324983034</v>
      </c>
      <c r="G90" s="103">
        <f t="shared" si="45"/>
        <v>7.2994614697340161</v>
      </c>
      <c r="H90" s="103">
        <f t="shared" si="45"/>
        <v>6.573735663493661</v>
      </c>
      <c r="I90" s="103">
        <f t="shared" si="45"/>
        <v>6.4106905465185999</v>
      </c>
      <c r="J90" s="103">
        <f t="shared" si="45"/>
        <v>6.2873095415718341</v>
      </c>
      <c r="K90" s="103">
        <f t="shared" si="45"/>
        <v>5.8835344388267243</v>
      </c>
      <c r="L90" s="103">
        <f t="shared" si="45"/>
        <v>4.6261856010201523</v>
      </c>
      <c r="M90" s="103">
        <f t="shared" si="45"/>
        <v>4.3609506170635139</v>
      </c>
      <c r="N90" s="103">
        <f t="shared" si="45"/>
        <v>4.1681270722868922</v>
      </c>
      <c r="O90" s="103">
        <f t="shared" si="45"/>
        <v>4.1498457431522535</v>
      </c>
      <c r="P90" s="103" t="str">
        <f t="shared" si="45"/>
        <v/>
      </c>
      <c r="Q90" s="103" t="str">
        <f t="shared" si="45"/>
        <v/>
      </c>
      <c r="R90" s="103" t="str">
        <f t="shared" si="45"/>
        <v/>
      </c>
      <c r="S90" s="103" t="str">
        <f t="shared" si="45"/>
        <v/>
      </c>
      <c r="T90" s="103" t="str">
        <f t="shared" si="45"/>
        <v/>
      </c>
      <c r="U90" s="103" t="str">
        <f t="shared" si="45"/>
        <v/>
      </c>
      <c r="V90" s="103" t="str">
        <f t="shared" si="45"/>
        <v/>
      </c>
      <c r="W90" s="103" t="str">
        <f t="shared" si="45"/>
        <v/>
      </c>
      <c r="X90" s="103" t="str">
        <f t="shared" si="45"/>
        <v/>
      </c>
      <c r="Y90" s="103" t="str">
        <f t="shared" si="45"/>
        <v/>
      </c>
      <c r="Z90" s="103" t="str">
        <f t="shared" si="45"/>
        <v/>
      </c>
      <c r="AA90" s="103" t="str">
        <f t="shared" si="45"/>
        <v/>
      </c>
      <c r="AB90" s="103" t="str">
        <f t="shared" si="45"/>
        <v/>
      </c>
    </row>
    <row r="91" spans="1:30" ht="18" customHeight="1" outlineLevel="2" x14ac:dyDescent="0.25">
      <c r="A91" s="9" t="str">
        <f t="shared" si="41"/>
        <v>Propane [Nl/h]</v>
      </c>
      <c r="B91" s="219"/>
      <c r="C91" s="103">
        <f t="shared" si="42"/>
        <v>0</v>
      </c>
      <c r="D91" s="103">
        <f t="shared" ref="D91:AB91" si="46">IF(D$86="","",D23/100*D$86)</f>
        <v>0</v>
      </c>
      <c r="E91" s="103">
        <f t="shared" si="46"/>
        <v>0</v>
      </c>
      <c r="F91" s="103">
        <f t="shared" si="46"/>
        <v>0</v>
      </c>
      <c r="G91" s="103">
        <f t="shared" si="46"/>
        <v>0</v>
      </c>
      <c r="H91" s="103">
        <f t="shared" si="46"/>
        <v>0</v>
      </c>
      <c r="I91" s="103">
        <f t="shared" si="46"/>
        <v>0</v>
      </c>
      <c r="J91" s="103">
        <f t="shared" si="46"/>
        <v>0</v>
      </c>
      <c r="K91" s="103">
        <f t="shared" si="46"/>
        <v>0</v>
      </c>
      <c r="L91" s="103">
        <f t="shared" si="46"/>
        <v>0</v>
      </c>
      <c r="M91" s="103">
        <f t="shared" si="46"/>
        <v>0</v>
      </c>
      <c r="N91" s="103">
        <f t="shared" si="46"/>
        <v>0</v>
      </c>
      <c r="O91" s="103">
        <f t="shared" si="46"/>
        <v>0</v>
      </c>
      <c r="P91" s="103" t="str">
        <f t="shared" si="46"/>
        <v/>
      </c>
      <c r="Q91" s="103" t="str">
        <f t="shared" si="46"/>
        <v/>
      </c>
      <c r="R91" s="103" t="str">
        <f t="shared" si="46"/>
        <v/>
      </c>
      <c r="S91" s="103" t="str">
        <f t="shared" si="46"/>
        <v/>
      </c>
      <c r="T91" s="103" t="str">
        <f t="shared" si="46"/>
        <v/>
      </c>
      <c r="U91" s="103" t="str">
        <f t="shared" si="46"/>
        <v/>
      </c>
      <c r="V91" s="103" t="str">
        <f t="shared" si="46"/>
        <v/>
      </c>
      <c r="W91" s="103" t="str">
        <f t="shared" si="46"/>
        <v/>
      </c>
      <c r="X91" s="103" t="str">
        <f t="shared" si="46"/>
        <v/>
      </c>
      <c r="Y91" s="103" t="str">
        <f t="shared" si="46"/>
        <v/>
      </c>
      <c r="Z91" s="103" t="str">
        <f t="shared" si="46"/>
        <v/>
      </c>
      <c r="AA91" s="103" t="str">
        <f t="shared" si="46"/>
        <v/>
      </c>
      <c r="AB91" s="103" t="str">
        <f t="shared" si="46"/>
        <v/>
      </c>
    </row>
    <row r="92" spans="1:30" ht="18" customHeight="1" outlineLevel="2" x14ac:dyDescent="0.25">
      <c r="A92" s="9" t="str">
        <f t="shared" si="41"/>
        <v>Propylene [Nl/h]</v>
      </c>
      <c r="B92" s="219"/>
      <c r="C92" s="103">
        <f t="shared" si="42"/>
        <v>2.1315174821668818E-3</v>
      </c>
      <c r="D92" s="103">
        <f t="shared" ref="D92:AB92" si="47">IF(D$86="","",D24/100*D$86)</f>
        <v>3.9638559371165342E-3</v>
      </c>
      <c r="E92" s="103">
        <f t="shared" si="47"/>
        <v>1.686475370505665E-3</v>
      </c>
      <c r="F92" s="103">
        <f t="shared" si="47"/>
        <v>3.4671761641740517E-3</v>
      </c>
      <c r="G92" s="103">
        <f t="shared" si="47"/>
        <v>3.8744216371654769E-3</v>
      </c>
      <c r="H92" s="103">
        <f t="shared" si="47"/>
        <v>2.9529289394554683E-3</v>
      </c>
      <c r="I92" s="103">
        <f t="shared" si="47"/>
        <v>2.6191473557095552E-3</v>
      </c>
      <c r="J92" s="103">
        <f t="shared" si="47"/>
        <v>2.2933509773164157E-3</v>
      </c>
      <c r="K92" s="103">
        <f t="shared" si="47"/>
        <v>1.8877025453955456E-3</v>
      </c>
      <c r="L92" s="103">
        <f t="shared" si="47"/>
        <v>1.028494449437167E-3</v>
      </c>
      <c r="M92" s="103">
        <f t="shared" si="47"/>
        <v>6.9471286569125403E-4</v>
      </c>
      <c r="N92" s="103">
        <f t="shared" si="47"/>
        <v>6.3562234608073359E-4</v>
      </c>
      <c r="O92" s="103">
        <f t="shared" si="47"/>
        <v>4.7432119795471825E-4</v>
      </c>
      <c r="P92" s="103" t="str">
        <f t="shared" si="47"/>
        <v/>
      </c>
      <c r="Q92" s="103" t="str">
        <f t="shared" si="47"/>
        <v/>
      </c>
      <c r="R92" s="103" t="str">
        <f t="shared" si="47"/>
        <v/>
      </c>
      <c r="S92" s="103" t="str">
        <f t="shared" si="47"/>
        <v/>
      </c>
      <c r="T92" s="103" t="str">
        <f t="shared" si="47"/>
        <v/>
      </c>
      <c r="U92" s="103" t="str">
        <f t="shared" si="47"/>
        <v/>
      </c>
      <c r="V92" s="103" t="str">
        <f t="shared" si="47"/>
        <v/>
      </c>
      <c r="W92" s="103" t="str">
        <f t="shared" si="47"/>
        <v/>
      </c>
      <c r="X92" s="103" t="str">
        <f t="shared" si="47"/>
        <v/>
      </c>
      <c r="Y92" s="103" t="str">
        <f t="shared" si="47"/>
        <v/>
      </c>
      <c r="Z92" s="103" t="str">
        <f t="shared" si="47"/>
        <v/>
      </c>
      <c r="AA92" s="103" t="str">
        <f t="shared" si="47"/>
        <v/>
      </c>
      <c r="AB92" s="103" t="str">
        <f t="shared" si="47"/>
        <v/>
      </c>
    </row>
    <row r="93" spans="1:30" ht="18" customHeight="1" outlineLevel="2" x14ac:dyDescent="0.25">
      <c r="A93" s="9" t="str">
        <f t="shared" si="41"/>
        <v>Butane [Nl/h]</v>
      </c>
      <c r="B93" s="219"/>
      <c r="C93" s="103">
        <f t="shared" si="42"/>
        <v>2.5060236132119374E-3</v>
      </c>
      <c r="D93" s="103">
        <f t="shared" ref="D93:AB93" si="48">IF(D$86="","",D25/100*D$86)</f>
        <v>6.2124897644574211E-4</v>
      </c>
      <c r="E93" s="103">
        <f t="shared" si="48"/>
        <v>2.9369585287499218E-3</v>
      </c>
      <c r="F93" s="103">
        <f t="shared" si="48"/>
        <v>3.8871979657299134E-3</v>
      </c>
      <c r="G93" s="103">
        <f t="shared" si="48"/>
        <v>3.9095565407176779E-3</v>
      </c>
      <c r="H93" s="103">
        <f t="shared" si="48"/>
        <v>3.2659489892841709E-3</v>
      </c>
      <c r="I93" s="103">
        <f t="shared" si="48"/>
        <v>3.7817932550733091E-3</v>
      </c>
      <c r="J93" s="103">
        <f t="shared" si="48"/>
        <v>2.7932248324000078E-3</v>
      </c>
      <c r="K93" s="103">
        <f t="shared" si="48"/>
        <v>2.7101786967311677E-3</v>
      </c>
      <c r="L93" s="103">
        <f t="shared" si="48"/>
        <v>1.9675545989232758E-3</v>
      </c>
      <c r="M93" s="103">
        <f t="shared" si="48"/>
        <v>1.5331594277324227E-3</v>
      </c>
      <c r="N93" s="103">
        <f t="shared" si="48"/>
        <v>1.4197695117230454E-3</v>
      </c>
      <c r="O93" s="103">
        <f t="shared" si="48"/>
        <v>1.2456920350325934E-3</v>
      </c>
      <c r="P93" s="103" t="str">
        <f t="shared" si="48"/>
        <v/>
      </c>
      <c r="Q93" s="103" t="str">
        <f t="shared" si="48"/>
        <v/>
      </c>
      <c r="R93" s="103" t="str">
        <f t="shared" si="48"/>
        <v/>
      </c>
      <c r="S93" s="103" t="str">
        <f t="shared" si="48"/>
        <v/>
      </c>
      <c r="T93" s="103" t="str">
        <f t="shared" si="48"/>
        <v/>
      </c>
      <c r="U93" s="103" t="str">
        <f t="shared" si="48"/>
        <v/>
      </c>
      <c r="V93" s="103" t="str">
        <f t="shared" si="48"/>
        <v/>
      </c>
      <c r="W93" s="103" t="str">
        <f t="shared" si="48"/>
        <v/>
      </c>
      <c r="X93" s="103" t="str">
        <f t="shared" si="48"/>
        <v/>
      </c>
      <c r="Y93" s="103" t="str">
        <f t="shared" si="48"/>
        <v/>
      </c>
      <c r="Z93" s="103" t="str">
        <f t="shared" si="48"/>
        <v/>
      </c>
      <c r="AA93" s="103" t="str">
        <f t="shared" si="48"/>
        <v/>
      </c>
      <c r="AB93" s="103" t="str">
        <f t="shared" si="48"/>
        <v/>
      </c>
    </row>
    <row r="94" spans="1:30" ht="18" customHeight="1" outlineLevel="2" x14ac:dyDescent="0.25">
      <c r="A94" s="9" t="str">
        <f t="shared" si="41"/>
        <v>Pentane [Nl/h]</v>
      </c>
      <c r="B94" s="219"/>
      <c r="C94" s="103">
        <f t="shared" si="42"/>
        <v>0</v>
      </c>
      <c r="D94" s="103">
        <f t="shared" ref="D94:AB94" si="49">IF(D$86="","",D26/100*D$86)</f>
        <v>0</v>
      </c>
      <c r="E94" s="103">
        <f t="shared" si="49"/>
        <v>0</v>
      </c>
      <c r="F94" s="103">
        <f t="shared" si="49"/>
        <v>0</v>
      </c>
      <c r="G94" s="103">
        <f t="shared" si="49"/>
        <v>0</v>
      </c>
      <c r="H94" s="103">
        <f t="shared" si="49"/>
        <v>0</v>
      </c>
      <c r="I94" s="103">
        <f t="shared" si="49"/>
        <v>0</v>
      </c>
      <c r="J94" s="103">
        <f t="shared" si="49"/>
        <v>0</v>
      </c>
      <c r="K94" s="103">
        <f t="shared" si="49"/>
        <v>0</v>
      </c>
      <c r="L94" s="103">
        <f t="shared" si="49"/>
        <v>0</v>
      </c>
      <c r="M94" s="103">
        <f t="shared" si="49"/>
        <v>0</v>
      </c>
      <c r="N94" s="103">
        <f t="shared" si="49"/>
        <v>0</v>
      </c>
      <c r="O94" s="103">
        <f t="shared" si="49"/>
        <v>0</v>
      </c>
      <c r="P94" s="103" t="str">
        <f t="shared" si="49"/>
        <v/>
      </c>
      <c r="Q94" s="103" t="str">
        <f t="shared" si="49"/>
        <v/>
      </c>
      <c r="R94" s="103" t="str">
        <f t="shared" si="49"/>
        <v/>
      </c>
      <c r="S94" s="103" t="str">
        <f t="shared" si="49"/>
        <v/>
      </c>
      <c r="T94" s="103" t="str">
        <f t="shared" si="49"/>
        <v/>
      </c>
      <c r="U94" s="103" t="str">
        <f t="shared" si="49"/>
        <v/>
      </c>
      <c r="V94" s="103" t="str">
        <f t="shared" si="49"/>
        <v/>
      </c>
      <c r="W94" s="103" t="str">
        <f t="shared" si="49"/>
        <v/>
      </c>
      <c r="X94" s="103" t="str">
        <f t="shared" si="49"/>
        <v/>
      </c>
      <c r="Y94" s="103" t="str">
        <f t="shared" si="49"/>
        <v/>
      </c>
      <c r="Z94" s="103" t="str">
        <f t="shared" si="49"/>
        <v/>
      </c>
      <c r="AA94" s="103" t="str">
        <f t="shared" si="49"/>
        <v/>
      </c>
      <c r="AB94" s="103" t="str">
        <f t="shared" si="49"/>
        <v/>
      </c>
    </row>
    <row r="95" spans="1:30" ht="18" customHeight="1" outlineLevel="2" x14ac:dyDescent="0.25">
      <c r="A95" s="9" t="str">
        <f t="shared" si="41"/>
        <v>C6s (Isomers of hexane?) [Nl/h]</v>
      </c>
      <c r="B95" s="219"/>
      <c r="C95" s="103">
        <f t="shared" si="42"/>
        <v>0</v>
      </c>
      <c r="D95" s="103">
        <f t="shared" ref="D95:AB95" si="50">IF(D$86="","",D27/100*D$86)</f>
        <v>0</v>
      </c>
      <c r="E95" s="103">
        <f t="shared" si="50"/>
        <v>0</v>
      </c>
      <c r="F95" s="103">
        <f t="shared" si="50"/>
        <v>0</v>
      </c>
      <c r="G95" s="103">
        <f t="shared" si="50"/>
        <v>0</v>
      </c>
      <c r="H95" s="103">
        <f t="shared" si="50"/>
        <v>0</v>
      </c>
      <c r="I95" s="103">
        <f t="shared" si="50"/>
        <v>0</v>
      </c>
      <c r="J95" s="103">
        <f t="shared" si="50"/>
        <v>0</v>
      </c>
      <c r="K95" s="103">
        <f t="shared" si="50"/>
        <v>0</v>
      </c>
      <c r="L95" s="103">
        <f t="shared" si="50"/>
        <v>0</v>
      </c>
      <c r="M95" s="103">
        <f t="shared" si="50"/>
        <v>0</v>
      </c>
      <c r="N95" s="103">
        <f t="shared" si="50"/>
        <v>0</v>
      </c>
      <c r="O95" s="103">
        <f t="shared" si="50"/>
        <v>0</v>
      </c>
      <c r="P95" s="103" t="str">
        <f t="shared" si="50"/>
        <v/>
      </c>
      <c r="Q95" s="103" t="str">
        <f t="shared" si="50"/>
        <v/>
      </c>
      <c r="R95" s="103" t="str">
        <f t="shared" si="50"/>
        <v/>
      </c>
      <c r="S95" s="103" t="str">
        <f t="shared" si="50"/>
        <v/>
      </c>
      <c r="T95" s="103" t="str">
        <f t="shared" si="50"/>
        <v/>
      </c>
      <c r="U95" s="103" t="str">
        <f t="shared" si="50"/>
        <v/>
      </c>
      <c r="V95" s="103" t="str">
        <f t="shared" si="50"/>
        <v/>
      </c>
      <c r="W95" s="103" t="str">
        <f t="shared" si="50"/>
        <v/>
      </c>
      <c r="X95" s="103" t="str">
        <f t="shared" si="50"/>
        <v/>
      </c>
      <c r="Y95" s="103" t="str">
        <f t="shared" si="50"/>
        <v/>
      </c>
      <c r="Z95" s="103" t="str">
        <f t="shared" si="50"/>
        <v/>
      </c>
      <c r="AA95" s="103" t="str">
        <f t="shared" si="50"/>
        <v/>
      </c>
      <c r="AB95" s="103" t="str">
        <f t="shared" si="50"/>
        <v/>
      </c>
    </row>
    <row r="96" spans="1:30" ht="18" customHeight="1" outlineLevel="2" x14ac:dyDescent="0.25">
      <c r="A96" s="9" t="str">
        <f t="shared" si="41"/>
        <v>Hexane [Nl/h]</v>
      </c>
      <c r="B96" s="219"/>
      <c r="C96" s="103">
        <f t="shared" si="42"/>
        <v>0</v>
      </c>
      <c r="D96" s="103">
        <f t="shared" ref="D96:AB96" si="51">IF(D$86="","",D28/100*D$86)</f>
        <v>0</v>
      </c>
      <c r="E96" s="103">
        <f t="shared" si="51"/>
        <v>0</v>
      </c>
      <c r="F96" s="103">
        <f t="shared" si="51"/>
        <v>0</v>
      </c>
      <c r="G96" s="103">
        <f t="shared" si="51"/>
        <v>0</v>
      </c>
      <c r="H96" s="103">
        <f t="shared" si="51"/>
        <v>0</v>
      </c>
      <c r="I96" s="103">
        <f t="shared" si="51"/>
        <v>0</v>
      </c>
      <c r="J96" s="103">
        <f t="shared" si="51"/>
        <v>0</v>
      </c>
      <c r="K96" s="103">
        <f t="shared" si="51"/>
        <v>0</v>
      </c>
      <c r="L96" s="103">
        <f t="shared" si="51"/>
        <v>0</v>
      </c>
      <c r="M96" s="103">
        <f t="shared" si="51"/>
        <v>0</v>
      </c>
      <c r="N96" s="103">
        <f t="shared" si="51"/>
        <v>0</v>
      </c>
      <c r="O96" s="103">
        <f t="shared" si="51"/>
        <v>0</v>
      </c>
      <c r="P96" s="103" t="str">
        <f t="shared" si="51"/>
        <v/>
      </c>
      <c r="Q96" s="103" t="str">
        <f t="shared" si="51"/>
        <v/>
      </c>
      <c r="R96" s="103" t="str">
        <f t="shared" si="51"/>
        <v/>
      </c>
      <c r="S96" s="103" t="str">
        <f t="shared" si="51"/>
        <v/>
      </c>
      <c r="T96" s="103" t="str">
        <f t="shared" si="51"/>
        <v/>
      </c>
      <c r="U96" s="103" t="str">
        <f t="shared" si="51"/>
        <v/>
      </c>
      <c r="V96" s="103" t="str">
        <f t="shared" si="51"/>
        <v/>
      </c>
      <c r="W96" s="103" t="str">
        <f t="shared" si="51"/>
        <v/>
      </c>
      <c r="X96" s="103" t="str">
        <f t="shared" si="51"/>
        <v/>
      </c>
      <c r="Y96" s="103" t="str">
        <f t="shared" si="51"/>
        <v/>
      </c>
      <c r="Z96" s="103" t="str">
        <f t="shared" si="51"/>
        <v/>
      </c>
      <c r="AA96" s="103" t="str">
        <f t="shared" si="51"/>
        <v/>
      </c>
      <c r="AB96" s="103" t="str">
        <f t="shared" si="51"/>
        <v/>
      </c>
    </row>
    <row r="97" spans="1:28" ht="18" customHeight="1" outlineLevel="2" x14ac:dyDescent="0.25">
      <c r="A97" s="9" t="str">
        <f t="shared" si="41"/>
        <v>C4 [Nl/h]</v>
      </c>
      <c r="B97" s="219"/>
      <c r="C97" s="103">
        <f t="shared" si="42"/>
        <v>0.53793081144788479</v>
      </c>
      <c r="D97" s="103">
        <f t="shared" ref="D97:AB97" si="52">IF(D$86="","",D29/100*D$86)</f>
        <v>2.1507352097158892E-2</v>
      </c>
      <c r="E97" s="103">
        <f t="shared" si="52"/>
        <v>0.56157553684446915</v>
      </c>
      <c r="F97" s="103">
        <f t="shared" si="52"/>
        <v>0.94191725596133113</v>
      </c>
      <c r="G97" s="103">
        <f t="shared" si="52"/>
        <v>0.91620329768433129</v>
      </c>
      <c r="H97" s="103">
        <f t="shared" si="52"/>
        <v>0.70188837122125591</v>
      </c>
      <c r="I97" s="103">
        <f t="shared" si="52"/>
        <v>0.82427441958106706</v>
      </c>
      <c r="J97" s="103">
        <f t="shared" si="52"/>
        <v>0.68290274697450271</v>
      </c>
      <c r="K97" s="103">
        <f t="shared" si="52"/>
        <v>0.58988628390219078</v>
      </c>
      <c r="L97" s="103">
        <f t="shared" si="52"/>
        <v>0.33930894289110242</v>
      </c>
      <c r="M97" s="103">
        <f t="shared" si="52"/>
        <v>0.29834483943137668</v>
      </c>
      <c r="N97" s="103">
        <f t="shared" si="52"/>
        <v>0.29543023947761454</v>
      </c>
      <c r="O97" s="103">
        <f t="shared" si="52"/>
        <v>0.28193045130821642</v>
      </c>
      <c r="P97" s="103" t="str">
        <f t="shared" si="52"/>
        <v/>
      </c>
      <c r="Q97" s="103" t="str">
        <f t="shared" si="52"/>
        <v/>
      </c>
      <c r="R97" s="103" t="str">
        <f t="shared" si="52"/>
        <v/>
      </c>
      <c r="S97" s="103" t="str">
        <f t="shared" si="52"/>
        <v/>
      </c>
      <c r="T97" s="103" t="str">
        <f t="shared" si="52"/>
        <v/>
      </c>
      <c r="U97" s="103" t="str">
        <f t="shared" si="52"/>
        <v/>
      </c>
      <c r="V97" s="103" t="str">
        <f t="shared" si="52"/>
        <v/>
      </c>
      <c r="W97" s="103" t="str">
        <f t="shared" si="52"/>
        <v/>
      </c>
      <c r="X97" s="103" t="str">
        <f t="shared" si="52"/>
        <v/>
      </c>
      <c r="Y97" s="103" t="str">
        <f t="shared" si="52"/>
        <v/>
      </c>
      <c r="Z97" s="103" t="str">
        <f t="shared" si="52"/>
        <v/>
      </c>
      <c r="AA97" s="103" t="str">
        <f t="shared" si="52"/>
        <v/>
      </c>
      <c r="AB97" s="103" t="str">
        <f t="shared" si="52"/>
        <v/>
      </c>
    </row>
    <row r="98" spans="1:28" ht="18" customHeight="1" outlineLevel="2" x14ac:dyDescent="0.25">
      <c r="A98" s="9" t="str">
        <f t="shared" si="41"/>
        <v>C5 [Nl/h]</v>
      </c>
      <c r="B98" s="219"/>
      <c r="C98" s="103">
        <f t="shared" si="42"/>
        <v>1.8859212244175944E-3</v>
      </c>
      <c r="D98" s="103">
        <f t="shared" ref="D98:AB98" si="53">IF(D$86="","",D30/100*D$86)</f>
        <v>1.3528732857437055E-2</v>
      </c>
      <c r="E98" s="103">
        <f t="shared" si="53"/>
        <v>3.010555896771662E-3</v>
      </c>
      <c r="F98" s="103">
        <f t="shared" si="53"/>
        <v>0</v>
      </c>
      <c r="G98" s="103">
        <f t="shared" si="53"/>
        <v>0</v>
      </c>
      <c r="H98" s="103">
        <f t="shared" si="53"/>
        <v>0</v>
      </c>
      <c r="I98" s="103">
        <f t="shared" si="53"/>
        <v>0</v>
      </c>
      <c r="J98" s="103">
        <f t="shared" si="53"/>
        <v>0</v>
      </c>
      <c r="K98" s="103">
        <f t="shared" si="53"/>
        <v>0</v>
      </c>
      <c r="L98" s="103">
        <f t="shared" si="53"/>
        <v>1.7321129693528602E-3</v>
      </c>
      <c r="M98" s="103">
        <f t="shared" si="53"/>
        <v>1.7184017195305758E-3</v>
      </c>
      <c r="N98" s="103">
        <f t="shared" si="53"/>
        <v>1.4789418592463062E-3</v>
      </c>
      <c r="O98" s="103">
        <f t="shared" si="53"/>
        <v>1.1623093906726759E-3</v>
      </c>
      <c r="P98" s="103" t="str">
        <f t="shared" si="53"/>
        <v/>
      </c>
      <c r="Q98" s="103" t="str">
        <f t="shared" si="53"/>
        <v/>
      </c>
      <c r="R98" s="103" t="str">
        <f t="shared" si="53"/>
        <v/>
      </c>
      <c r="S98" s="103" t="str">
        <f t="shared" si="53"/>
        <v/>
      </c>
      <c r="T98" s="103" t="str">
        <f t="shared" si="53"/>
        <v/>
      </c>
      <c r="U98" s="103" t="str">
        <f t="shared" si="53"/>
        <v/>
      </c>
      <c r="V98" s="103" t="str">
        <f t="shared" si="53"/>
        <v/>
      </c>
      <c r="W98" s="103" t="str">
        <f t="shared" si="53"/>
        <v/>
      </c>
      <c r="X98" s="103" t="str">
        <f t="shared" si="53"/>
        <v/>
      </c>
      <c r="Y98" s="103" t="str">
        <f t="shared" si="53"/>
        <v/>
      </c>
      <c r="Z98" s="103" t="str">
        <f t="shared" si="53"/>
        <v/>
      </c>
      <c r="AA98" s="103" t="str">
        <f t="shared" si="53"/>
        <v/>
      </c>
      <c r="AB98" s="103" t="str">
        <f t="shared" si="53"/>
        <v/>
      </c>
    </row>
    <row r="99" spans="1:28" ht="18" customHeight="1" outlineLevel="2" x14ac:dyDescent="0.25">
      <c r="A99" s="9" t="str">
        <f t="shared" si="41"/>
        <v>C6 [Nl/h]</v>
      </c>
      <c r="B99" s="219"/>
      <c r="C99" s="103">
        <f t="shared" si="42"/>
        <v>4.11903509447209E-4</v>
      </c>
      <c r="D99" s="103">
        <f t="shared" ref="D99:AB99" si="54">IF(D$86="","",D31/100*D$86)</f>
        <v>3.1461709089925752E-4</v>
      </c>
      <c r="E99" s="103">
        <f t="shared" si="54"/>
        <v>1.4469192099224738E-3</v>
      </c>
      <c r="F99" s="103">
        <f t="shared" si="54"/>
        <v>4.1523067834419776E-4</v>
      </c>
      <c r="G99" s="103">
        <f t="shared" si="54"/>
        <v>0</v>
      </c>
      <c r="H99" s="103">
        <f t="shared" si="54"/>
        <v>0</v>
      </c>
      <c r="I99" s="103">
        <f t="shared" si="54"/>
        <v>2.7660751342005793E-3</v>
      </c>
      <c r="J99" s="103">
        <f t="shared" si="54"/>
        <v>0</v>
      </c>
      <c r="K99" s="103">
        <f t="shared" si="54"/>
        <v>0</v>
      </c>
      <c r="L99" s="103">
        <f t="shared" si="54"/>
        <v>0</v>
      </c>
      <c r="M99" s="103">
        <f t="shared" si="54"/>
        <v>0</v>
      </c>
      <c r="N99" s="103">
        <f t="shared" si="54"/>
        <v>0</v>
      </c>
      <c r="O99" s="103">
        <f t="shared" si="54"/>
        <v>0</v>
      </c>
      <c r="P99" s="103" t="str">
        <f t="shared" si="54"/>
        <v/>
      </c>
      <c r="Q99" s="103" t="str">
        <f t="shared" si="54"/>
        <v/>
      </c>
      <c r="R99" s="103" t="str">
        <f t="shared" si="54"/>
        <v/>
      </c>
      <c r="S99" s="103" t="str">
        <f t="shared" si="54"/>
        <v/>
      </c>
      <c r="T99" s="103" t="str">
        <f t="shared" si="54"/>
        <v/>
      </c>
      <c r="U99" s="103" t="str">
        <f t="shared" si="54"/>
        <v/>
      </c>
      <c r="V99" s="103" t="str">
        <f t="shared" si="54"/>
        <v/>
      </c>
      <c r="W99" s="103" t="str">
        <f t="shared" si="54"/>
        <v/>
      </c>
      <c r="X99" s="103" t="str">
        <f t="shared" si="54"/>
        <v/>
      </c>
      <c r="Y99" s="103" t="str">
        <f t="shared" si="54"/>
        <v/>
      </c>
      <c r="Z99" s="103" t="str">
        <f t="shared" si="54"/>
        <v/>
      </c>
      <c r="AA99" s="103" t="str">
        <f t="shared" si="54"/>
        <v/>
      </c>
      <c r="AB99" s="103" t="str">
        <f t="shared" si="54"/>
        <v/>
      </c>
    </row>
    <row r="100" spans="1:28" ht="18" customHeight="1" outlineLevel="2" x14ac:dyDescent="0.25">
      <c r="A100" s="9" t="str">
        <f t="shared" si="41"/>
        <v>C6 Above [Nl/h]</v>
      </c>
      <c r="B100" s="219"/>
      <c r="C100" s="103">
        <f t="shared" si="42"/>
        <v>9.0527208390340855E-2</v>
      </c>
      <c r="D100" s="103">
        <f t="shared" ref="D100:AB100" si="55">IF(D$86="","",D32/100*D$86)</f>
        <v>1.2650162319863042E-2</v>
      </c>
      <c r="E100" s="103">
        <f t="shared" si="55"/>
        <v>0.10023029758800713</v>
      </c>
      <c r="F100" s="103">
        <f t="shared" si="55"/>
        <v>0.13701654160716195</v>
      </c>
      <c r="G100" s="103">
        <f t="shared" si="55"/>
        <v>0.12579892512758642</v>
      </c>
      <c r="H100" s="103">
        <f t="shared" si="55"/>
        <v>0.10708639490389807</v>
      </c>
      <c r="I100" s="103">
        <f t="shared" si="55"/>
        <v>0.29938451316830772</v>
      </c>
      <c r="J100" s="103">
        <f t="shared" si="55"/>
        <v>0.15376790539620921</v>
      </c>
      <c r="K100" s="103">
        <f t="shared" si="55"/>
        <v>5.396721185618128E-2</v>
      </c>
      <c r="L100" s="103">
        <f t="shared" si="55"/>
        <v>2.8705216202148508E-2</v>
      </c>
      <c r="M100" s="103">
        <f t="shared" si="55"/>
        <v>2.3308814424744487E-2</v>
      </c>
      <c r="N100" s="103">
        <f t="shared" si="55"/>
        <v>2.2959062430293029E-2</v>
      </c>
      <c r="O100" s="103">
        <f t="shared" si="55"/>
        <v>2.1451455659689481E-2</v>
      </c>
      <c r="P100" s="103" t="str">
        <f t="shared" si="55"/>
        <v/>
      </c>
      <c r="Q100" s="103" t="str">
        <f t="shared" si="55"/>
        <v/>
      </c>
      <c r="R100" s="103" t="str">
        <f t="shared" si="55"/>
        <v/>
      </c>
      <c r="S100" s="103" t="str">
        <f t="shared" si="55"/>
        <v/>
      </c>
      <c r="T100" s="103" t="str">
        <f t="shared" si="55"/>
        <v/>
      </c>
      <c r="U100" s="103" t="str">
        <f t="shared" si="55"/>
        <v/>
      </c>
      <c r="V100" s="103" t="str">
        <f t="shared" si="55"/>
        <v/>
      </c>
      <c r="W100" s="103" t="str">
        <f t="shared" si="55"/>
        <v/>
      </c>
      <c r="X100" s="103" t="str">
        <f t="shared" si="55"/>
        <v/>
      </c>
      <c r="Y100" s="103" t="str">
        <f t="shared" si="55"/>
        <v/>
      </c>
      <c r="Z100" s="103" t="str">
        <f t="shared" si="55"/>
        <v/>
      </c>
      <c r="AA100" s="103" t="str">
        <f t="shared" si="55"/>
        <v/>
      </c>
      <c r="AB100" s="103" t="str">
        <f t="shared" si="55"/>
        <v/>
      </c>
    </row>
    <row r="101" spans="1:28" ht="18" customHeight="1" outlineLevel="2" x14ac:dyDescent="0.25">
      <c r="A101" s="9" t="str">
        <f t="shared" si="41"/>
        <v>Benzene [Nl/h]</v>
      </c>
      <c r="B101" s="219"/>
      <c r="C101" s="103">
        <f t="shared" si="42"/>
        <v>0</v>
      </c>
      <c r="D101" s="103">
        <f t="shared" ref="D101:AB101" si="56">IF(D$86="","",D33/100*D$86)</f>
        <v>0</v>
      </c>
      <c r="E101" s="103">
        <f t="shared" si="56"/>
        <v>0</v>
      </c>
      <c r="F101" s="103">
        <f t="shared" si="56"/>
        <v>0</v>
      </c>
      <c r="G101" s="103">
        <f t="shared" si="56"/>
        <v>0</v>
      </c>
      <c r="H101" s="103">
        <f t="shared" si="56"/>
        <v>0</v>
      </c>
      <c r="I101" s="103">
        <f t="shared" si="56"/>
        <v>0</v>
      </c>
      <c r="J101" s="103">
        <f t="shared" si="56"/>
        <v>0</v>
      </c>
      <c r="K101" s="103">
        <f t="shared" si="56"/>
        <v>0</v>
      </c>
      <c r="L101" s="103">
        <f t="shared" si="56"/>
        <v>0</v>
      </c>
      <c r="M101" s="103">
        <f t="shared" si="56"/>
        <v>0</v>
      </c>
      <c r="N101" s="103">
        <f t="shared" si="56"/>
        <v>0</v>
      </c>
      <c r="O101" s="103">
        <f t="shared" si="56"/>
        <v>0</v>
      </c>
      <c r="P101" s="103" t="str">
        <f t="shared" si="56"/>
        <v/>
      </c>
      <c r="Q101" s="103" t="str">
        <f t="shared" si="56"/>
        <v/>
      </c>
      <c r="R101" s="103" t="str">
        <f t="shared" si="56"/>
        <v/>
      </c>
      <c r="S101" s="103" t="str">
        <f t="shared" si="56"/>
        <v/>
      </c>
      <c r="T101" s="103" t="str">
        <f t="shared" si="56"/>
        <v/>
      </c>
      <c r="U101" s="103" t="str">
        <f t="shared" si="56"/>
        <v/>
      </c>
      <c r="V101" s="103" t="str">
        <f t="shared" si="56"/>
        <v/>
      </c>
      <c r="W101" s="103" t="str">
        <f t="shared" si="56"/>
        <v/>
      </c>
      <c r="X101" s="103" t="str">
        <f t="shared" si="56"/>
        <v/>
      </c>
      <c r="Y101" s="103" t="str">
        <f t="shared" si="56"/>
        <v/>
      </c>
      <c r="Z101" s="103" t="str">
        <f t="shared" si="56"/>
        <v/>
      </c>
      <c r="AA101" s="103" t="str">
        <f t="shared" si="56"/>
        <v/>
      </c>
      <c r="AB101" s="103" t="str">
        <f t="shared" si="56"/>
        <v/>
      </c>
    </row>
    <row r="102" spans="1:28" ht="18" customHeight="1" outlineLevel="2" x14ac:dyDescent="0.25">
      <c r="A102" s="9" t="str">
        <f t="shared" si="41"/>
        <v>Toluene [Nl/h]</v>
      </c>
      <c r="B102" s="219"/>
      <c r="C102" s="103">
        <f t="shared" si="42"/>
        <v>0</v>
      </c>
      <c r="D102" s="103">
        <f t="shared" ref="D102:AB102" si="57">IF(D$86="","",D34/100*D$86)</f>
        <v>0</v>
      </c>
      <c r="E102" s="103">
        <f t="shared" si="57"/>
        <v>0</v>
      </c>
      <c r="F102" s="103">
        <f t="shared" si="57"/>
        <v>0</v>
      </c>
      <c r="G102" s="103">
        <f t="shared" si="57"/>
        <v>0</v>
      </c>
      <c r="H102" s="103">
        <f t="shared" si="57"/>
        <v>0</v>
      </c>
      <c r="I102" s="103">
        <f t="shared" si="57"/>
        <v>0</v>
      </c>
      <c r="J102" s="103">
        <f t="shared" si="57"/>
        <v>0</v>
      </c>
      <c r="K102" s="103">
        <f t="shared" si="57"/>
        <v>0</v>
      </c>
      <c r="L102" s="103">
        <f t="shared" si="57"/>
        <v>0</v>
      </c>
      <c r="M102" s="103">
        <f t="shared" si="57"/>
        <v>0</v>
      </c>
      <c r="N102" s="103">
        <f t="shared" si="57"/>
        <v>0</v>
      </c>
      <c r="O102" s="103">
        <f t="shared" si="57"/>
        <v>0</v>
      </c>
      <c r="P102" s="103" t="str">
        <f t="shared" si="57"/>
        <v/>
      </c>
      <c r="Q102" s="103" t="str">
        <f t="shared" si="57"/>
        <v/>
      </c>
      <c r="R102" s="103" t="str">
        <f t="shared" si="57"/>
        <v/>
      </c>
      <c r="S102" s="103" t="str">
        <f t="shared" si="57"/>
        <v/>
      </c>
      <c r="T102" s="103" t="str">
        <f t="shared" si="57"/>
        <v/>
      </c>
      <c r="U102" s="103" t="str">
        <f t="shared" si="57"/>
        <v/>
      </c>
      <c r="V102" s="103" t="str">
        <f t="shared" si="57"/>
        <v/>
      </c>
      <c r="W102" s="103" t="str">
        <f t="shared" si="57"/>
        <v/>
      </c>
      <c r="X102" s="103" t="str">
        <f t="shared" si="57"/>
        <v/>
      </c>
      <c r="Y102" s="103" t="str">
        <f t="shared" si="57"/>
        <v/>
      </c>
      <c r="Z102" s="103" t="str">
        <f t="shared" si="57"/>
        <v/>
      </c>
      <c r="AA102" s="103" t="str">
        <f t="shared" si="57"/>
        <v/>
      </c>
      <c r="AB102" s="103" t="str">
        <f t="shared" si="57"/>
        <v/>
      </c>
    </row>
    <row r="103" spans="1:28" ht="18" customHeight="1" outlineLevel="2" x14ac:dyDescent="0.25">
      <c r="A103" s="9" t="str">
        <f t="shared" si="41"/>
        <v>Ethylbenzene [Nl/h]</v>
      </c>
      <c r="B103" s="219"/>
      <c r="C103" s="103">
        <f t="shared" si="42"/>
        <v>0</v>
      </c>
      <c r="D103" s="103">
        <f t="shared" ref="D103:AB103" si="58">IF(D$86="","",D35/100*D$86)</f>
        <v>0</v>
      </c>
      <c r="E103" s="103">
        <f t="shared" si="58"/>
        <v>0</v>
      </c>
      <c r="F103" s="103">
        <f t="shared" si="58"/>
        <v>0</v>
      </c>
      <c r="G103" s="103">
        <f t="shared" si="58"/>
        <v>0</v>
      </c>
      <c r="H103" s="103">
        <f t="shared" si="58"/>
        <v>0</v>
      </c>
      <c r="I103" s="103">
        <f t="shared" si="58"/>
        <v>0</v>
      </c>
      <c r="J103" s="103">
        <f t="shared" si="58"/>
        <v>0</v>
      </c>
      <c r="K103" s="103">
        <f t="shared" si="58"/>
        <v>0</v>
      </c>
      <c r="L103" s="103">
        <f t="shared" si="58"/>
        <v>0</v>
      </c>
      <c r="M103" s="103">
        <f t="shared" si="58"/>
        <v>0</v>
      </c>
      <c r="N103" s="103">
        <f t="shared" si="58"/>
        <v>0</v>
      </c>
      <c r="O103" s="103">
        <f t="shared" si="58"/>
        <v>0</v>
      </c>
      <c r="P103" s="103" t="str">
        <f t="shared" si="58"/>
        <v/>
      </c>
      <c r="Q103" s="103" t="str">
        <f t="shared" si="58"/>
        <v/>
      </c>
      <c r="R103" s="103" t="str">
        <f t="shared" si="58"/>
        <v/>
      </c>
      <c r="S103" s="103" t="str">
        <f t="shared" si="58"/>
        <v/>
      </c>
      <c r="T103" s="103" t="str">
        <f t="shared" si="58"/>
        <v/>
      </c>
      <c r="U103" s="103" t="str">
        <f t="shared" si="58"/>
        <v/>
      </c>
      <c r="V103" s="103" t="str">
        <f t="shared" si="58"/>
        <v/>
      </c>
      <c r="W103" s="103" t="str">
        <f t="shared" si="58"/>
        <v/>
      </c>
      <c r="X103" s="103" t="str">
        <f t="shared" si="58"/>
        <v/>
      </c>
      <c r="Y103" s="103" t="str">
        <f t="shared" si="58"/>
        <v/>
      </c>
      <c r="Z103" s="103" t="str">
        <f t="shared" si="58"/>
        <v/>
      </c>
      <c r="AA103" s="103" t="str">
        <f t="shared" si="58"/>
        <v/>
      </c>
      <c r="AB103" s="103" t="str">
        <f t="shared" si="58"/>
        <v/>
      </c>
    </row>
    <row r="104" spans="1:28" ht="18" customHeight="1" outlineLevel="2" x14ac:dyDescent="0.25">
      <c r="A104" s="9" t="str">
        <f t="shared" si="41"/>
        <v>p-Xylene [Nl/h]</v>
      </c>
      <c r="B104" s="219"/>
      <c r="C104" s="103">
        <f t="shared" si="42"/>
        <v>1.0178475089668028E-3</v>
      </c>
      <c r="D104" s="103">
        <f t="shared" ref="D104:AB104" si="59">IF(D$86="","",D36/100*D$86)</f>
        <v>6.2188779287396393E-3</v>
      </c>
      <c r="E104" s="103">
        <f t="shared" si="59"/>
        <v>0</v>
      </c>
      <c r="F104" s="103">
        <f t="shared" si="59"/>
        <v>0</v>
      </c>
      <c r="G104" s="103">
        <f t="shared" si="59"/>
        <v>0</v>
      </c>
      <c r="H104" s="103">
        <f t="shared" si="59"/>
        <v>0</v>
      </c>
      <c r="I104" s="103">
        <f t="shared" si="59"/>
        <v>0</v>
      </c>
      <c r="J104" s="103">
        <f t="shared" si="59"/>
        <v>0</v>
      </c>
      <c r="K104" s="103">
        <f t="shared" si="59"/>
        <v>0</v>
      </c>
      <c r="L104" s="103">
        <f t="shared" si="59"/>
        <v>1.5635032080729605E-3</v>
      </c>
      <c r="M104" s="103">
        <f t="shared" si="59"/>
        <v>1.6002351526957163E-3</v>
      </c>
      <c r="N104" s="103">
        <f t="shared" si="59"/>
        <v>1.5139949348857672E-3</v>
      </c>
      <c r="O104" s="103">
        <f t="shared" si="59"/>
        <v>1.3175588832075509E-3</v>
      </c>
      <c r="P104" s="103" t="str">
        <f t="shared" si="59"/>
        <v/>
      </c>
      <c r="Q104" s="103" t="str">
        <f t="shared" si="59"/>
        <v/>
      </c>
      <c r="R104" s="103" t="str">
        <f t="shared" si="59"/>
        <v/>
      </c>
      <c r="S104" s="103" t="str">
        <f t="shared" si="59"/>
        <v/>
      </c>
      <c r="T104" s="103" t="str">
        <f t="shared" si="59"/>
        <v/>
      </c>
      <c r="U104" s="103" t="str">
        <f t="shared" si="59"/>
        <v/>
      </c>
      <c r="V104" s="103" t="str">
        <f t="shared" si="59"/>
        <v/>
      </c>
      <c r="W104" s="103" t="str">
        <f t="shared" si="59"/>
        <v/>
      </c>
      <c r="X104" s="103" t="str">
        <f t="shared" si="59"/>
        <v/>
      </c>
      <c r="Y104" s="103" t="str">
        <f t="shared" si="59"/>
        <v/>
      </c>
      <c r="Z104" s="103" t="str">
        <f t="shared" si="59"/>
        <v/>
      </c>
      <c r="AA104" s="103" t="str">
        <f t="shared" si="59"/>
        <v/>
      </c>
      <c r="AB104" s="103" t="str">
        <f t="shared" si="59"/>
        <v/>
      </c>
    </row>
    <row r="105" spans="1:28" ht="18" customHeight="1" outlineLevel="2" x14ac:dyDescent="0.25">
      <c r="A105" s="9" t="str">
        <f t="shared" si="41"/>
        <v>m-Xylene [Nl/h]</v>
      </c>
      <c r="B105" s="219"/>
      <c r="C105" s="103">
        <f t="shared" si="42"/>
        <v>6.3595506297043254E-3</v>
      </c>
      <c r="D105" s="103">
        <f t="shared" ref="D105:AB105" si="60">IF(D$86="","",D37/100*D$86)</f>
        <v>3.588551285536202E-3</v>
      </c>
      <c r="E105" s="103">
        <f t="shared" si="60"/>
        <v>1.0767250897679161E-2</v>
      </c>
      <c r="F105" s="103">
        <f t="shared" si="60"/>
        <v>5.8132294968187689E-3</v>
      </c>
      <c r="G105" s="103">
        <f t="shared" si="60"/>
        <v>4.7543912670410648E-3</v>
      </c>
      <c r="H105" s="103">
        <f t="shared" si="60"/>
        <v>5.6008230344350065E-3</v>
      </c>
      <c r="I105" s="103">
        <f t="shared" si="60"/>
        <v>2.0911655777842021E-2</v>
      </c>
      <c r="J105" s="103">
        <f t="shared" si="60"/>
        <v>1.0280153371160004E-2</v>
      </c>
      <c r="K105" s="103">
        <f t="shared" si="60"/>
        <v>4.6186427760439236E-3</v>
      </c>
      <c r="L105" s="103">
        <f t="shared" si="60"/>
        <v>2.8762709680688475E-3</v>
      </c>
      <c r="M105" s="103">
        <f t="shared" si="60"/>
        <v>2.3923675236908015E-3</v>
      </c>
      <c r="N105" s="103">
        <f t="shared" si="60"/>
        <v>2.3636207844208185E-3</v>
      </c>
      <c r="O105" s="103">
        <f t="shared" si="60"/>
        <v>2.347650373715272E-3</v>
      </c>
      <c r="P105" s="103" t="str">
        <f t="shared" si="60"/>
        <v/>
      </c>
      <c r="Q105" s="103" t="str">
        <f t="shared" si="60"/>
        <v/>
      </c>
      <c r="R105" s="103" t="str">
        <f t="shared" si="60"/>
        <v/>
      </c>
      <c r="S105" s="103" t="str">
        <f t="shared" si="60"/>
        <v/>
      </c>
      <c r="T105" s="103" t="str">
        <f t="shared" si="60"/>
        <v/>
      </c>
      <c r="U105" s="103" t="str">
        <f t="shared" si="60"/>
        <v/>
      </c>
      <c r="V105" s="103" t="str">
        <f t="shared" si="60"/>
        <v/>
      </c>
      <c r="W105" s="103" t="str">
        <f t="shared" si="60"/>
        <v/>
      </c>
      <c r="X105" s="103" t="str">
        <f t="shared" si="60"/>
        <v/>
      </c>
      <c r="Y105" s="103" t="str">
        <f t="shared" si="60"/>
        <v/>
      </c>
      <c r="Z105" s="103" t="str">
        <f t="shared" si="60"/>
        <v/>
      </c>
      <c r="AA105" s="103" t="str">
        <f t="shared" si="60"/>
        <v/>
      </c>
      <c r="AB105" s="103" t="str">
        <f t="shared" si="60"/>
        <v/>
      </c>
    </row>
    <row r="106" spans="1:28" ht="18" customHeight="1" outlineLevel="2" x14ac:dyDescent="0.25">
      <c r="A106" s="9" t="str">
        <f t="shared" si="41"/>
        <v>o-Xylene [Nl/h]</v>
      </c>
      <c r="B106" s="219"/>
      <c r="C106" s="103">
        <f t="shared" si="42"/>
        <v>0</v>
      </c>
      <c r="D106" s="103">
        <f t="shared" ref="D106:AB106" si="61">IF(D$86="","",D38/100*D$86)</f>
        <v>0</v>
      </c>
      <c r="E106" s="103">
        <f t="shared" si="61"/>
        <v>0</v>
      </c>
      <c r="F106" s="103">
        <f t="shared" si="61"/>
        <v>0</v>
      </c>
      <c r="G106" s="103">
        <f t="shared" si="61"/>
        <v>0</v>
      </c>
      <c r="H106" s="103">
        <f t="shared" si="61"/>
        <v>0</v>
      </c>
      <c r="I106" s="103">
        <f t="shared" si="61"/>
        <v>0</v>
      </c>
      <c r="J106" s="103">
        <f t="shared" si="61"/>
        <v>0</v>
      </c>
      <c r="K106" s="103">
        <f t="shared" si="61"/>
        <v>0</v>
      </c>
      <c r="L106" s="103">
        <f t="shared" si="61"/>
        <v>0</v>
      </c>
      <c r="M106" s="103">
        <f t="shared" si="61"/>
        <v>0</v>
      </c>
      <c r="N106" s="103">
        <f t="shared" si="61"/>
        <v>0</v>
      </c>
      <c r="O106" s="103">
        <f t="shared" si="61"/>
        <v>0</v>
      </c>
      <c r="P106" s="103" t="str">
        <f t="shared" si="61"/>
        <v/>
      </c>
      <c r="Q106" s="103" t="str">
        <f t="shared" si="61"/>
        <v/>
      </c>
      <c r="R106" s="103" t="str">
        <f t="shared" si="61"/>
        <v/>
      </c>
      <c r="S106" s="103" t="str">
        <f t="shared" si="61"/>
        <v/>
      </c>
      <c r="T106" s="103" t="str">
        <f t="shared" si="61"/>
        <v/>
      </c>
      <c r="U106" s="103" t="str">
        <f t="shared" si="61"/>
        <v/>
      </c>
      <c r="V106" s="103" t="str">
        <f t="shared" si="61"/>
        <v/>
      </c>
      <c r="W106" s="103" t="str">
        <f t="shared" si="61"/>
        <v/>
      </c>
      <c r="X106" s="103" t="str">
        <f t="shared" si="61"/>
        <v/>
      </c>
      <c r="Y106" s="103" t="str">
        <f t="shared" si="61"/>
        <v/>
      </c>
      <c r="Z106" s="103" t="str">
        <f t="shared" si="61"/>
        <v/>
      </c>
      <c r="AA106" s="103" t="str">
        <f t="shared" si="61"/>
        <v/>
      </c>
      <c r="AB106" s="103" t="str">
        <f t="shared" si="61"/>
        <v/>
      </c>
    </row>
    <row r="107" spans="1:28" ht="18" customHeight="1" outlineLevel="2" x14ac:dyDescent="0.25">
      <c r="A107" s="9" t="str">
        <f t="shared" si="41"/>
        <v>C6 Unknowns [Nl/h]</v>
      </c>
      <c r="B107" s="219"/>
      <c r="C107" s="103">
        <f t="shared" si="42"/>
        <v>0.53793081144788479</v>
      </c>
      <c r="D107" s="103">
        <f t="shared" ref="D107:AB107" si="62">IF(D$86="","",D39/100*D$86)</f>
        <v>2.1507352097158892E-2</v>
      </c>
      <c r="E107" s="103">
        <f t="shared" si="62"/>
        <v>0.56157553684446915</v>
      </c>
      <c r="F107" s="103">
        <f t="shared" si="62"/>
        <v>0.94191725596133113</v>
      </c>
      <c r="G107" s="103">
        <f t="shared" si="62"/>
        <v>0.91620329768433129</v>
      </c>
      <c r="H107" s="103">
        <f t="shared" si="62"/>
        <v>0.70188837122125591</v>
      </c>
      <c r="I107" s="103">
        <f t="shared" si="62"/>
        <v>0.82427441958106706</v>
      </c>
      <c r="J107" s="103">
        <f t="shared" si="62"/>
        <v>0.68290274697450271</v>
      </c>
      <c r="K107" s="103">
        <f t="shared" si="62"/>
        <v>0.58988628390219078</v>
      </c>
      <c r="L107" s="103">
        <f t="shared" si="62"/>
        <v>0.33930894289110242</v>
      </c>
      <c r="M107" s="103">
        <f t="shared" si="62"/>
        <v>0.29834483943137668</v>
      </c>
      <c r="N107" s="103">
        <f t="shared" si="62"/>
        <v>0.29543023947761454</v>
      </c>
      <c r="O107" s="103">
        <f t="shared" si="62"/>
        <v>0.28193045130821642</v>
      </c>
      <c r="P107" s="103" t="str">
        <f t="shared" si="62"/>
        <v/>
      </c>
      <c r="Q107" s="103" t="str">
        <f t="shared" si="62"/>
        <v/>
      </c>
      <c r="R107" s="103" t="str">
        <f t="shared" si="62"/>
        <v/>
      </c>
      <c r="S107" s="103" t="str">
        <f t="shared" si="62"/>
        <v/>
      </c>
      <c r="T107" s="103" t="str">
        <f t="shared" si="62"/>
        <v/>
      </c>
      <c r="U107" s="103" t="str">
        <f t="shared" si="62"/>
        <v/>
      </c>
      <c r="V107" s="103" t="str">
        <f t="shared" si="62"/>
        <v/>
      </c>
      <c r="W107" s="103" t="str">
        <f t="shared" si="62"/>
        <v/>
      </c>
      <c r="X107" s="103" t="str">
        <f t="shared" si="62"/>
        <v/>
      </c>
      <c r="Y107" s="103" t="str">
        <f t="shared" si="62"/>
        <v/>
      </c>
      <c r="Z107" s="103" t="str">
        <f t="shared" si="62"/>
        <v/>
      </c>
      <c r="AA107" s="103" t="str">
        <f t="shared" si="62"/>
        <v/>
      </c>
      <c r="AB107" s="103" t="str">
        <f t="shared" si="62"/>
        <v/>
      </c>
    </row>
    <row r="108" spans="1:28" ht="18" customHeight="1" outlineLevel="2" x14ac:dyDescent="0.25">
      <c r="A108" s="9" t="str">
        <f t="shared" si="41"/>
        <v>C8 Unknowns [Nl/h]</v>
      </c>
      <c r="B108" s="219"/>
      <c r="C108" s="103">
        <f t="shared" si="42"/>
        <v>1.8859724175691111E-3</v>
      </c>
      <c r="D108" s="103">
        <f t="shared" ref="D108:AB108" si="63">IF(D$86="","",D40/100*D$86)</f>
        <v>1.3528534908668075E-2</v>
      </c>
      <c r="E108" s="103">
        <f t="shared" si="63"/>
        <v>3.0104224179954343E-3</v>
      </c>
      <c r="F108" s="103">
        <f t="shared" si="63"/>
        <v>0</v>
      </c>
      <c r="G108" s="103">
        <f t="shared" si="63"/>
        <v>0</v>
      </c>
      <c r="H108" s="103">
        <f t="shared" si="63"/>
        <v>0</v>
      </c>
      <c r="I108" s="103">
        <f t="shared" si="63"/>
        <v>0</v>
      </c>
      <c r="J108" s="103">
        <f t="shared" si="63"/>
        <v>0</v>
      </c>
      <c r="K108" s="103">
        <f t="shared" si="63"/>
        <v>0</v>
      </c>
      <c r="L108" s="103">
        <f t="shared" si="63"/>
        <v>1.7327895615517484E-3</v>
      </c>
      <c r="M108" s="103">
        <f t="shared" si="63"/>
        <v>1.718416191916757E-3</v>
      </c>
      <c r="N108" s="103">
        <f t="shared" si="63"/>
        <v>1.478860031333566E-3</v>
      </c>
      <c r="O108" s="103">
        <f t="shared" si="63"/>
        <v>1.162645899363754E-3</v>
      </c>
      <c r="P108" s="103" t="str">
        <f t="shared" si="63"/>
        <v/>
      </c>
      <c r="Q108" s="103" t="str">
        <f t="shared" si="63"/>
        <v/>
      </c>
      <c r="R108" s="103" t="str">
        <f t="shared" si="63"/>
        <v/>
      </c>
      <c r="S108" s="103" t="str">
        <f t="shared" si="63"/>
        <v/>
      </c>
      <c r="T108" s="103" t="str">
        <f t="shared" si="63"/>
        <v/>
      </c>
      <c r="U108" s="103" t="str">
        <f t="shared" si="63"/>
        <v/>
      </c>
      <c r="V108" s="103" t="str">
        <f t="shared" si="63"/>
        <v/>
      </c>
      <c r="W108" s="103" t="str">
        <f t="shared" si="63"/>
        <v/>
      </c>
      <c r="X108" s="103" t="str">
        <f t="shared" si="63"/>
        <v/>
      </c>
      <c r="Y108" s="103" t="str">
        <f t="shared" si="63"/>
        <v/>
      </c>
      <c r="Z108" s="103" t="str">
        <f t="shared" si="63"/>
        <v/>
      </c>
      <c r="AA108" s="103" t="str">
        <f t="shared" si="63"/>
        <v/>
      </c>
      <c r="AB108" s="103" t="str">
        <f t="shared" si="63"/>
        <v/>
      </c>
    </row>
    <row r="109" spans="1:28" ht="18" customHeight="1" outlineLevel="2" x14ac:dyDescent="0.25">
      <c r="A109" s="9" t="str">
        <f t="shared" si="41"/>
        <v>C7 Unknowns [Nl/h]</v>
      </c>
      <c r="B109" s="219"/>
      <c r="C109" s="103">
        <f t="shared" si="42"/>
        <v>0</v>
      </c>
      <c r="D109" s="103">
        <f t="shared" ref="D109:AB109" si="64">IF(D$86="","",D41/100*D$86)</f>
        <v>0</v>
      </c>
      <c r="E109" s="103">
        <f t="shared" si="64"/>
        <v>0</v>
      </c>
      <c r="F109" s="103">
        <f t="shared" si="64"/>
        <v>0</v>
      </c>
      <c r="G109" s="103">
        <f t="shared" si="64"/>
        <v>0</v>
      </c>
      <c r="H109" s="103">
        <f t="shared" si="64"/>
        <v>0</v>
      </c>
      <c r="I109" s="103">
        <f t="shared" si="64"/>
        <v>0</v>
      </c>
      <c r="J109" s="103">
        <f t="shared" si="64"/>
        <v>0</v>
      </c>
      <c r="K109" s="103">
        <f t="shared" si="64"/>
        <v>0</v>
      </c>
      <c r="L109" s="103">
        <f t="shared" si="64"/>
        <v>0</v>
      </c>
      <c r="M109" s="103">
        <f t="shared" si="64"/>
        <v>0</v>
      </c>
      <c r="N109" s="103">
        <f t="shared" si="64"/>
        <v>0</v>
      </c>
      <c r="O109" s="103">
        <f t="shared" si="64"/>
        <v>0</v>
      </c>
      <c r="P109" s="103" t="str">
        <f t="shared" si="64"/>
        <v/>
      </c>
      <c r="Q109" s="103" t="str">
        <f t="shared" si="64"/>
        <v/>
      </c>
      <c r="R109" s="103" t="str">
        <f t="shared" si="64"/>
        <v/>
      </c>
      <c r="S109" s="103" t="str">
        <f t="shared" si="64"/>
        <v/>
      </c>
      <c r="T109" s="103" t="str">
        <f t="shared" si="64"/>
        <v/>
      </c>
      <c r="U109" s="103" t="str">
        <f t="shared" si="64"/>
        <v/>
      </c>
      <c r="V109" s="103" t="str">
        <f t="shared" si="64"/>
        <v/>
      </c>
      <c r="W109" s="103" t="str">
        <f t="shared" si="64"/>
        <v/>
      </c>
      <c r="X109" s="103" t="str">
        <f t="shared" si="64"/>
        <v/>
      </c>
      <c r="Y109" s="103" t="str">
        <f t="shared" si="64"/>
        <v/>
      </c>
      <c r="Z109" s="103" t="str">
        <f t="shared" si="64"/>
        <v/>
      </c>
      <c r="AA109" s="103" t="str">
        <f t="shared" si="64"/>
        <v/>
      </c>
      <c r="AB109" s="103" t="str">
        <f t="shared" si="64"/>
        <v/>
      </c>
    </row>
    <row r="110" spans="1:28" ht="18" customHeight="1" outlineLevel="2" x14ac:dyDescent="0.25">
      <c r="A110" s="9" t="str">
        <f t="shared" si="41"/>
        <v>CO2 [Nl/h]</v>
      </c>
      <c r="B110" s="219"/>
      <c r="C110" s="103">
        <f t="shared" si="42"/>
        <v>0</v>
      </c>
      <c r="D110" s="103">
        <f t="shared" ref="D110:AB110" si="65">IF(D$86="","",D42/100*D$86)</f>
        <v>0</v>
      </c>
      <c r="E110" s="103">
        <f t="shared" si="65"/>
        <v>0</v>
      </c>
      <c r="F110" s="103">
        <f t="shared" si="65"/>
        <v>0</v>
      </c>
      <c r="G110" s="103">
        <f t="shared" si="65"/>
        <v>0</v>
      </c>
      <c r="H110" s="103">
        <f t="shared" si="65"/>
        <v>0</v>
      </c>
      <c r="I110" s="103">
        <f t="shared" si="65"/>
        <v>0</v>
      </c>
      <c r="J110" s="103">
        <f t="shared" si="65"/>
        <v>0</v>
      </c>
      <c r="K110" s="103">
        <f t="shared" si="65"/>
        <v>0</v>
      </c>
      <c r="L110" s="103">
        <f t="shared" si="65"/>
        <v>0</v>
      </c>
      <c r="M110" s="103">
        <f t="shared" si="65"/>
        <v>0</v>
      </c>
      <c r="N110" s="103">
        <f t="shared" si="65"/>
        <v>0</v>
      </c>
      <c r="O110" s="103">
        <f t="shared" si="65"/>
        <v>0</v>
      </c>
      <c r="P110" s="103" t="str">
        <f t="shared" si="65"/>
        <v/>
      </c>
      <c r="Q110" s="103" t="str">
        <f t="shared" si="65"/>
        <v/>
      </c>
      <c r="R110" s="103" t="str">
        <f t="shared" si="65"/>
        <v/>
      </c>
      <c r="S110" s="103" t="str">
        <f t="shared" si="65"/>
        <v/>
      </c>
      <c r="T110" s="103" t="str">
        <f t="shared" si="65"/>
        <v/>
      </c>
      <c r="U110" s="103" t="str">
        <f t="shared" si="65"/>
        <v/>
      </c>
      <c r="V110" s="103" t="str">
        <f t="shared" si="65"/>
        <v/>
      </c>
      <c r="W110" s="103" t="str">
        <f t="shared" si="65"/>
        <v/>
      </c>
      <c r="X110" s="103" t="str">
        <f t="shared" si="65"/>
        <v/>
      </c>
      <c r="Y110" s="103" t="str">
        <f t="shared" si="65"/>
        <v/>
      </c>
      <c r="Z110" s="103" t="str">
        <f t="shared" si="65"/>
        <v/>
      </c>
      <c r="AA110" s="103" t="str">
        <f t="shared" si="65"/>
        <v/>
      </c>
      <c r="AB110" s="103" t="str">
        <f t="shared" si="65"/>
        <v/>
      </c>
    </row>
    <row r="111" spans="1:28" ht="18" customHeight="1" outlineLevel="2" x14ac:dyDescent="0.25">
      <c r="A111" s="9" t="str">
        <f t="shared" si="41"/>
        <v>Argon [Nl/h]</v>
      </c>
      <c r="B111" s="219"/>
      <c r="C111" s="103">
        <f t="shared" si="42"/>
        <v>7.2066902855527912</v>
      </c>
      <c r="D111" s="103">
        <f t="shared" ref="D111:AB111" si="66">IF(D$86="","",D43/100*D$86)</f>
        <v>7.2656010049561157</v>
      </c>
      <c r="E111" s="103">
        <f t="shared" si="66"/>
        <v>7.2264399608650463</v>
      </c>
      <c r="F111" s="103">
        <f t="shared" si="66"/>
        <v>7.4105771992589231</v>
      </c>
      <c r="G111" s="103">
        <f t="shared" si="66"/>
        <v>7.3759485577260877</v>
      </c>
      <c r="H111" s="103">
        <f t="shared" si="66"/>
        <v>7.3203044527458241</v>
      </c>
      <c r="I111" s="103">
        <f t="shared" si="66"/>
        <v>7.2678544299066692</v>
      </c>
      <c r="J111" s="103">
        <f t="shared" si="66"/>
        <v>7.0888916045813906</v>
      </c>
      <c r="K111" s="103">
        <f t="shared" si="66"/>
        <v>7.1706105991205984</v>
      </c>
      <c r="L111" s="103">
        <f t="shared" si="66"/>
        <v>7.078970785451105</v>
      </c>
      <c r="M111" s="103">
        <f t="shared" si="66"/>
        <v>7.0797725000685237</v>
      </c>
      <c r="N111" s="103">
        <f t="shared" si="66"/>
        <v>7.1086853316098439</v>
      </c>
      <c r="O111" s="103">
        <f t="shared" si="66"/>
        <v>7.086627000343344</v>
      </c>
      <c r="P111" s="103" t="str">
        <f t="shared" si="66"/>
        <v/>
      </c>
      <c r="Q111" s="103" t="str">
        <f t="shared" si="66"/>
        <v/>
      </c>
      <c r="R111" s="103" t="str">
        <f t="shared" si="66"/>
        <v/>
      </c>
      <c r="S111" s="103" t="str">
        <f t="shared" si="66"/>
        <v/>
      </c>
      <c r="T111" s="103" t="str">
        <f t="shared" si="66"/>
        <v/>
      </c>
      <c r="U111" s="103" t="str">
        <f t="shared" si="66"/>
        <v/>
      </c>
      <c r="V111" s="103" t="str">
        <f t="shared" si="66"/>
        <v/>
      </c>
      <c r="W111" s="103" t="str">
        <f t="shared" si="66"/>
        <v/>
      </c>
      <c r="X111" s="103" t="str">
        <f t="shared" si="66"/>
        <v/>
      </c>
      <c r="Y111" s="103" t="str">
        <f t="shared" si="66"/>
        <v/>
      </c>
      <c r="Z111" s="103" t="str">
        <f t="shared" si="66"/>
        <v/>
      </c>
      <c r="AA111" s="103" t="str">
        <f t="shared" si="66"/>
        <v/>
      </c>
      <c r="AB111" s="103" t="str">
        <f t="shared" si="66"/>
        <v/>
      </c>
    </row>
    <row r="112" spans="1:28" ht="18" customHeight="1" outlineLevel="2" x14ac:dyDescent="0.25">
      <c r="A112" s="9" t="str">
        <f t="shared" si="41"/>
        <v>CO [Nl/h]</v>
      </c>
      <c r="B112" s="219"/>
      <c r="C112" s="103">
        <f t="shared" si="42"/>
        <v>0</v>
      </c>
      <c r="D112" s="103">
        <f t="shared" ref="D112:AB112" si="67">IF(D$86="","",D44/100*D$86)</f>
        <v>0</v>
      </c>
      <c r="E112" s="103">
        <f t="shared" si="67"/>
        <v>0</v>
      </c>
      <c r="F112" s="103">
        <f t="shared" si="67"/>
        <v>0</v>
      </c>
      <c r="G112" s="103">
        <f t="shared" si="67"/>
        <v>0</v>
      </c>
      <c r="H112" s="103">
        <f t="shared" si="67"/>
        <v>0</v>
      </c>
      <c r="I112" s="103">
        <f t="shared" si="67"/>
        <v>0</v>
      </c>
      <c r="J112" s="103">
        <f t="shared" si="67"/>
        <v>0</v>
      </c>
      <c r="K112" s="103">
        <f t="shared" si="67"/>
        <v>0</v>
      </c>
      <c r="L112" s="103">
        <f t="shared" si="67"/>
        <v>0</v>
      </c>
      <c r="M112" s="103">
        <f t="shared" si="67"/>
        <v>0</v>
      </c>
      <c r="N112" s="103">
        <f t="shared" si="67"/>
        <v>0</v>
      </c>
      <c r="O112" s="103">
        <f t="shared" si="67"/>
        <v>0</v>
      </c>
      <c r="P112" s="103" t="str">
        <f t="shared" si="67"/>
        <v/>
      </c>
      <c r="Q112" s="103" t="str">
        <f t="shared" si="67"/>
        <v/>
      </c>
      <c r="R112" s="103" t="str">
        <f t="shared" si="67"/>
        <v/>
      </c>
      <c r="S112" s="103" t="str">
        <f t="shared" si="67"/>
        <v/>
      </c>
      <c r="T112" s="103" t="str">
        <f t="shared" si="67"/>
        <v/>
      </c>
      <c r="U112" s="103" t="str">
        <f t="shared" si="67"/>
        <v/>
      </c>
      <c r="V112" s="103" t="str">
        <f t="shared" si="67"/>
        <v/>
      </c>
      <c r="W112" s="103" t="str">
        <f t="shared" si="67"/>
        <v/>
      </c>
      <c r="X112" s="103" t="str">
        <f t="shared" si="67"/>
        <v/>
      </c>
      <c r="Y112" s="103" t="str">
        <f t="shared" si="67"/>
        <v/>
      </c>
      <c r="Z112" s="103" t="str">
        <f t="shared" si="67"/>
        <v/>
      </c>
      <c r="AA112" s="103" t="str">
        <f t="shared" si="67"/>
        <v/>
      </c>
      <c r="AB112" s="103" t="str">
        <f t="shared" si="67"/>
        <v/>
      </c>
    </row>
    <row r="113" spans="1:28" ht="18" customHeight="1" outlineLevel="2" x14ac:dyDescent="0.25">
      <c r="A113" s="9" t="str">
        <f t="shared" si="41"/>
        <v>H2 [Nl/h]</v>
      </c>
      <c r="B113" s="219"/>
      <c r="C113" s="103">
        <f t="shared" si="42"/>
        <v>31.647982237664738</v>
      </c>
      <c r="D113" s="103">
        <f t="shared" ref="D113:AB113" si="68">IF(D$86="","",D45/100*D$86)</f>
        <v>34.248857181052301</v>
      </c>
      <c r="E113" s="103">
        <f t="shared" si="68"/>
        <v>31.592987462966416</v>
      </c>
      <c r="F113" s="103">
        <f t="shared" si="68"/>
        <v>29.256387016418316</v>
      </c>
      <c r="G113" s="103">
        <f t="shared" si="68"/>
        <v>29.477465411815185</v>
      </c>
      <c r="H113" s="103">
        <f t="shared" si="68"/>
        <v>30.669139129677337</v>
      </c>
      <c r="I113" s="103">
        <f t="shared" si="68"/>
        <v>30.977942991079782</v>
      </c>
      <c r="J113" s="103">
        <f t="shared" si="68"/>
        <v>30.82048112968738</v>
      </c>
      <c r="K113" s="103">
        <f t="shared" si="68"/>
        <v>31.199684158520935</v>
      </c>
      <c r="L113" s="103">
        <f t="shared" si="68"/>
        <v>32.472377366933387</v>
      </c>
      <c r="M113" s="103">
        <f t="shared" si="68"/>
        <v>32.762938228186883</v>
      </c>
      <c r="N113" s="103">
        <f t="shared" si="68"/>
        <v>33.164266664011905</v>
      </c>
      <c r="O113" s="103">
        <f t="shared" si="68"/>
        <v>33.133260111627088</v>
      </c>
      <c r="P113" s="103" t="str">
        <f t="shared" si="68"/>
        <v/>
      </c>
      <c r="Q113" s="103" t="str">
        <f t="shared" si="68"/>
        <v/>
      </c>
      <c r="R113" s="103" t="str">
        <f t="shared" si="68"/>
        <v/>
      </c>
      <c r="S113" s="103" t="str">
        <f t="shared" si="68"/>
        <v/>
      </c>
      <c r="T113" s="103" t="str">
        <f t="shared" si="68"/>
        <v/>
      </c>
      <c r="U113" s="103" t="str">
        <f t="shared" si="68"/>
        <v/>
      </c>
      <c r="V113" s="103" t="str">
        <f t="shared" si="68"/>
        <v/>
      </c>
      <c r="W113" s="103" t="str">
        <f t="shared" si="68"/>
        <v/>
      </c>
      <c r="X113" s="103" t="str">
        <f t="shared" si="68"/>
        <v/>
      </c>
      <c r="Y113" s="103" t="str">
        <f t="shared" si="68"/>
        <v/>
      </c>
      <c r="Z113" s="103" t="str">
        <f t="shared" si="68"/>
        <v/>
      </c>
      <c r="AA113" s="103" t="str">
        <f t="shared" si="68"/>
        <v/>
      </c>
      <c r="AB113" s="103" t="str">
        <f t="shared" si="68"/>
        <v/>
      </c>
    </row>
    <row r="114" spans="1:28" ht="18" customHeight="1" outlineLevel="2" x14ac:dyDescent="0.25">
      <c r="A114" s="9" t="str">
        <f t="shared" si="41"/>
        <v>Acetylene [Nl/h]</v>
      </c>
      <c r="B114" s="219"/>
      <c r="C114" s="103">
        <f t="shared" si="42"/>
        <v>6.4084880937955502</v>
      </c>
      <c r="D114" s="103">
        <f t="shared" ref="D114:AB114" si="69">IF(D$86="","",D46/100*D$86)</f>
        <v>11.023215058221229</v>
      </c>
      <c r="E114" s="103">
        <f t="shared" si="69"/>
        <v>5.9994109477829554</v>
      </c>
      <c r="F114" s="103">
        <f t="shared" si="69"/>
        <v>3.0078479877897002</v>
      </c>
      <c r="G114" s="103">
        <f t="shared" si="69"/>
        <v>3.6168189124850185</v>
      </c>
      <c r="H114" s="103">
        <f t="shared" si="69"/>
        <v>4.9982115272826366</v>
      </c>
      <c r="I114" s="103">
        <f t="shared" si="69"/>
        <v>5.5746219786314883</v>
      </c>
      <c r="J114" s="103">
        <f t="shared" si="69"/>
        <v>5.4507187412546489</v>
      </c>
      <c r="K114" s="103">
        <f t="shared" si="69"/>
        <v>6.1612295372158297</v>
      </c>
      <c r="L114" s="103">
        <f t="shared" si="69"/>
        <v>7.379952339689968</v>
      </c>
      <c r="M114" s="103">
        <f t="shared" si="69"/>
        <v>7.7158723614293541</v>
      </c>
      <c r="N114" s="103">
        <f t="shared" si="69"/>
        <v>8.0310675811961527</v>
      </c>
      <c r="O114" s="103">
        <f t="shared" si="69"/>
        <v>7.9428901525676201</v>
      </c>
      <c r="P114" s="103" t="str">
        <f t="shared" si="69"/>
        <v/>
      </c>
      <c r="Q114" s="103" t="str">
        <f t="shared" si="69"/>
        <v/>
      </c>
      <c r="R114" s="103" t="str">
        <f t="shared" si="69"/>
        <v/>
      </c>
      <c r="S114" s="103" t="str">
        <f t="shared" si="69"/>
        <v/>
      </c>
      <c r="T114" s="103" t="str">
        <f t="shared" si="69"/>
        <v/>
      </c>
      <c r="U114" s="103" t="str">
        <f t="shared" si="69"/>
        <v/>
      </c>
      <c r="V114" s="103" t="str">
        <f t="shared" si="69"/>
        <v/>
      </c>
      <c r="W114" s="103" t="str">
        <f t="shared" si="69"/>
        <v/>
      </c>
      <c r="X114" s="103" t="str">
        <f t="shared" si="69"/>
        <v/>
      </c>
      <c r="Y114" s="103" t="str">
        <f t="shared" si="69"/>
        <v/>
      </c>
      <c r="Z114" s="103" t="str">
        <f t="shared" si="69"/>
        <v/>
      </c>
      <c r="AA114" s="103" t="str">
        <f t="shared" si="69"/>
        <v/>
      </c>
      <c r="AB114" s="103" t="str">
        <f t="shared" si="69"/>
        <v/>
      </c>
    </row>
    <row r="115" spans="1:28" ht="18" customHeight="1" outlineLevel="2" x14ac:dyDescent="0.25">
      <c r="A115" s="9" t="str">
        <f t="shared" si="41"/>
        <v>Isobutane [Nl/h]</v>
      </c>
      <c r="B115" s="219"/>
      <c r="C115" s="103">
        <f t="shared" si="42"/>
        <v>0</v>
      </c>
      <c r="D115" s="103">
        <f t="shared" ref="D115:AB115" si="70">IF(D$86="","",D47/100*D$86)</f>
        <v>0</v>
      </c>
      <c r="E115" s="103">
        <f t="shared" si="70"/>
        <v>0</v>
      </c>
      <c r="F115" s="103">
        <f t="shared" si="70"/>
        <v>0</v>
      </c>
      <c r="G115" s="103">
        <f t="shared" si="70"/>
        <v>0</v>
      </c>
      <c r="H115" s="103">
        <f t="shared" si="70"/>
        <v>0</v>
      </c>
      <c r="I115" s="103">
        <f t="shared" si="70"/>
        <v>0</v>
      </c>
      <c r="J115" s="103">
        <f t="shared" si="70"/>
        <v>0</v>
      </c>
      <c r="K115" s="103">
        <f t="shared" si="70"/>
        <v>0</v>
      </c>
      <c r="L115" s="103">
        <f t="shared" si="70"/>
        <v>0</v>
      </c>
      <c r="M115" s="103">
        <f t="shared" si="70"/>
        <v>0</v>
      </c>
      <c r="N115" s="103">
        <f t="shared" si="70"/>
        <v>0</v>
      </c>
      <c r="O115" s="103">
        <f t="shared" si="70"/>
        <v>0</v>
      </c>
      <c r="P115" s="103" t="str">
        <f t="shared" si="70"/>
        <v/>
      </c>
      <c r="Q115" s="103" t="str">
        <f t="shared" si="70"/>
        <v/>
      </c>
      <c r="R115" s="103" t="str">
        <f t="shared" si="70"/>
        <v/>
      </c>
      <c r="S115" s="103" t="str">
        <f t="shared" si="70"/>
        <v/>
      </c>
      <c r="T115" s="103" t="str">
        <f t="shared" si="70"/>
        <v/>
      </c>
      <c r="U115" s="103" t="str">
        <f t="shared" si="70"/>
        <v/>
      </c>
      <c r="V115" s="103" t="str">
        <f t="shared" si="70"/>
        <v/>
      </c>
      <c r="W115" s="103" t="str">
        <f t="shared" si="70"/>
        <v/>
      </c>
      <c r="X115" s="103" t="str">
        <f t="shared" si="70"/>
        <v/>
      </c>
      <c r="Y115" s="103" t="str">
        <f t="shared" si="70"/>
        <v/>
      </c>
      <c r="Z115" s="103" t="str">
        <f t="shared" si="70"/>
        <v/>
      </c>
      <c r="AA115" s="103" t="str">
        <f t="shared" si="70"/>
        <v/>
      </c>
      <c r="AB115" s="103" t="str">
        <f t="shared" si="70"/>
        <v/>
      </c>
    </row>
    <row r="116" spans="1:28" ht="18" customHeight="1" outlineLevel="2" x14ac:dyDescent="0.25">
      <c r="A116" s="9" t="str">
        <f t="shared" si="41"/>
        <v>N2 [Nl/h]</v>
      </c>
      <c r="B116" s="219"/>
      <c r="C116" s="103">
        <f t="shared" si="42"/>
        <v>98.24873560802753</v>
      </c>
      <c r="D116" s="103">
        <f t="shared" ref="D116:AB116" si="71">IF(D$86="","",D48/100*D$86)</f>
        <v>94.296970602682649</v>
      </c>
      <c r="E116" s="103">
        <f t="shared" si="71"/>
        <v>98.469336221970792</v>
      </c>
      <c r="F116" s="103">
        <f t="shared" si="71"/>
        <v>100.85514789206697</v>
      </c>
      <c r="G116" s="103">
        <f t="shared" si="71"/>
        <v>100.45934521834607</v>
      </c>
      <c r="H116" s="103">
        <f t="shared" si="71"/>
        <v>99.618059117281447</v>
      </c>
      <c r="I116" s="103">
        <f t="shared" si="71"/>
        <v>98.831617003620764</v>
      </c>
      <c r="J116" s="103">
        <f t="shared" si="71"/>
        <v>96.696520020067737</v>
      </c>
      <c r="K116" s="103">
        <f t="shared" si="71"/>
        <v>98.09514949913985</v>
      </c>
      <c r="L116" s="103">
        <f t="shared" si="71"/>
        <v>98.122482857062408</v>
      </c>
      <c r="M116" s="103">
        <f t="shared" si="71"/>
        <v>97.902615018796993</v>
      </c>
      <c r="N116" s="103">
        <f t="shared" si="71"/>
        <v>97.7792579694663</v>
      </c>
      <c r="O116" s="103">
        <f t="shared" si="71"/>
        <v>97.858325875828399</v>
      </c>
      <c r="P116" s="103" t="str">
        <f t="shared" si="71"/>
        <v/>
      </c>
      <c r="Q116" s="103" t="str">
        <f t="shared" si="71"/>
        <v/>
      </c>
      <c r="R116" s="103" t="str">
        <f t="shared" si="71"/>
        <v/>
      </c>
      <c r="S116" s="103" t="str">
        <f t="shared" si="71"/>
        <v/>
      </c>
      <c r="T116" s="103" t="str">
        <f t="shared" si="71"/>
        <v/>
      </c>
      <c r="U116" s="103" t="str">
        <f t="shared" si="71"/>
        <v/>
      </c>
      <c r="V116" s="103" t="str">
        <f t="shared" si="71"/>
        <v/>
      </c>
      <c r="W116" s="103" t="str">
        <f t="shared" si="71"/>
        <v/>
      </c>
      <c r="X116" s="103" t="str">
        <f t="shared" si="71"/>
        <v/>
      </c>
      <c r="Y116" s="103" t="str">
        <f t="shared" si="71"/>
        <v/>
      </c>
      <c r="Z116" s="103" t="str">
        <f t="shared" si="71"/>
        <v/>
      </c>
      <c r="AA116" s="103" t="str">
        <f t="shared" si="71"/>
        <v/>
      </c>
      <c r="AB116" s="103" t="str">
        <f t="shared" si="71"/>
        <v/>
      </c>
    </row>
    <row r="117" spans="1:28" ht="18" customHeight="1" outlineLevel="2" x14ac:dyDescent="0.25">
      <c r="A117" s="9" t="str">
        <f t="shared" si="41"/>
        <v/>
      </c>
      <c r="B117" s="219"/>
      <c r="C117" s="103" t="str">
        <f t="shared" si="42"/>
        <v/>
      </c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</row>
    <row r="118" spans="1:28" ht="18" customHeight="1" outlineLevel="2" x14ac:dyDescent="0.25">
      <c r="A118" s="9" t="str">
        <f t="shared" si="41"/>
        <v/>
      </c>
      <c r="B118" s="219"/>
      <c r="C118" s="103" t="str">
        <f t="shared" si="42"/>
        <v/>
      </c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</row>
    <row r="120" spans="1:28" ht="18" customHeight="1" x14ac:dyDescent="0.25">
      <c r="A120" s="11" t="s">
        <v>255</v>
      </c>
      <c r="B120" s="244"/>
      <c r="C120" s="217" t="s">
        <v>256</v>
      </c>
      <c r="D120" s="233" t="s">
        <v>257</v>
      </c>
      <c r="E120" s="249" t="str">
        <f t="shared" ref="E120:AB120" si="72">E$17</f>
        <v/>
      </c>
      <c r="F120" s="249" t="str">
        <f t="shared" si="72"/>
        <v/>
      </c>
      <c r="G120" s="249" t="str">
        <f t="shared" si="72"/>
        <v/>
      </c>
      <c r="H120" s="249" t="str">
        <f t="shared" si="72"/>
        <v/>
      </c>
      <c r="I120" s="249" t="str">
        <f t="shared" si="72"/>
        <v/>
      </c>
      <c r="J120" s="249" t="str">
        <f t="shared" si="72"/>
        <v/>
      </c>
      <c r="K120" s="249" t="str">
        <f t="shared" si="72"/>
        <v/>
      </c>
      <c r="L120" s="249" t="str">
        <f t="shared" si="72"/>
        <v/>
      </c>
      <c r="M120" s="249" t="str">
        <f t="shared" si="72"/>
        <v/>
      </c>
      <c r="N120" s="249" t="str">
        <f t="shared" si="72"/>
        <v/>
      </c>
      <c r="O120" s="249" t="str">
        <f t="shared" si="72"/>
        <v/>
      </c>
      <c r="P120" s="249" t="str">
        <f t="shared" si="72"/>
        <v/>
      </c>
      <c r="Q120" s="249" t="str">
        <f t="shared" si="72"/>
        <v/>
      </c>
      <c r="R120" s="249" t="str">
        <f t="shared" si="72"/>
        <v/>
      </c>
      <c r="S120" s="249" t="str">
        <f t="shared" si="72"/>
        <v/>
      </c>
      <c r="T120" s="249" t="str">
        <f t="shared" si="72"/>
        <v/>
      </c>
      <c r="U120" s="249" t="str">
        <f t="shared" si="72"/>
        <v/>
      </c>
      <c r="V120" s="249" t="str">
        <f t="shared" si="72"/>
        <v/>
      </c>
      <c r="W120" s="249" t="str">
        <f t="shared" si="72"/>
        <v/>
      </c>
      <c r="X120" s="249" t="str">
        <f t="shared" si="72"/>
        <v/>
      </c>
      <c r="Y120" s="249" t="str">
        <f t="shared" si="72"/>
        <v/>
      </c>
      <c r="Z120" s="249" t="str">
        <f t="shared" si="72"/>
        <v/>
      </c>
      <c r="AA120" s="249" t="str">
        <f t="shared" si="72"/>
        <v/>
      </c>
      <c r="AB120" s="249" t="str">
        <f t="shared" si="72"/>
        <v/>
      </c>
    </row>
    <row r="121" spans="1:28" ht="18" customHeight="1" x14ac:dyDescent="0.25">
      <c r="A121" s="11" t="s">
        <v>258</v>
      </c>
      <c r="B121" s="244"/>
      <c r="C121" s="233">
        <f t="shared" ref="C121:C149" si="73">IFERROR(AVERAGE(D121:AB121), "")</f>
        <v>4.1826720145065999E-2</v>
      </c>
      <c r="D121" s="233">
        <f t="shared" ref="D121:AB121" si="74">IFERROR((12.011*$AD52/$B20)*D52,"")</f>
        <v>3.9532516731697318E-2</v>
      </c>
      <c r="E121" s="233">
        <f t="shared" si="74"/>
        <v>4.1526845954544388E-2</v>
      </c>
      <c r="F121" s="233">
        <f t="shared" si="74"/>
        <v>4.1580100076702035E-2</v>
      </c>
      <c r="G121" s="233">
        <f t="shared" si="74"/>
        <v>4.2102380439059492E-2</v>
      </c>
      <c r="H121" s="233">
        <f t="shared" si="74"/>
        <v>4.2102648765326836E-2</v>
      </c>
      <c r="I121" s="233">
        <f t="shared" si="74"/>
        <v>4.21775644800952E-2</v>
      </c>
      <c r="J121" s="233">
        <f t="shared" si="74"/>
        <v>4.3015886434946041E-2</v>
      </c>
      <c r="K121" s="233">
        <f t="shared" si="74"/>
        <v>4.2665214237237278E-2</v>
      </c>
      <c r="L121" s="233">
        <f t="shared" si="74"/>
        <v>4.1963320482897984E-2</v>
      </c>
      <c r="M121" s="233">
        <f t="shared" si="74"/>
        <v>4.1953243320180918E-2</v>
      </c>
      <c r="N121" s="233">
        <f t="shared" si="74"/>
        <v>4.1543267804869527E-2</v>
      </c>
      <c r="O121" s="233">
        <f t="shared" si="74"/>
        <v>4.1757653013235023E-2</v>
      </c>
      <c r="P121" s="233" t="str">
        <f t="shared" si="74"/>
        <v/>
      </c>
      <c r="Q121" s="233" t="str">
        <f t="shared" si="74"/>
        <v/>
      </c>
      <c r="R121" s="233" t="str">
        <f t="shared" si="74"/>
        <v/>
      </c>
      <c r="S121" s="233" t="str">
        <f t="shared" si="74"/>
        <v/>
      </c>
      <c r="T121" s="233" t="str">
        <f t="shared" si="74"/>
        <v/>
      </c>
      <c r="U121" s="233" t="str">
        <f t="shared" si="74"/>
        <v/>
      </c>
      <c r="V121" s="233" t="str">
        <f t="shared" si="74"/>
        <v/>
      </c>
      <c r="W121" s="233" t="str">
        <f t="shared" si="74"/>
        <v/>
      </c>
      <c r="X121" s="233" t="str">
        <f t="shared" si="74"/>
        <v/>
      </c>
      <c r="Y121" s="233" t="str">
        <f t="shared" si="74"/>
        <v/>
      </c>
      <c r="Z121" s="233" t="str">
        <f t="shared" si="74"/>
        <v/>
      </c>
      <c r="AA121" s="233" t="str">
        <f t="shared" si="74"/>
        <v/>
      </c>
      <c r="AB121" s="233" t="str">
        <f t="shared" si="74"/>
        <v/>
      </c>
    </row>
    <row r="122" spans="1:28" ht="18" customHeight="1" x14ac:dyDescent="0.25">
      <c r="A122" s="11" t="s">
        <v>259</v>
      </c>
      <c r="B122" s="244"/>
      <c r="C122" s="233">
        <f t="shared" si="73"/>
        <v>2.7654590727458801E-3</v>
      </c>
      <c r="D122" s="233">
        <f t="shared" ref="D122:AB122" si="75">IFERROR((12.011*$AD53/$B21)*D53,"")</f>
        <v>4.2468342085599239E-4</v>
      </c>
      <c r="E122" s="233">
        <f t="shared" si="75"/>
        <v>2.7430034037247576E-3</v>
      </c>
      <c r="F122" s="233">
        <f t="shared" si="75"/>
        <v>5.0787624525211062E-3</v>
      </c>
      <c r="G122" s="233">
        <f t="shared" si="75"/>
        <v>4.8598818854034337E-3</v>
      </c>
      <c r="H122" s="233">
        <f t="shared" si="75"/>
        <v>3.7486026009310967E-3</v>
      </c>
      <c r="I122" s="233">
        <f t="shared" si="75"/>
        <v>3.335102599600247E-3</v>
      </c>
      <c r="J122" s="233">
        <f t="shared" si="75"/>
        <v>3.1864997846157714E-3</v>
      </c>
      <c r="K122" s="233">
        <f t="shared" si="75"/>
        <v>2.9526893307518778E-3</v>
      </c>
      <c r="L122" s="233">
        <f t="shared" si="75"/>
        <v>2.2779967149920664E-3</v>
      </c>
      <c r="M122" s="233">
        <f t="shared" si="75"/>
        <v>1.7993996429640797E-3</v>
      </c>
      <c r="N122" s="233">
        <f t="shared" si="75"/>
        <v>1.4528380783980393E-3</v>
      </c>
      <c r="O122" s="233">
        <f t="shared" si="75"/>
        <v>1.326048958192099E-3</v>
      </c>
      <c r="P122" s="233" t="str">
        <f t="shared" si="75"/>
        <v/>
      </c>
      <c r="Q122" s="233" t="str">
        <f t="shared" si="75"/>
        <v/>
      </c>
      <c r="R122" s="233" t="str">
        <f t="shared" si="75"/>
        <v/>
      </c>
      <c r="S122" s="233" t="str">
        <f t="shared" si="75"/>
        <v/>
      </c>
      <c r="T122" s="233" t="str">
        <f t="shared" si="75"/>
        <v/>
      </c>
      <c r="U122" s="233" t="str">
        <f t="shared" si="75"/>
        <v/>
      </c>
      <c r="V122" s="233" t="str">
        <f t="shared" si="75"/>
        <v/>
      </c>
      <c r="W122" s="233" t="str">
        <f t="shared" si="75"/>
        <v/>
      </c>
      <c r="X122" s="233" t="str">
        <f t="shared" si="75"/>
        <v/>
      </c>
      <c r="Y122" s="233" t="str">
        <f t="shared" si="75"/>
        <v/>
      </c>
      <c r="Z122" s="233" t="str">
        <f t="shared" si="75"/>
        <v/>
      </c>
      <c r="AA122" s="233" t="str">
        <f t="shared" si="75"/>
        <v/>
      </c>
      <c r="AB122" s="233" t="str">
        <f t="shared" si="75"/>
        <v/>
      </c>
    </row>
    <row r="123" spans="1:28" ht="18" customHeight="1" x14ac:dyDescent="0.25">
      <c r="A123" s="11" t="s">
        <v>260</v>
      </c>
      <c r="B123" s="244"/>
      <c r="C123" s="233">
        <f t="shared" si="73"/>
        <v>0.1034580938964807</v>
      </c>
      <c r="D123" s="233">
        <f t="shared" ref="D123:AB123" si="76">IFERROR((12.011*$AD54/$B22)*D54,"")</f>
        <v>5.4151372100925847E-2</v>
      </c>
      <c r="E123" s="233">
        <f t="shared" si="76"/>
        <v>0.10002427057594883</v>
      </c>
      <c r="F123" s="233">
        <f t="shared" si="76"/>
        <v>0.13498024878792905</v>
      </c>
      <c r="G123" s="233">
        <f t="shared" si="76"/>
        <v>0.13622297117971252</v>
      </c>
      <c r="H123" s="233">
        <f t="shared" si="76"/>
        <v>0.12361196209239082</v>
      </c>
      <c r="I123" s="233">
        <f t="shared" si="76"/>
        <v>0.12141602217074351</v>
      </c>
      <c r="J123" s="233">
        <f t="shared" si="76"/>
        <v>0.12208545156942617</v>
      </c>
      <c r="K123" s="233">
        <f t="shared" si="76"/>
        <v>0.11294306476508841</v>
      </c>
      <c r="L123" s="233">
        <f t="shared" si="76"/>
        <v>8.9956042236275138E-2</v>
      </c>
      <c r="M123" s="233">
        <f t="shared" si="76"/>
        <v>8.4788953212459106E-2</v>
      </c>
      <c r="N123" s="233">
        <f t="shared" si="76"/>
        <v>8.0710319664527741E-2</v>
      </c>
      <c r="O123" s="233">
        <f t="shared" si="76"/>
        <v>8.0606448402341296E-2</v>
      </c>
      <c r="P123" s="233" t="str">
        <f t="shared" si="76"/>
        <v/>
      </c>
      <c r="Q123" s="233" t="str">
        <f t="shared" si="76"/>
        <v/>
      </c>
      <c r="R123" s="233" t="str">
        <f t="shared" si="76"/>
        <v/>
      </c>
      <c r="S123" s="233" t="str">
        <f t="shared" si="76"/>
        <v/>
      </c>
      <c r="T123" s="233" t="str">
        <f t="shared" si="76"/>
        <v/>
      </c>
      <c r="U123" s="233" t="str">
        <f t="shared" si="76"/>
        <v/>
      </c>
      <c r="V123" s="233" t="str">
        <f t="shared" si="76"/>
        <v/>
      </c>
      <c r="W123" s="233" t="str">
        <f t="shared" si="76"/>
        <v/>
      </c>
      <c r="X123" s="233" t="str">
        <f t="shared" si="76"/>
        <v/>
      </c>
      <c r="Y123" s="233" t="str">
        <f t="shared" si="76"/>
        <v/>
      </c>
      <c r="Z123" s="233" t="str">
        <f t="shared" si="76"/>
        <v/>
      </c>
      <c r="AA123" s="233" t="str">
        <f t="shared" si="76"/>
        <v/>
      </c>
      <c r="AB123" s="233" t="str">
        <f t="shared" si="76"/>
        <v/>
      </c>
    </row>
    <row r="124" spans="1:28" ht="18" customHeight="1" x14ac:dyDescent="0.25">
      <c r="A124" s="11" t="s">
        <v>261</v>
      </c>
      <c r="B124" s="244"/>
      <c r="C124" s="233">
        <f t="shared" si="73"/>
        <v>0</v>
      </c>
      <c r="D124" s="233">
        <f t="shared" ref="D124:AB124" si="77">IFERROR((12.011*$AD55/$B23)*D55,"")</f>
        <v>0</v>
      </c>
      <c r="E124" s="233">
        <f t="shared" si="77"/>
        <v>0</v>
      </c>
      <c r="F124" s="233">
        <f t="shared" si="77"/>
        <v>0</v>
      </c>
      <c r="G124" s="233">
        <f t="shared" si="77"/>
        <v>0</v>
      </c>
      <c r="H124" s="233">
        <f t="shared" si="77"/>
        <v>0</v>
      </c>
      <c r="I124" s="233">
        <f t="shared" si="77"/>
        <v>0</v>
      </c>
      <c r="J124" s="233">
        <f t="shared" si="77"/>
        <v>0</v>
      </c>
      <c r="K124" s="233">
        <f t="shared" si="77"/>
        <v>0</v>
      </c>
      <c r="L124" s="233">
        <f t="shared" si="77"/>
        <v>0</v>
      </c>
      <c r="M124" s="233">
        <f t="shared" si="77"/>
        <v>0</v>
      </c>
      <c r="N124" s="233">
        <f t="shared" si="77"/>
        <v>0</v>
      </c>
      <c r="O124" s="233">
        <f t="shared" si="77"/>
        <v>0</v>
      </c>
      <c r="P124" s="233" t="str">
        <f t="shared" si="77"/>
        <v/>
      </c>
      <c r="Q124" s="233" t="str">
        <f t="shared" si="77"/>
        <v/>
      </c>
      <c r="R124" s="233" t="str">
        <f t="shared" si="77"/>
        <v/>
      </c>
      <c r="S124" s="233" t="str">
        <f t="shared" si="77"/>
        <v/>
      </c>
      <c r="T124" s="233" t="str">
        <f t="shared" si="77"/>
        <v/>
      </c>
      <c r="U124" s="233" t="str">
        <f t="shared" si="77"/>
        <v/>
      </c>
      <c r="V124" s="233" t="str">
        <f t="shared" si="77"/>
        <v/>
      </c>
      <c r="W124" s="233" t="str">
        <f t="shared" si="77"/>
        <v/>
      </c>
      <c r="X124" s="233" t="str">
        <f t="shared" si="77"/>
        <v/>
      </c>
      <c r="Y124" s="233" t="str">
        <f t="shared" si="77"/>
        <v/>
      </c>
      <c r="Z124" s="233" t="str">
        <f t="shared" si="77"/>
        <v/>
      </c>
      <c r="AA124" s="233" t="str">
        <f t="shared" si="77"/>
        <v/>
      </c>
      <c r="AB124" s="233" t="str">
        <f t="shared" si="77"/>
        <v/>
      </c>
    </row>
    <row r="125" spans="1:28" ht="18" customHeight="1" x14ac:dyDescent="0.25">
      <c r="A125" s="11" t="s">
        <v>262</v>
      </c>
      <c r="B125" s="244"/>
      <c r="C125" s="233">
        <f t="shared" si="73"/>
        <v>6.0607126159396905E-5</v>
      </c>
      <c r="D125" s="233">
        <f t="shared" ref="D125:AB125" si="78">IFERROR((12.011*$AD56/$B24)*D56,"")</f>
        <v>1.1264579480242661E-4</v>
      </c>
      <c r="E125" s="233">
        <f t="shared" si="78"/>
        <v>4.8186376598387656E-5</v>
      </c>
      <c r="F125" s="233">
        <f t="shared" si="78"/>
        <v>9.6603428209660869E-5</v>
      </c>
      <c r="G125" s="233">
        <f t="shared" si="78"/>
        <v>1.0845702026225214E-4</v>
      </c>
      <c r="H125" s="233">
        <f t="shared" si="78"/>
        <v>8.3289934097723224E-5</v>
      </c>
      <c r="I125" s="233">
        <f t="shared" si="78"/>
        <v>7.4408470764972289E-5</v>
      </c>
      <c r="J125" s="233">
        <f t="shared" si="78"/>
        <v>6.679759947118724E-5</v>
      </c>
      <c r="K125" s="233">
        <f t="shared" si="78"/>
        <v>5.4355824647220299E-5</v>
      </c>
      <c r="L125" s="233">
        <f t="shared" si="78"/>
        <v>2.9998566242005815E-5</v>
      </c>
      <c r="M125" s="233">
        <f t="shared" si="78"/>
        <v>2.0260712114479075E-5</v>
      </c>
      <c r="N125" s="233">
        <f t="shared" si="78"/>
        <v>1.8461990906846097E-5</v>
      </c>
      <c r="O125" s="233">
        <f t="shared" si="78"/>
        <v>1.381979579560157E-5</v>
      </c>
      <c r="P125" s="233" t="str">
        <f t="shared" si="78"/>
        <v/>
      </c>
      <c r="Q125" s="233" t="str">
        <f t="shared" si="78"/>
        <v/>
      </c>
      <c r="R125" s="233" t="str">
        <f t="shared" si="78"/>
        <v/>
      </c>
      <c r="S125" s="233" t="str">
        <f t="shared" si="78"/>
        <v/>
      </c>
      <c r="T125" s="233" t="str">
        <f t="shared" si="78"/>
        <v/>
      </c>
      <c r="U125" s="233" t="str">
        <f t="shared" si="78"/>
        <v/>
      </c>
      <c r="V125" s="233" t="str">
        <f t="shared" si="78"/>
        <v/>
      </c>
      <c r="W125" s="233" t="str">
        <f t="shared" si="78"/>
        <v/>
      </c>
      <c r="X125" s="233" t="str">
        <f t="shared" si="78"/>
        <v/>
      </c>
      <c r="Y125" s="233" t="str">
        <f t="shared" si="78"/>
        <v/>
      </c>
      <c r="Z125" s="233" t="str">
        <f t="shared" si="78"/>
        <v/>
      </c>
      <c r="AA125" s="233" t="str">
        <f t="shared" si="78"/>
        <v/>
      </c>
      <c r="AB125" s="233" t="str">
        <f t="shared" si="78"/>
        <v/>
      </c>
    </row>
    <row r="126" spans="1:28" ht="18" customHeight="1" x14ac:dyDescent="0.25">
      <c r="A126" s="11" t="s">
        <v>263</v>
      </c>
      <c r="B126" s="244"/>
      <c r="C126" s="233">
        <f t="shared" si="73"/>
        <v>9.5322754717767238E-5</v>
      </c>
      <c r="D126" s="233">
        <f t="shared" ref="D126:AB126" si="79">IFERROR((12.011*$AD57/$B25)*D57,"")</f>
        <v>2.3539733643912943E-5</v>
      </c>
      <c r="E126" s="233">
        <f t="shared" si="79"/>
        <v>1.1188730626822586E-4</v>
      </c>
      <c r="F126" s="233">
        <f t="shared" si="79"/>
        <v>1.4440825687843663E-4</v>
      </c>
      <c r="G126" s="233">
        <f t="shared" si="79"/>
        <v>1.4592073954492621E-4</v>
      </c>
      <c r="H126" s="233">
        <f t="shared" si="79"/>
        <v>1.2282524985025704E-4</v>
      </c>
      <c r="I126" s="233">
        <f t="shared" si="79"/>
        <v>1.4325142989549136E-4</v>
      </c>
      <c r="J126" s="233">
        <f t="shared" si="79"/>
        <v>1.0847632448942103E-4</v>
      </c>
      <c r="K126" s="233">
        <f t="shared" si="79"/>
        <v>1.0405170268057848E-4</v>
      </c>
      <c r="L126" s="233">
        <f t="shared" si="79"/>
        <v>7.6518082008594524E-5</v>
      </c>
      <c r="M126" s="233">
        <f t="shared" si="79"/>
        <v>5.9617727601225765E-5</v>
      </c>
      <c r="N126" s="233">
        <f t="shared" si="79"/>
        <v>5.4983952818044149E-5</v>
      </c>
      <c r="O126" s="233">
        <f t="shared" si="79"/>
        <v>4.8392550934093018E-5</v>
      </c>
      <c r="P126" s="233" t="str">
        <f t="shared" si="79"/>
        <v/>
      </c>
      <c r="Q126" s="233" t="str">
        <f t="shared" si="79"/>
        <v/>
      </c>
      <c r="R126" s="233" t="str">
        <f t="shared" si="79"/>
        <v/>
      </c>
      <c r="S126" s="233" t="str">
        <f t="shared" si="79"/>
        <v/>
      </c>
      <c r="T126" s="233" t="str">
        <f t="shared" si="79"/>
        <v/>
      </c>
      <c r="U126" s="233" t="str">
        <f t="shared" si="79"/>
        <v/>
      </c>
      <c r="V126" s="233" t="str">
        <f t="shared" si="79"/>
        <v/>
      </c>
      <c r="W126" s="233" t="str">
        <f t="shared" si="79"/>
        <v/>
      </c>
      <c r="X126" s="233" t="str">
        <f t="shared" si="79"/>
        <v/>
      </c>
      <c r="Y126" s="233" t="str">
        <f t="shared" si="79"/>
        <v/>
      </c>
      <c r="Z126" s="233" t="str">
        <f t="shared" si="79"/>
        <v/>
      </c>
      <c r="AA126" s="233" t="str">
        <f t="shared" si="79"/>
        <v/>
      </c>
      <c r="AB126" s="233" t="str">
        <f t="shared" si="79"/>
        <v/>
      </c>
    </row>
    <row r="127" spans="1:28" ht="18" customHeight="1" x14ac:dyDescent="0.25">
      <c r="A127" s="11" t="s">
        <v>264</v>
      </c>
      <c r="B127" s="244"/>
      <c r="C127" s="233">
        <f t="shared" si="73"/>
        <v>0</v>
      </c>
      <c r="D127" s="233">
        <f t="shared" ref="D127:AB127" si="80">IFERROR((12.011*$AD58/$B26)*D58,"")</f>
        <v>0</v>
      </c>
      <c r="E127" s="233">
        <f t="shared" si="80"/>
        <v>0</v>
      </c>
      <c r="F127" s="233">
        <f t="shared" si="80"/>
        <v>0</v>
      </c>
      <c r="G127" s="233">
        <f t="shared" si="80"/>
        <v>0</v>
      </c>
      <c r="H127" s="233">
        <f t="shared" si="80"/>
        <v>0</v>
      </c>
      <c r="I127" s="233">
        <f t="shared" si="80"/>
        <v>0</v>
      </c>
      <c r="J127" s="233">
        <f t="shared" si="80"/>
        <v>0</v>
      </c>
      <c r="K127" s="233">
        <f t="shared" si="80"/>
        <v>0</v>
      </c>
      <c r="L127" s="233">
        <f t="shared" si="80"/>
        <v>0</v>
      </c>
      <c r="M127" s="233">
        <f t="shared" si="80"/>
        <v>0</v>
      </c>
      <c r="N127" s="233">
        <f t="shared" si="80"/>
        <v>0</v>
      </c>
      <c r="O127" s="233">
        <f t="shared" si="80"/>
        <v>0</v>
      </c>
      <c r="P127" s="233" t="str">
        <f t="shared" si="80"/>
        <v/>
      </c>
      <c r="Q127" s="233" t="str">
        <f t="shared" si="80"/>
        <v/>
      </c>
      <c r="R127" s="233" t="str">
        <f t="shared" si="80"/>
        <v/>
      </c>
      <c r="S127" s="233" t="str">
        <f t="shared" si="80"/>
        <v/>
      </c>
      <c r="T127" s="233" t="str">
        <f t="shared" si="80"/>
        <v/>
      </c>
      <c r="U127" s="233" t="str">
        <f t="shared" si="80"/>
        <v/>
      </c>
      <c r="V127" s="233" t="str">
        <f t="shared" si="80"/>
        <v/>
      </c>
      <c r="W127" s="233" t="str">
        <f t="shared" si="80"/>
        <v/>
      </c>
      <c r="X127" s="233" t="str">
        <f t="shared" si="80"/>
        <v/>
      </c>
      <c r="Y127" s="233" t="str">
        <f t="shared" si="80"/>
        <v/>
      </c>
      <c r="Z127" s="233" t="str">
        <f t="shared" si="80"/>
        <v/>
      </c>
      <c r="AA127" s="233" t="str">
        <f t="shared" si="80"/>
        <v/>
      </c>
      <c r="AB127" s="233" t="str">
        <f t="shared" si="80"/>
        <v/>
      </c>
    </row>
    <row r="128" spans="1:28" ht="18" customHeight="1" x14ac:dyDescent="0.25">
      <c r="A128" s="11" t="s">
        <v>265</v>
      </c>
      <c r="B128" s="244"/>
      <c r="C128" s="233">
        <f t="shared" si="73"/>
        <v>0</v>
      </c>
      <c r="D128" s="233">
        <f t="shared" ref="D128:AB128" si="81">IFERROR((12.011*$AD59/$B27)*D59,"")</f>
        <v>0</v>
      </c>
      <c r="E128" s="233">
        <f t="shared" si="81"/>
        <v>0</v>
      </c>
      <c r="F128" s="233">
        <f t="shared" si="81"/>
        <v>0</v>
      </c>
      <c r="G128" s="233">
        <f t="shared" si="81"/>
        <v>0</v>
      </c>
      <c r="H128" s="233">
        <f t="shared" si="81"/>
        <v>0</v>
      </c>
      <c r="I128" s="233">
        <f t="shared" si="81"/>
        <v>0</v>
      </c>
      <c r="J128" s="233">
        <f t="shared" si="81"/>
        <v>0</v>
      </c>
      <c r="K128" s="233">
        <f t="shared" si="81"/>
        <v>0</v>
      </c>
      <c r="L128" s="233">
        <f t="shared" si="81"/>
        <v>0</v>
      </c>
      <c r="M128" s="233">
        <f t="shared" si="81"/>
        <v>0</v>
      </c>
      <c r="N128" s="233">
        <f t="shared" si="81"/>
        <v>0</v>
      </c>
      <c r="O128" s="233">
        <f t="shared" si="81"/>
        <v>0</v>
      </c>
      <c r="P128" s="233" t="str">
        <f t="shared" si="81"/>
        <v/>
      </c>
      <c r="Q128" s="233" t="str">
        <f t="shared" si="81"/>
        <v/>
      </c>
      <c r="R128" s="233" t="str">
        <f t="shared" si="81"/>
        <v/>
      </c>
      <c r="S128" s="233" t="str">
        <f t="shared" si="81"/>
        <v/>
      </c>
      <c r="T128" s="233" t="str">
        <f t="shared" si="81"/>
        <v/>
      </c>
      <c r="U128" s="233" t="str">
        <f t="shared" si="81"/>
        <v/>
      </c>
      <c r="V128" s="233" t="str">
        <f t="shared" si="81"/>
        <v/>
      </c>
      <c r="W128" s="233" t="str">
        <f t="shared" si="81"/>
        <v/>
      </c>
      <c r="X128" s="233" t="str">
        <f t="shared" si="81"/>
        <v/>
      </c>
      <c r="Y128" s="233" t="str">
        <f t="shared" si="81"/>
        <v/>
      </c>
      <c r="Z128" s="233" t="str">
        <f t="shared" si="81"/>
        <v/>
      </c>
      <c r="AA128" s="233" t="str">
        <f t="shared" si="81"/>
        <v/>
      </c>
      <c r="AB128" s="233" t="str">
        <f t="shared" si="81"/>
        <v/>
      </c>
    </row>
    <row r="129" spans="1:28" ht="18" customHeight="1" x14ac:dyDescent="0.25">
      <c r="A129" s="11" t="s">
        <v>266</v>
      </c>
      <c r="B129" s="244"/>
      <c r="C129" s="233">
        <f t="shared" si="73"/>
        <v>0</v>
      </c>
      <c r="D129" s="233">
        <f t="shared" ref="D129:AB129" si="82">IFERROR((12.011*$AD60/$B28)*D60,"")</f>
        <v>0</v>
      </c>
      <c r="E129" s="233">
        <f t="shared" si="82"/>
        <v>0</v>
      </c>
      <c r="F129" s="233">
        <f t="shared" si="82"/>
        <v>0</v>
      </c>
      <c r="G129" s="233">
        <f t="shared" si="82"/>
        <v>0</v>
      </c>
      <c r="H129" s="233">
        <f t="shared" si="82"/>
        <v>0</v>
      </c>
      <c r="I129" s="233">
        <f t="shared" si="82"/>
        <v>0</v>
      </c>
      <c r="J129" s="233">
        <f t="shared" si="82"/>
        <v>0</v>
      </c>
      <c r="K129" s="233">
        <f t="shared" si="82"/>
        <v>0</v>
      </c>
      <c r="L129" s="233">
        <f t="shared" si="82"/>
        <v>0</v>
      </c>
      <c r="M129" s="233">
        <f t="shared" si="82"/>
        <v>0</v>
      </c>
      <c r="N129" s="233">
        <f t="shared" si="82"/>
        <v>0</v>
      </c>
      <c r="O129" s="233">
        <f t="shared" si="82"/>
        <v>0</v>
      </c>
      <c r="P129" s="233" t="str">
        <f t="shared" si="82"/>
        <v/>
      </c>
      <c r="Q129" s="233" t="str">
        <f t="shared" si="82"/>
        <v/>
      </c>
      <c r="R129" s="233" t="str">
        <f t="shared" si="82"/>
        <v/>
      </c>
      <c r="S129" s="233" t="str">
        <f t="shared" si="82"/>
        <v/>
      </c>
      <c r="T129" s="233" t="str">
        <f t="shared" si="82"/>
        <v/>
      </c>
      <c r="U129" s="233" t="str">
        <f t="shared" si="82"/>
        <v/>
      </c>
      <c r="V129" s="233" t="str">
        <f t="shared" si="82"/>
        <v/>
      </c>
      <c r="W129" s="233" t="str">
        <f t="shared" si="82"/>
        <v/>
      </c>
      <c r="X129" s="233" t="str">
        <f t="shared" si="82"/>
        <v/>
      </c>
      <c r="Y129" s="233" t="str">
        <f t="shared" si="82"/>
        <v/>
      </c>
      <c r="Z129" s="233" t="str">
        <f t="shared" si="82"/>
        <v/>
      </c>
      <c r="AA129" s="233" t="str">
        <f t="shared" si="82"/>
        <v/>
      </c>
      <c r="AB129" s="233" t="str">
        <f t="shared" si="82"/>
        <v/>
      </c>
    </row>
    <row r="130" spans="1:28" ht="18" customHeight="1" x14ac:dyDescent="0.25">
      <c r="A130" s="11" t="s">
        <v>267</v>
      </c>
      <c r="B130" s="244"/>
      <c r="C130" s="233">
        <f t="shared" si="73"/>
        <v>2.0447975036918621E-2</v>
      </c>
      <c r="D130" s="233">
        <f t="shared" ref="D130:AB130" si="83">IFERROR((12.011*$AD61/$B29)*D61,"")</f>
        <v>8.1493468633052856E-4</v>
      </c>
      <c r="E130" s="233">
        <f t="shared" si="83"/>
        <v>2.1393960271684397E-2</v>
      </c>
      <c r="F130" s="233">
        <f t="shared" si="83"/>
        <v>3.4991947993457798E-2</v>
      </c>
      <c r="G130" s="233">
        <f t="shared" si="83"/>
        <v>3.4196477625837267E-2</v>
      </c>
      <c r="H130" s="233">
        <f t="shared" si="83"/>
        <v>2.6396497570874828E-2</v>
      </c>
      <c r="I130" s="233">
        <f t="shared" si="83"/>
        <v>3.122288323743258E-2</v>
      </c>
      <c r="J130" s="233">
        <f t="shared" si="83"/>
        <v>2.6520879778901593E-2</v>
      </c>
      <c r="K130" s="233">
        <f t="shared" si="83"/>
        <v>2.26474631735438E-2</v>
      </c>
      <c r="L130" s="233">
        <f t="shared" si="83"/>
        <v>1.3195704725347404E-2</v>
      </c>
      <c r="M130" s="233">
        <f t="shared" si="83"/>
        <v>1.1601299282200613E-2</v>
      </c>
      <c r="N130" s="233">
        <f t="shared" si="83"/>
        <v>1.1441239028120038E-2</v>
      </c>
      <c r="O130" s="233">
        <f t="shared" si="83"/>
        <v>1.095241306929262E-2</v>
      </c>
      <c r="P130" s="233" t="str">
        <f t="shared" si="83"/>
        <v/>
      </c>
      <c r="Q130" s="233" t="str">
        <f t="shared" si="83"/>
        <v/>
      </c>
      <c r="R130" s="233" t="str">
        <f t="shared" si="83"/>
        <v/>
      </c>
      <c r="S130" s="233" t="str">
        <f t="shared" si="83"/>
        <v/>
      </c>
      <c r="T130" s="233" t="str">
        <f t="shared" si="83"/>
        <v/>
      </c>
      <c r="U130" s="233" t="str">
        <f t="shared" si="83"/>
        <v/>
      </c>
      <c r="V130" s="233" t="str">
        <f t="shared" si="83"/>
        <v/>
      </c>
      <c r="W130" s="233" t="str">
        <f t="shared" si="83"/>
        <v/>
      </c>
      <c r="X130" s="233" t="str">
        <f t="shared" si="83"/>
        <v/>
      </c>
      <c r="Y130" s="233" t="str">
        <f t="shared" si="83"/>
        <v/>
      </c>
      <c r="Z130" s="233" t="str">
        <f t="shared" si="83"/>
        <v/>
      </c>
      <c r="AA130" s="233" t="str">
        <f t="shared" si="83"/>
        <v/>
      </c>
      <c r="AB130" s="233" t="str">
        <f t="shared" si="83"/>
        <v/>
      </c>
    </row>
    <row r="131" spans="1:28" ht="18" customHeight="1" x14ac:dyDescent="0.25">
      <c r="A131" s="11" t="s">
        <v>268</v>
      </c>
      <c r="B131" s="244"/>
      <c r="C131" s="233">
        <f t="shared" si="73"/>
        <v>8.9991631320290858E-5</v>
      </c>
      <c r="D131" s="233">
        <f t="shared" ref="D131:AB131" si="84">IFERROR((12.011*$AD62/$B30)*D62,"")</f>
        <v>6.4077121266600389E-4</v>
      </c>
      <c r="E131" s="233">
        <f t="shared" si="84"/>
        <v>1.4336386876182632E-4</v>
      </c>
      <c r="F131" s="233">
        <f t="shared" si="84"/>
        <v>0</v>
      </c>
      <c r="G131" s="233">
        <f t="shared" si="84"/>
        <v>0</v>
      </c>
      <c r="H131" s="233">
        <f t="shared" si="84"/>
        <v>0</v>
      </c>
      <c r="I131" s="233">
        <f t="shared" si="84"/>
        <v>0</v>
      </c>
      <c r="J131" s="233">
        <f t="shared" si="84"/>
        <v>0</v>
      </c>
      <c r="K131" s="233">
        <f t="shared" si="84"/>
        <v>0</v>
      </c>
      <c r="L131" s="233">
        <f t="shared" si="84"/>
        <v>8.4202213695634136E-5</v>
      </c>
      <c r="M131" s="233">
        <f t="shared" si="84"/>
        <v>8.3526216983165877E-5</v>
      </c>
      <c r="N131" s="233">
        <f t="shared" si="84"/>
        <v>7.1594428477638088E-5</v>
      </c>
      <c r="O131" s="233">
        <f t="shared" si="84"/>
        <v>5.644163525922198E-5</v>
      </c>
      <c r="P131" s="233" t="str">
        <f t="shared" si="84"/>
        <v/>
      </c>
      <c r="Q131" s="233" t="str">
        <f t="shared" si="84"/>
        <v/>
      </c>
      <c r="R131" s="233" t="str">
        <f t="shared" si="84"/>
        <v/>
      </c>
      <c r="S131" s="233" t="str">
        <f t="shared" si="84"/>
        <v/>
      </c>
      <c r="T131" s="233" t="str">
        <f t="shared" si="84"/>
        <v/>
      </c>
      <c r="U131" s="233" t="str">
        <f t="shared" si="84"/>
        <v/>
      </c>
      <c r="V131" s="233" t="str">
        <f t="shared" si="84"/>
        <v/>
      </c>
      <c r="W131" s="233" t="str">
        <f t="shared" si="84"/>
        <v/>
      </c>
      <c r="X131" s="233" t="str">
        <f t="shared" si="84"/>
        <v/>
      </c>
      <c r="Y131" s="233" t="str">
        <f t="shared" si="84"/>
        <v/>
      </c>
      <c r="Z131" s="233" t="str">
        <f t="shared" si="84"/>
        <v/>
      </c>
      <c r="AA131" s="233" t="str">
        <f t="shared" si="84"/>
        <v/>
      </c>
      <c r="AB131" s="233" t="str">
        <f t="shared" si="84"/>
        <v/>
      </c>
    </row>
    <row r="132" spans="1:28" ht="18" customHeight="1" x14ac:dyDescent="0.25">
      <c r="A132" s="11" t="s">
        <v>269</v>
      </c>
      <c r="B132" s="244"/>
      <c r="C132" s="233">
        <f t="shared" si="73"/>
        <v>2.3405743500793979E-5</v>
      </c>
      <c r="D132" s="233">
        <f t="shared" ref="D132:AB132" si="85">IFERROR((12.011*$AD63/$B31)*D63,"")</f>
        <v>1.7881725685800196E-5</v>
      </c>
      <c r="E132" s="233">
        <f t="shared" si="85"/>
        <v>8.2683441663142468E-5</v>
      </c>
      <c r="F132" s="233">
        <f t="shared" si="85"/>
        <v>2.3138545678960681E-5</v>
      </c>
      <c r="G132" s="233">
        <f t="shared" si="85"/>
        <v>0</v>
      </c>
      <c r="H132" s="233">
        <f t="shared" si="85"/>
        <v>0</v>
      </c>
      <c r="I132" s="233">
        <f t="shared" si="85"/>
        <v>1.5716520898162439E-4</v>
      </c>
      <c r="J132" s="233">
        <f t="shared" si="85"/>
        <v>0</v>
      </c>
      <c r="K132" s="233">
        <f t="shared" si="85"/>
        <v>0</v>
      </c>
      <c r="L132" s="233">
        <f t="shared" si="85"/>
        <v>0</v>
      </c>
      <c r="M132" s="233">
        <f t="shared" si="85"/>
        <v>0</v>
      </c>
      <c r="N132" s="233">
        <f t="shared" si="85"/>
        <v>0</v>
      </c>
      <c r="O132" s="233">
        <f t="shared" si="85"/>
        <v>0</v>
      </c>
      <c r="P132" s="233" t="str">
        <f t="shared" si="85"/>
        <v/>
      </c>
      <c r="Q132" s="233" t="str">
        <f t="shared" si="85"/>
        <v/>
      </c>
      <c r="R132" s="233" t="str">
        <f t="shared" si="85"/>
        <v/>
      </c>
      <c r="S132" s="233" t="str">
        <f t="shared" si="85"/>
        <v/>
      </c>
      <c r="T132" s="233" t="str">
        <f t="shared" si="85"/>
        <v/>
      </c>
      <c r="U132" s="233" t="str">
        <f t="shared" si="85"/>
        <v/>
      </c>
      <c r="V132" s="233" t="str">
        <f t="shared" si="85"/>
        <v/>
      </c>
      <c r="W132" s="233" t="str">
        <f t="shared" si="85"/>
        <v/>
      </c>
      <c r="X132" s="233" t="str">
        <f t="shared" si="85"/>
        <v/>
      </c>
      <c r="Y132" s="233" t="str">
        <f t="shared" si="85"/>
        <v/>
      </c>
      <c r="Z132" s="233" t="str">
        <f t="shared" si="85"/>
        <v/>
      </c>
      <c r="AA132" s="233" t="str">
        <f t="shared" si="85"/>
        <v/>
      </c>
      <c r="AB132" s="233" t="str">
        <f t="shared" si="85"/>
        <v/>
      </c>
    </row>
    <row r="133" spans="1:28" ht="18" customHeight="1" x14ac:dyDescent="0.25">
      <c r="A133" s="11" t="s">
        <v>270</v>
      </c>
      <c r="B133" s="244"/>
      <c r="C133" s="233">
        <f t="shared" si="73"/>
        <v>5.1549695885507582E-3</v>
      </c>
      <c r="D133" s="233">
        <f t="shared" ref="D133:AB133" si="86">IFERROR((12.011*$AD64/$B32)*D64,"")</f>
        <v>7.1899060485900162E-4</v>
      </c>
      <c r="E133" s="233">
        <f t="shared" si="86"/>
        <v>5.7276079456719869E-3</v>
      </c>
      <c r="F133" s="233">
        <f t="shared" si="86"/>
        <v>7.6351861076182784E-3</v>
      </c>
      <c r="G133" s="233">
        <f t="shared" si="86"/>
        <v>7.043000400707009E-3</v>
      </c>
      <c r="H133" s="233">
        <f t="shared" si="86"/>
        <v>6.0409301796156122E-3</v>
      </c>
      <c r="I133" s="233">
        <f t="shared" si="86"/>
        <v>1.7010683837247846E-2</v>
      </c>
      <c r="J133" s="233">
        <f t="shared" si="86"/>
        <v>8.9574836627915305E-3</v>
      </c>
      <c r="K133" s="233">
        <f t="shared" si="86"/>
        <v>3.1079391310979156E-3</v>
      </c>
      <c r="L133" s="233">
        <f t="shared" si="86"/>
        <v>1.6745162410987961E-3</v>
      </c>
      <c r="M133" s="233">
        <f t="shared" si="86"/>
        <v>1.3595636474060782E-3</v>
      </c>
      <c r="N133" s="233">
        <f t="shared" si="86"/>
        <v>1.3337164888282385E-3</v>
      </c>
      <c r="O133" s="233">
        <f t="shared" si="86"/>
        <v>1.2500168156668028E-3</v>
      </c>
      <c r="P133" s="233" t="str">
        <f t="shared" si="86"/>
        <v/>
      </c>
      <c r="Q133" s="233" t="str">
        <f t="shared" si="86"/>
        <v/>
      </c>
      <c r="R133" s="233" t="str">
        <f t="shared" si="86"/>
        <v/>
      </c>
      <c r="S133" s="233" t="str">
        <f t="shared" si="86"/>
        <v/>
      </c>
      <c r="T133" s="233" t="str">
        <f t="shared" si="86"/>
        <v/>
      </c>
      <c r="U133" s="233" t="str">
        <f t="shared" si="86"/>
        <v/>
      </c>
      <c r="V133" s="233" t="str">
        <f t="shared" si="86"/>
        <v/>
      </c>
      <c r="W133" s="233" t="str">
        <f t="shared" si="86"/>
        <v/>
      </c>
      <c r="X133" s="233" t="str">
        <f t="shared" si="86"/>
        <v/>
      </c>
      <c r="Y133" s="233" t="str">
        <f t="shared" si="86"/>
        <v/>
      </c>
      <c r="Z133" s="233" t="str">
        <f t="shared" si="86"/>
        <v/>
      </c>
      <c r="AA133" s="233" t="str">
        <f t="shared" si="86"/>
        <v/>
      </c>
      <c r="AB133" s="233" t="str">
        <f t="shared" si="86"/>
        <v/>
      </c>
    </row>
    <row r="134" spans="1:28" ht="18" customHeight="1" x14ac:dyDescent="0.25">
      <c r="A134" s="11" t="s">
        <v>271</v>
      </c>
      <c r="B134" s="244"/>
      <c r="C134" s="233">
        <f t="shared" si="73"/>
        <v>0</v>
      </c>
      <c r="D134" s="233">
        <f t="shared" ref="D134:AB134" si="87">IFERROR((12.011*$AD65/$B33)*D65,"")</f>
        <v>0</v>
      </c>
      <c r="E134" s="233">
        <f t="shared" si="87"/>
        <v>0</v>
      </c>
      <c r="F134" s="233">
        <f t="shared" si="87"/>
        <v>0</v>
      </c>
      <c r="G134" s="233">
        <f t="shared" si="87"/>
        <v>0</v>
      </c>
      <c r="H134" s="233">
        <f t="shared" si="87"/>
        <v>0</v>
      </c>
      <c r="I134" s="233">
        <f t="shared" si="87"/>
        <v>0</v>
      </c>
      <c r="J134" s="233">
        <f t="shared" si="87"/>
        <v>0</v>
      </c>
      <c r="K134" s="233">
        <f t="shared" si="87"/>
        <v>0</v>
      </c>
      <c r="L134" s="233">
        <f t="shared" si="87"/>
        <v>0</v>
      </c>
      <c r="M134" s="233">
        <f t="shared" si="87"/>
        <v>0</v>
      </c>
      <c r="N134" s="233">
        <f t="shared" si="87"/>
        <v>0</v>
      </c>
      <c r="O134" s="233">
        <f t="shared" si="87"/>
        <v>0</v>
      </c>
      <c r="P134" s="233" t="str">
        <f t="shared" si="87"/>
        <v/>
      </c>
      <c r="Q134" s="233" t="str">
        <f t="shared" si="87"/>
        <v/>
      </c>
      <c r="R134" s="233" t="str">
        <f t="shared" si="87"/>
        <v/>
      </c>
      <c r="S134" s="233" t="str">
        <f t="shared" si="87"/>
        <v/>
      </c>
      <c r="T134" s="233" t="str">
        <f t="shared" si="87"/>
        <v/>
      </c>
      <c r="U134" s="233" t="str">
        <f t="shared" si="87"/>
        <v/>
      </c>
      <c r="V134" s="233" t="str">
        <f t="shared" si="87"/>
        <v/>
      </c>
      <c r="W134" s="233" t="str">
        <f t="shared" si="87"/>
        <v/>
      </c>
      <c r="X134" s="233" t="str">
        <f t="shared" si="87"/>
        <v/>
      </c>
      <c r="Y134" s="233" t="str">
        <f t="shared" si="87"/>
        <v/>
      </c>
      <c r="Z134" s="233" t="str">
        <f t="shared" si="87"/>
        <v/>
      </c>
      <c r="AA134" s="233" t="str">
        <f t="shared" si="87"/>
        <v/>
      </c>
      <c r="AB134" s="233" t="str">
        <f t="shared" si="87"/>
        <v/>
      </c>
    </row>
    <row r="135" spans="1:28" ht="18" customHeight="1" x14ac:dyDescent="0.25">
      <c r="A135" s="11" t="s">
        <v>272</v>
      </c>
      <c r="B135" s="244"/>
      <c r="C135" s="233">
        <f t="shared" si="73"/>
        <v>0</v>
      </c>
      <c r="D135" s="233">
        <f t="shared" ref="D135:AB135" si="88">IFERROR((12.011*$AD66/$B34)*D66,"")</f>
        <v>0</v>
      </c>
      <c r="E135" s="233">
        <f t="shared" si="88"/>
        <v>0</v>
      </c>
      <c r="F135" s="233">
        <f t="shared" si="88"/>
        <v>0</v>
      </c>
      <c r="G135" s="233">
        <f t="shared" si="88"/>
        <v>0</v>
      </c>
      <c r="H135" s="233">
        <f t="shared" si="88"/>
        <v>0</v>
      </c>
      <c r="I135" s="233">
        <f t="shared" si="88"/>
        <v>0</v>
      </c>
      <c r="J135" s="233">
        <f t="shared" si="88"/>
        <v>0</v>
      </c>
      <c r="K135" s="233">
        <f t="shared" si="88"/>
        <v>0</v>
      </c>
      <c r="L135" s="233">
        <f t="shared" si="88"/>
        <v>0</v>
      </c>
      <c r="M135" s="233">
        <f t="shared" si="88"/>
        <v>0</v>
      </c>
      <c r="N135" s="233">
        <f t="shared" si="88"/>
        <v>0</v>
      </c>
      <c r="O135" s="233">
        <f t="shared" si="88"/>
        <v>0</v>
      </c>
      <c r="P135" s="233" t="str">
        <f t="shared" si="88"/>
        <v/>
      </c>
      <c r="Q135" s="233" t="str">
        <f t="shared" si="88"/>
        <v/>
      </c>
      <c r="R135" s="233" t="str">
        <f t="shared" si="88"/>
        <v/>
      </c>
      <c r="S135" s="233" t="str">
        <f t="shared" si="88"/>
        <v/>
      </c>
      <c r="T135" s="233" t="str">
        <f t="shared" si="88"/>
        <v/>
      </c>
      <c r="U135" s="233" t="str">
        <f t="shared" si="88"/>
        <v/>
      </c>
      <c r="V135" s="233" t="str">
        <f t="shared" si="88"/>
        <v/>
      </c>
      <c r="W135" s="233" t="str">
        <f t="shared" si="88"/>
        <v/>
      </c>
      <c r="X135" s="233" t="str">
        <f t="shared" si="88"/>
        <v/>
      </c>
      <c r="Y135" s="233" t="str">
        <f t="shared" si="88"/>
        <v/>
      </c>
      <c r="Z135" s="233" t="str">
        <f t="shared" si="88"/>
        <v/>
      </c>
      <c r="AA135" s="233" t="str">
        <f t="shared" si="88"/>
        <v/>
      </c>
      <c r="AB135" s="233" t="str">
        <f t="shared" si="88"/>
        <v/>
      </c>
    </row>
    <row r="136" spans="1:28" ht="18" customHeight="1" x14ac:dyDescent="0.25">
      <c r="A136" s="11" t="s">
        <v>273</v>
      </c>
      <c r="B136" s="244"/>
      <c r="C136" s="233">
        <f t="shared" si="73"/>
        <v>0</v>
      </c>
      <c r="D136" s="233">
        <f t="shared" ref="D136:AB136" si="89">IFERROR((12.011*$AD67/$B35)*D67,"")</f>
        <v>0</v>
      </c>
      <c r="E136" s="233">
        <f t="shared" si="89"/>
        <v>0</v>
      </c>
      <c r="F136" s="233">
        <f t="shared" si="89"/>
        <v>0</v>
      </c>
      <c r="G136" s="233">
        <f t="shared" si="89"/>
        <v>0</v>
      </c>
      <c r="H136" s="233">
        <f t="shared" si="89"/>
        <v>0</v>
      </c>
      <c r="I136" s="233">
        <f t="shared" si="89"/>
        <v>0</v>
      </c>
      <c r="J136" s="233">
        <f t="shared" si="89"/>
        <v>0</v>
      </c>
      <c r="K136" s="233">
        <f t="shared" si="89"/>
        <v>0</v>
      </c>
      <c r="L136" s="233">
        <f t="shared" si="89"/>
        <v>0</v>
      </c>
      <c r="M136" s="233">
        <f t="shared" si="89"/>
        <v>0</v>
      </c>
      <c r="N136" s="233">
        <f t="shared" si="89"/>
        <v>0</v>
      </c>
      <c r="O136" s="233">
        <f t="shared" si="89"/>
        <v>0</v>
      </c>
      <c r="P136" s="233" t="str">
        <f t="shared" si="89"/>
        <v/>
      </c>
      <c r="Q136" s="233" t="str">
        <f t="shared" si="89"/>
        <v/>
      </c>
      <c r="R136" s="233" t="str">
        <f t="shared" si="89"/>
        <v/>
      </c>
      <c r="S136" s="233" t="str">
        <f t="shared" si="89"/>
        <v/>
      </c>
      <c r="T136" s="233" t="str">
        <f t="shared" si="89"/>
        <v/>
      </c>
      <c r="U136" s="233" t="str">
        <f t="shared" si="89"/>
        <v/>
      </c>
      <c r="V136" s="233" t="str">
        <f t="shared" si="89"/>
        <v/>
      </c>
      <c r="W136" s="233" t="str">
        <f t="shared" si="89"/>
        <v/>
      </c>
      <c r="X136" s="233" t="str">
        <f t="shared" si="89"/>
        <v/>
      </c>
      <c r="Y136" s="233" t="str">
        <f t="shared" si="89"/>
        <v/>
      </c>
      <c r="Z136" s="233" t="str">
        <f t="shared" si="89"/>
        <v/>
      </c>
      <c r="AA136" s="233" t="str">
        <f t="shared" si="89"/>
        <v/>
      </c>
      <c r="AB136" s="233" t="str">
        <f t="shared" si="89"/>
        <v/>
      </c>
    </row>
    <row r="137" spans="1:28" ht="18" customHeight="1" x14ac:dyDescent="0.25">
      <c r="A137" s="11" t="s">
        <v>274</v>
      </c>
      <c r="B137" s="244"/>
      <c r="C137" s="233">
        <f t="shared" si="73"/>
        <v>7.8081237695112264E-5</v>
      </c>
      <c r="D137" s="233">
        <f t="shared" ref="D137:AB137" si="90">IFERROR((12.011*$AD68/$B36)*D68,"")</f>
        <v>4.712787805110385E-4</v>
      </c>
      <c r="E137" s="233">
        <f t="shared" si="90"/>
        <v>0</v>
      </c>
      <c r="F137" s="233">
        <f t="shared" si="90"/>
        <v>0</v>
      </c>
      <c r="G137" s="233">
        <f t="shared" si="90"/>
        <v>0</v>
      </c>
      <c r="H137" s="233">
        <f t="shared" si="90"/>
        <v>0</v>
      </c>
      <c r="I137" s="233">
        <f t="shared" si="90"/>
        <v>0</v>
      </c>
      <c r="J137" s="233">
        <f t="shared" si="90"/>
        <v>0</v>
      </c>
      <c r="K137" s="233">
        <f t="shared" si="90"/>
        <v>0</v>
      </c>
      <c r="L137" s="233">
        <f t="shared" si="90"/>
        <v>1.2160909462080199E-4</v>
      </c>
      <c r="M137" s="233">
        <f t="shared" si="90"/>
        <v>1.2445200636755876E-4</v>
      </c>
      <c r="N137" s="233">
        <f t="shared" si="90"/>
        <v>1.1726611309675108E-4</v>
      </c>
      <c r="O137" s="233">
        <f t="shared" si="90"/>
        <v>1.0236885774519679E-4</v>
      </c>
      <c r="P137" s="233" t="str">
        <f t="shared" si="90"/>
        <v/>
      </c>
      <c r="Q137" s="233" t="str">
        <f t="shared" si="90"/>
        <v/>
      </c>
      <c r="R137" s="233" t="str">
        <f t="shared" si="90"/>
        <v/>
      </c>
      <c r="S137" s="233" t="str">
        <f t="shared" si="90"/>
        <v/>
      </c>
      <c r="T137" s="233" t="str">
        <f t="shared" si="90"/>
        <v/>
      </c>
      <c r="U137" s="233" t="str">
        <f t="shared" si="90"/>
        <v/>
      </c>
      <c r="V137" s="233" t="str">
        <f t="shared" si="90"/>
        <v/>
      </c>
      <c r="W137" s="233" t="str">
        <f t="shared" si="90"/>
        <v/>
      </c>
      <c r="X137" s="233" t="str">
        <f t="shared" si="90"/>
        <v/>
      </c>
      <c r="Y137" s="233" t="str">
        <f t="shared" si="90"/>
        <v/>
      </c>
      <c r="Z137" s="233" t="str">
        <f t="shared" si="90"/>
        <v/>
      </c>
      <c r="AA137" s="233" t="str">
        <f t="shared" si="90"/>
        <v/>
      </c>
      <c r="AB137" s="233" t="str">
        <f t="shared" si="90"/>
        <v/>
      </c>
    </row>
    <row r="138" spans="1:28" ht="18" customHeight="1" x14ac:dyDescent="0.25">
      <c r="A138" s="11" t="s">
        <v>275</v>
      </c>
      <c r="B138" s="244"/>
      <c r="C138" s="233">
        <f t="shared" si="73"/>
        <v>4.8441913493786469E-4</v>
      </c>
      <c r="D138" s="233">
        <f t="shared" ref="D138:AB138" si="91">IFERROR((12.011*$AD69/$B37)*D69,"")</f>
        <v>2.7194746271399681E-4</v>
      </c>
      <c r="E138" s="233">
        <f t="shared" si="91"/>
        <v>8.2038522986446858E-4</v>
      </c>
      <c r="F138" s="233">
        <f t="shared" si="91"/>
        <v>4.319195193405994E-4</v>
      </c>
      <c r="G138" s="233">
        <f t="shared" si="91"/>
        <v>3.549068967526514E-4</v>
      </c>
      <c r="H138" s="233">
        <f t="shared" si="91"/>
        <v>4.2126958554997688E-4</v>
      </c>
      <c r="I138" s="233">
        <f t="shared" si="91"/>
        <v>1.5842349856854422E-3</v>
      </c>
      <c r="J138" s="233">
        <f t="shared" si="91"/>
        <v>7.9847009804277086E-4</v>
      </c>
      <c r="K138" s="233">
        <f t="shared" si="91"/>
        <v>3.5464646334971468E-4</v>
      </c>
      <c r="L138" s="233">
        <f t="shared" si="91"/>
        <v>2.2371601574266027E-4</v>
      </c>
      <c r="M138" s="233">
        <f t="shared" si="91"/>
        <v>1.8605699155549207E-4</v>
      </c>
      <c r="N138" s="233">
        <f t="shared" si="91"/>
        <v>1.8307367867425272E-4</v>
      </c>
      <c r="O138" s="233">
        <f t="shared" si="91"/>
        <v>1.8240269198235062E-4</v>
      </c>
      <c r="P138" s="233" t="str">
        <f t="shared" si="91"/>
        <v/>
      </c>
      <c r="Q138" s="233" t="str">
        <f t="shared" si="91"/>
        <v/>
      </c>
      <c r="R138" s="233" t="str">
        <f t="shared" si="91"/>
        <v/>
      </c>
      <c r="S138" s="233" t="str">
        <f t="shared" si="91"/>
        <v/>
      </c>
      <c r="T138" s="233" t="str">
        <f t="shared" si="91"/>
        <v/>
      </c>
      <c r="U138" s="233" t="str">
        <f t="shared" si="91"/>
        <v/>
      </c>
      <c r="V138" s="233" t="str">
        <f t="shared" si="91"/>
        <v/>
      </c>
      <c r="W138" s="233" t="str">
        <f t="shared" si="91"/>
        <v/>
      </c>
      <c r="X138" s="233" t="str">
        <f t="shared" si="91"/>
        <v/>
      </c>
      <c r="Y138" s="233" t="str">
        <f t="shared" si="91"/>
        <v/>
      </c>
      <c r="Z138" s="233" t="str">
        <f t="shared" si="91"/>
        <v/>
      </c>
      <c r="AA138" s="233" t="str">
        <f t="shared" si="91"/>
        <v/>
      </c>
      <c r="AB138" s="233" t="str">
        <f t="shared" si="91"/>
        <v/>
      </c>
    </row>
    <row r="139" spans="1:28" ht="18" customHeight="1" x14ac:dyDescent="0.25">
      <c r="A139" s="11" t="s">
        <v>276</v>
      </c>
      <c r="B139" s="244"/>
      <c r="C139" s="233">
        <f t="shared" si="73"/>
        <v>0</v>
      </c>
      <c r="D139" s="233">
        <f t="shared" ref="D139:AB139" si="92">IFERROR((12.011*$AD70/$B38)*D70,"")</f>
        <v>0</v>
      </c>
      <c r="E139" s="233">
        <f t="shared" si="92"/>
        <v>0</v>
      </c>
      <c r="F139" s="233">
        <f t="shared" si="92"/>
        <v>0</v>
      </c>
      <c r="G139" s="233">
        <f t="shared" si="92"/>
        <v>0</v>
      </c>
      <c r="H139" s="233">
        <f t="shared" si="92"/>
        <v>0</v>
      </c>
      <c r="I139" s="233">
        <f t="shared" si="92"/>
        <v>0</v>
      </c>
      <c r="J139" s="233">
        <f t="shared" si="92"/>
        <v>0</v>
      </c>
      <c r="K139" s="233">
        <f t="shared" si="92"/>
        <v>0</v>
      </c>
      <c r="L139" s="233">
        <f t="shared" si="92"/>
        <v>0</v>
      </c>
      <c r="M139" s="233">
        <f t="shared" si="92"/>
        <v>0</v>
      </c>
      <c r="N139" s="233">
        <f t="shared" si="92"/>
        <v>0</v>
      </c>
      <c r="O139" s="233">
        <f t="shared" si="92"/>
        <v>0</v>
      </c>
      <c r="P139" s="233" t="str">
        <f t="shared" si="92"/>
        <v/>
      </c>
      <c r="Q139" s="233" t="str">
        <f t="shared" si="92"/>
        <v/>
      </c>
      <c r="R139" s="233" t="str">
        <f t="shared" si="92"/>
        <v/>
      </c>
      <c r="S139" s="233" t="str">
        <f t="shared" si="92"/>
        <v/>
      </c>
      <c r="T139" s="233" t="str">
        <f t="shared" si="92"/>
        <v/>
      </c>
      <c r="U139" s="233" t="str">
        <f t="shared" si="92"/>
        <v/>
      </c>
      <c r="V139" s="233" t="str">
        <f t="shared" si="92"/>
        <v/>
      </c>
      <c r="W139" s="233" t="str">
        <f t="shared" si="92"/>
        <v/>
      </c>
      <c r="X139" s="233" t="str">
        <f t="shared" si="92"/>
        <v/>
      </c>
      <c r="Y139" s="233" t="str">
        <f t="shared" si="92"/>
        <v/>
      </c>
      <c r="Z139" s="233" t="str">
        <f t="shared" si="92"/>
        <v/>
      </c>
      <c r="AA139" s="233" t="str">
        <f t="shared" si="92"/>
        <v/>
      </c>
      <c r="AB139" s="233" t="str">
        <f t="shared" si="92"/>
        <v/>
      </c>
    </row>
    <row r="140" spans="1:28" ht="18" customHeight="1" x14ac:dyDescent="0.25">
      <c r="A140" s="11" t="s">
        <v>277</v>
      </c>
      <c r="B140" s="244"/>
      <c r="C140" s="233">
        <f t="shared" si="73"/>
        <v>3.0671962555377935E-2</v>
      </c>
      <c r="D140" s="233">
        <f t="shared" ref="D140:AB140" si="93">IFERROR((12.011*$AD71/$B39)*D71,"")</f>
        <v>1.222402029495793E-3</v>
      </c>
      <c r="E140" s="233">
        <f t="shared" si="93"/>
        <v>3.2090940407526594E-2</v>
      </c>
      <c r="F140" s="233">
        <f t="shared" si="93"/>
        <v>5.2487921990186703E-2</v>
      </c>
      <c r="G140" s="233">
        <f t="shared" si="93"/>
        <v>5.1294716438755897E-2</v>
      </c>
      <c r="H140" s="233">
        <f t="shared" si="93"/>
        <v>3.9594746356312244E-2</v>
      </c>
      <c r="I140" s="233">
        <f t="shared" si="93"/>
        <v>4.6834324856148885E-2</v>
      </c>
      <c r="J140" s="233">
        <f t="shared" si="93"/>
        <v>3.9781319668352397E-2</v>
      </c>
      <c r="K140" s="233">
        <f t="shared" si="93"/>
        <v>3.3971194760315702E-2</v>
      </c>
      <c r="L140" s="233">
        <f t="shared" si="93"/>
        <v>1.9793557088021111E-2</v>
      </c>
      <c r="M140" s="233">
        <f t="shared" si="93"/>
        <v>1.7401948923300919E-2</v>
      </c>
      <c r="N140" s="233">
        <f t="shared" si="93"/>
        <v>1.7161858542180063E-2</v>
      </c>
      <c r="O140" s="233">
        <f t="shared" si="93"/>
        <v>1.6428619603938932E-2</v>
      </c>
      <c r="P140" s="233" t="str">
        <f t="shared" si="93"/>
        <v/>
      </c>
      <c r="Q140" s="233" t="str">
        <f t="shared" si="93"/>
        <v/>
      </c>
      <c r="R140" s="233" t="str">
        <f t="shared" si="93"/>
        <v/>
      </c>
      <c r="S140" s="233" t="str">
        <f t="shared" si="93"/>
        <v/>
      </c>
      <c r="T140" s="233" t="str">
        <f t="shared" si="93"/>
        <v/>
      </c>
      <c r="U140" s="233" t="str">
        <f t="shared" si="93"/>
        <v/>
      </c>
      <c r="V140" s="233" t="str">
        <f t="shared" si="93"/>
        <v/>
      </c>
      <c r="W140" s="233" t="str">
        <f t="shared" si="93"/>
        <v/>
      </c>
      <c r="X140" s="233" t="str">
        <f t="shared" si="93"/>
        <v/>
      </c>
      <c r="Y140" s="233" t="str">
        <f t="shared" si="93"/>
        <v/>
      </c>
      <c r="Z140" s="233" t="str">
        <f t="shared" si="93"/>
        <v/>
      </c>
      <c r="AA140" s="233" t="str">
        <f t="shared" si="93"/>
        <v/>
      </c>
      <c r="AB140" s="233" t="str">
        <f t="shared" si="93"/>
        <v/>
      </c>
    </row>
    <row r="141" spans="1:28" ht="18" customHeight="1" x14ac:dyDescent="0.25">
      <c r="A141" s="11" t="s">
        <v>278</v>
      </c>
      <c r="B141" s="244"/>
      <c r="C141" s="233">
        <f t="shared" si="73"/>
        <v>1.4399064237209988E-4</v>
      </c>
      <c r="D141" s="233">
        <f t="shared" ref="D141:AB141" si="94">IFERROR((12.011*$AD72/$B40)*D72,"")</f>
        <v>1.025218939319211E-3</v>
      </c>
      <c r="E141" s="233">
        <f t="shared" si="94"/>
        <v>2.2937201991909273E-4</v>
      </c>
      <c r="F141" s="233">
        <f t="shared" si="94"/>
        <v>0</v>
      </c>
      <c r="G141" s="233">
        <f t="shared" si="94"/>
        <v>0</v>
      </c>
      <c r="H141" s="233">
        <f t="shared" si="94"/>
        <v>0</v>
      </c>
      <c r="I141" s="233">
        <f t="shared" si="94"/>
        <v>0</v>
      </c>
      <c r="J141" s="233">
        <f t="shared" si="94"/>
        <v>0</v>
      </c>
      <c r="K141" s="233">
        <f t="shared" si="94"/>
        <v>0</v>
      </c>
      <c r="L141" s="233">
        <f t="shared" si="94"/>
        <v>1.3477616717422899E-4</v>
      </c>
      <c r="M141" s="233">
        <f t="shared" si="94"/>
        <v>1.3364307270608106E-4</v>
      </c>
      <c r="N141" s="233">
        <f t="shared" si="94"/>
        <v>1.1454474760294462E-4</v>
      </c>
      <c r="O141" s="233">
        <f t="shared" si="94"/>
        <v>9.0332761743640308E-5</v>
      </c>
      <c r="P141" s="233" t="str">
        <f t="shared" si="94"/>
        <v/>
      </c>
      <c r="Q141" s="233" t="str">
        <f t="shared" si="94"/>
        <v/>
      </c>
      <c r="R141" s="233" t="str">
        <f t="shared" si="94"/>
        <v/>
      </c>
      <c r="S141" s="233" t="str">
        <f t="shared" si="94"/>
        <v/>
      </c>
      <c r="T141" s="233" t="str">
        <f t="shared" si="94"/>
        <v/>
      </c>
      <c r="U141" s="233" t="str">
        <f t="shared" si="94"/>
        <v/>
      </c>
      <c r="V141" s="233" t="str">
        <f t="shared" si="94"/>
        <v/>
      </c>
      <c r="W141" s="233" t="str">
        <f t="shared" si="94"/>
        <v/>
      </c>
      <c r="X141" s="233" t="str">
        <f t="shared" si="94"/>
        <v/>
      </c>
      <c r="Y141" s="233" t="str">
        <f t="shared" si="94"/>
        <v/>
      </c>
      <c r="Z141" s="233" t="str">
        <f t="shared" si="94"/>
        <v/>
      </c>
      <c r="AA141" s="233" t="str">
        <f t="shared" si="94"/>
        <v/>
      </c>
      <c r="AB141" s="233" t="str">
        <f t="shared" si="94"/>
        <v/>
      </c>
    </row>
    <row r="142" spans="1:28" ht="18" customHeight="1" x14ac:dyDescent="0.25">
      <c r="A142" s="11" t="s">
        <v>279</v>
      </c>
      <c r="B142" s="244"/>
      <c r="C142" s="233">
        <f t="shared" si="73"/>
        <v>0</v>
      </c>
      <c r="D142" s="233">
        <f t="shared" ref="D142:AB142" si="95">IFERROR((12.011*$AD73/$B41)*D73,"")</f>
        <v>0</v>
      </c>
      <c r="E142" s="233">
        <f t="shared" si="95"/>
        <v>0</v>
      </c>
      <c r="F142" s="233">
        <f t="shared" si="95"/>
        <v>0</v>
      </c>
      <c r="G142" s="233">
        <f t="shared" si="95"/>
        <v>0</v>
      </c>
      <c r="H142" s="233">
        <f t="shared" si="95"/>
        <v>0</v>
      </c>
      <c r="I142" s="233">
        <f t="shared" si="95"/>
        <v>0</v>
      </c>
      <c r="J142" s="233">
        <f t="shared" si="95"/>
        <v>0</v>
      </c>
      <c r="K142" s="233">
        <f t="shared" si="95"/>
        <v>0</v>
      </c>
      <c r="L142" s="233">
        <f t="shared" si="95"/>
        <v>0</v>
      </c>
      <c r="M142" s="233">
        <f t="shared" si="95"/>
        <v>0</v>
      </c>
      <c r="N142" s="233">
        <f t="shared" si="95"/>
        <v>0</v>
      </c>
      <c r="O142" s="233">
        <f t="shared" si="95"/>
        <v>0</v>
      </c>
      <c r="P142" s="233" t="str">
        <f t="shared" si="95"/>
        <v/>
      </c>
      <c r="Q142" s="233" t="str">
        <f t="shared" si="95"/>
        <v/>
      </c>
      <c r="R142" s="233" t="str">
        <f t="shared" si="95"/>
        <v/>
      </c>
      <c r="S142" s="233" t="str">
        <f t="shared" si="95"/>
        <v/>
      </c>
      <c r="T142" s="233" t="str">
        <f t="shared" si="95"/>
        <v/>
      </c>
      <c r="U142" s="233" t="str">
        <f t="shared" si="95"/>
        <v/>
      </c>
      <c r="V142" s="233" t="str">
        <f t="shared" si="95"/>
        <v/>
      </c>
      <c r="W142" s="233" t="str">
        <f t="shared" si="95"/>
        <v/>
      </c>
      <c r="X142" s="233" t="str">
        <f t="shared" si="95"/>
        <v/>
      </c>
      <c r="Y142" s="233" t="str">
        <f t="shared" si="95"/>
        <v/>
      </c>
      <c r="Z142" s="233" t="str">
        <f t="shared" si="95"/>
        <v/>
      </c>
      <c r="AA142" s="233" t="str">
        <f t="shared" si="95"/>
        <v/>
      </c>
      <c r="AB142" s="233" t="str">
        <f t="shared" si="95"/>
        <v/>
      </c>
    </row>
    <row r="143" spans="1:28" ht="18" customHeight="1" x14ac:dyDescent="0.25">
      <c r="A143" s="11" t="s">
        <v>280</v>
      </c>
      <c r="B143" s="244"/>
      <c r="C143" s="233">
        <f t="shared" si="73"/>
        <v>0</v>
      </c>
      <c r="D143" s="233">
        <f t="shared" ref="D143:AB143" si="96">IFERROR((12.011*$AD74/$B42)*D74,"")</f>
        <v>0</v>
      </c>
      <c r="E143" s="233">
        <f t="shared" si="96"/>
        <v>0</v>
      </c>
      <c r="F143" s="233">
        <f t="shared" si="96"/>
        <v>0</v>
      </c>
      <c r="G143" s="233">
        <f t="shared" si="96"/>
        <v>0</v>
      </c>
      <c r="H143" s="233">
        <f t="shared" si="96"/>
        <v>0</v>
      </c>
      <c r="I143" s="233">
        <f t="shared" si="96"/>
        <v>0</v>
      </c>
      <c r="J143" s="233">
        <f t="shared" si="96"/>
        <v>0</v>
      </c>
      <c r="K143" s="233">
        <f t="shared" si="96"/>
        <v>0</v>
      </c>
      <c r="L143" s="233">
        <f t="shared" si="96"/>
        <v>0</v>
      </c>
      <c r="M143" s="233">
        <f t="shared" si="96"/>
        <v>0</v>
      </c>
      <c r="N143" s="233">
        <f t="shared" si="96"/>
        <v>0</v>
      </c>
      <c r="O143" s="233">
        <f t="shared" si="96"/>
        <v>0</v>
      </c>
      <c r="P143" s="233" t="str">
        <f t="shared" si="96"/>
        <v/>
      </c>
      <c r="Q143" s="233" t="str">
        <f t="shared" si="96"/>
        <v/>
      </c>
      <c r="R143" s="233" t="str">
        <f t="shared" si="96"/>
        <v/>
      </c>
      <c r="S143" s="233" t="str">
        <f t="shared" si="96"/>
        <v/>
      </c>
      <c r="T143" s="233" t="str">
        <f t="shared" si="96"/>
        <v/>
      </c>
      <c r="U143" s="233" t="str">
        <f t="shared" si="96"/>
        <v/>
      </c>
      <c r="V143" s="233" t="str">
        <f t="shared" si="96"/>
        <v/>
      </c>
      <c r="W143" s="233" t="str">
        <f t="shared" si="96"/>
        <v/>
      </c>
      <c r="X143" s="233" t="str">
        <f t="shared" si="96"/>
        <v/>
      </c>
      <c r="Y143" s="233" t="str">
        <f t="shared" si="96"/>
        <v/>
      </c>
      <c r="Z143" s="233" t="str">
        <f t="shared" si="96"/>
        <v/>
      </c>
      <c r="AA143" s="233" t="str">
        <f t="shared" si="96"/>
        <v/>
      </c>
      <c r="AB143" s="233" t="str">
        <f t="shared" si="96"/>
        <v/>
      </c>
    </row>
    <row r="144" spans="1:28" ht="18" customHeight="1" x14ac:dyDescent="0.25">
      <c r="A144" s="11" t="s">
        <v>281</v>
      </c>
      <c r="B144" s="244"/>
      <c r="C144" s="233">
        <f t="shared" si="73"/>
        <v>0</v>
      </c>
      <c r="D144" s="233">
        <f t="shared" ref="D144:AB144" si="97">IFERROR((12.011*$AD75/$B43)*D75,"")</f>
        <v>0</v>
      </c>
      <c r="E144" s="233">
        <f t="shared" si="97"/>
        <v>0</v>
      </c>
      <c r="F144" s="233">
        <f t="shared" si="97"/>
        <v>0</v>
      </c>
      <c r="G144" s="233">
        <f t="shared" si="97"/>
        <v>0</v>
      </c>
      <c r="H144" s="233">
        <f t="shared" si="97"/>
        <v>0</v>
      </c>
      <c r="I144" s="233">
        <f t="shared" si="97"/>
        <v>0</v>
      </c>
      <c r="J144" s="233">
        <f t="shared" si="97"/>
        <v>0</v>
      </c>
      <c r="K144" s="233">
        <f t="shared" si="97"/>
        <v>0</v>
      </c>
      <c r="L144" s="233">
        <f t="shared" si="97"/>
        <v>0</v>
      </c>
      <c r="M144" s="233">
        <f t="shared" si="97"/>
        <v>0</v>
      </c>
      <c r="N144" s="233">
        <f t="shared" si="97"/>
        <v>0</v>
      </c>
      <c r="O144" s="233">
        <f t="shared" si="97"/>
        <v>0</v>
      </c>
      <c r="P144" s="233" t="str">
        <f t="shared" si="97"/>
        <v/>
      </c>
      <c r="Q144" s="233" t="str">
        <f t="shared" si="97"/>
        <v/>
      </c>
      <c r="R144" s="233" t="str">
        <f t="shared" si="97"/>
        <v/>
      </c>
      <c r="S144" s="233" t="str">
        <f t="shared" si="97"/>
        <v/>
      </c>
      <c r="T144" s="233" t="str">
        <f t="shared" si="97"/>
        <v/>
      </c>
      <c r="U144" s="233" t="str">
        <f t="shared" si="97"/>
        <v/>
      </c>
      <c r="V144" s="233" t="str">
        <f t="shared" si="97"/>
        <v/>
      </c>
      <c r="W144" s="233" t="str">
        <f t="shared" si="97"/>
        <v/>
      </c>
      <c r="X144" s="233" t="str">
        <f t="shared" si="97"/>
        <v/>
      </c>
      <c r="Y144" s="233" t="str">
        <f t="shared" si="97"/>
        <v/>
      </c>
      <c r="Z144" s="233" t="str">
        <f t="shared" si="97"/>
        <v/>
      </c>
      <c r="AA144" s="233" t="str">
        <f t="shared" si="97"/>
        <v/>
      </c>
      <c r="AB144" s="233" t="str">
        <f t="shared" si="97"/>
        <v/>
      </c>
    </row>
    <row r="145" spans="1:28" ht="18" customHeight="1" x14ac:dyDescent="0.25">
      <c r="A145" s="11" t="s">
        <v>282</v>
      </c>
      <c r="B145" s="244"/>
      <c r="C145" s="233">
        <f t="shared" si="73"/>
        <v>0</v>
      </c>
      <c r="D145" s="233">
        <f t="shared" ref="D145:AB145" si="98">IFERROR((12.011*$AD76/$B44)*D76,"")</f>
        <v>0</v>
      </c>
      <c r="E145" s="233">
        <f t="shared" si="98"/>
        <v>0</v>
      </c>
      <c r="F145" s="233">
        <f t="shared" si="98"/>
        <v>0</v>
      </c>
      <c r="G145" s="233">
        <f t="shared" si="98"/>
        <v>0</v>
      </c>
      <c r="H145" s="233">
        <f t="shared" si="98"/>
        <v>0</v>
      </c>
      <c r="I145" s="233">
        <f t="shared" si="98"/>
        <v>0</v>
      </c>
      <c r="J145" s="233">
        <f t="shared" si="98"/>
        <v>0</v>
      </c>
      <c r="K145" s="233">
        <f t="shared" si="98"/>
        <v>0</v>
      </c>
      <c r="L145" s="233">
        <f t="shared" si="98"/>
        <v>0</v>
      </c>
      <c r="M145" s="233">
        <f t="shared" si="98"/>
        <v>0</v>
      </c>
      <c r="N145" s="233">
        <f t="shared" si="98"/>
        <v>0</v>
      </c>
      <c r="O145" s="233">
        <f t="shared" si="98"/>
        <v>0</v>
      </c>
      <c r="P145" s="233" t="str">
        <f t="shared" si="98"/>
        <v/>
      </c>
      <c r="Q145" s="233" t="str">
        <f t="shared" si="98"/>
        <v/>
      </c>
      <c r="R145" s="233" t="str">
        <f t="shared" si="98"/>
        <v/>
      </c>
      <c r="S145" s="233" t="str">
        <f t="shared" si="98"/>
        <v/>
      </c>
      <c r="T145" s="233" t="str">
        <f t="shared" si="98"/>
        <v/>
      </c>
      <c r="U145" s="233" t="str">
        <f t="shared" si="98"/>
        <v/>
      </c>
      <c r="V145" s="233" t="str">
        <f t="shared" si="98"/>
        <v/>
      </c>
      <c r="W145" s="233" t="str">
        <f t="shared" si="98"/>
        <v/>
      </c>
      <c r="X145" s="233" t="str">
        <f t="shared" si="98"/>
        <v/>
      </c>
      <c r="Y145" s="233" t="str">
        <f t="shared" si="98"/>
        <v/>
      </c>
      <c r="Z145" s="233" t="str">
        <f t="shared" si="98"/>
        <v/>
      </c>
      <c r="AA145" s="233" t="str">
        <f t="shared" si="98"/>
        <v/>
      </c>
      <c r="AB145" s="233" t="str">
        <f t="shared" si="98"/>
        <v/>
      </c>
    </row>
    <row r="146" spans="1:28" ht="18" customHeight="1" x14ac:dyDescent="0.25">
      <c r="A146" s="11" t="s">
        <v>283</v>
      </c>
      <c r="B146" s="244"/>
      <c r="C146" s="233">
        <f t="shared" si="73"/>
        <v>0</v>
      </c>
      <c r="D146" s="233">
        <f t="shared" ref="D146:AB146" si="99">IFERROR((12.011*$AD77/$B45)*D77,"")</f>
        <v>0</v>
      </c>
      <c r="E146" s="233">
        <f t="shared" si="99"/>
        <v>0</v>
      </c>
      <c r="F146" s="233">
        <f t="shared" si="99"/>
        <v>0</v>
      </c>
      <c r="G146" s="233">
        <f t="shared" si="99"/>
        <v>0</v>
      </c>
      <c r="H146" s="233">
        <f t="shared" si="99"/>
        <v>0</v>
      </c>
      <c r="I146" s="233">
        <f t="shared" si="99"/>
        <v>0</v>
      </c>
      <c r="J146" s="233">
        <f t="shared" si="99"/>
        <v>0</v>
      </c>
      <c r="K146" s="233">
        <f t="shared" si="99"/>
        <v>0</v>
      </c>
      <c r="L146" s="233">
        <f t="shared" si="99"/>
        <v>0</v>
      </c>
      <c r="M146" s="233">
        <f t="shared" si="99"/>
        <v>0</v>
      </c>
      <c r="N146" s="233">
        <f t="shared" si="99"/>
        <v>0</v>
      </c>
      <c r="O146" s="233">
        <f t="shared" si="99"/>
        <v>0</v>
      </c>
      <c r="P146" s="233" t="str">
        <f t="shared" si="99"/>
        <v/>
      </c>
      <c r="Q146" s="233" t="str">
        <f t="shared" si="99"/>
        <v/>
      </c>
      <c r="R146" s="233" t="str">
        <f t="shared" si="99"/>
        <v/>
      </c>
      <c r="S146" s="233" t="str">
        <f t="shared" si="99"/>
        <v/>
      </c>
      <c r="T146" s="233" t="str">
        <f t="shared" si="99"/>
        <v/>
      </c>
      <c r="U146" s="233" t="str">
        <f t="shared" si="99"/>
        <v/>
      </c>
      <c r="V146" s="233" t="str">
        <f t="shared" si="99"/>
        <v/>
      </c>
      <c r="W146" s="233" t="str">
        <f t="shared" si="99"/>
        <v/>
      </c>
      <c r="X146" s="233" t="str">
        <f t="shared" si="99"/>
        <v/>
      </c>
      <c r="Y146" s="233" t="str">
        <f t="shared" si="99"/>
        <v/>
      </c>
      <c r="Z146" s="233" t="str">
        <f t="shared" si="99"/>
        <v/>
      </c>
      <c r="AA146" s="233" t="str">
        <f t="shared" si="99"/>
        <v/>
      </c>
      <c r="AB146" s="233" t="str">
        <f t="shared" si="99"/>
        <v/>
      </c>
    </row>
    <row r="147" spans="1:28" ht="18" customHeight="1" x14ac:dyDescent="0.25">
      <c r="A147" s="11" t="s">
        <v>284</v>
      </c>
      <c r="B147" s="244"/>
      <c r="C147" s="233">
        <f t="shared" si="73"/>
        <v>0.12279013799786981</v>
      </c>
      <c r="D147" s="233">
        <f t="shared" ref="D147:AB147" si="100">IFERROR((12.011*$AD78/$B46)*D78,"")</f>
        <v>0.20884022043355474</v>
      </c>
      <c r="E147" s="233">
        <f t="shared" si="100"/>
        <v>0.11427773384822883</v>
      </c>
      <c r="F147" s="233">
        <f t="shared" si="100"/>
        <v>5.5870332396418462E-2</v>
      </c>
      <c r="G147" s="233">
        <f t="shared" si="100"/>
        <v>6.7497283261314198E-2</v>
      </c>
      <c r="H147" s="233">
        <f t="shared" si="100"/>
        <v>9.398594124666354E-2</v>
      </c>
      <c r="I147" s="233">
        <f t="shared" si="100"/>
        <v>0.10558120390300312</v>
      </c>
      <c r="J147" s="233">
        <f t="shared" si="100"/>
        <v>0.10584073434018394</v>
      </c>
      <c r="K147" s="233">
        <f t="shared" si="100"/>
        <v>0.11827382908854206</v>
      </c>
      <c r="L147" s="233">
        <f t="shared" si="100"/>
        <v>0.14350295505317673</v>
      </c>
      <c r="M147" s="233">
        <f t="shared" si="100"/>
        <v>0.15001791996605215</v>
      </c>
      <c r="N147" s="233">
        <f t="shared" si="100"/>
        <v>0.15551110138543112</v>
      </c>
      <c r="O147" s="233">
        <f t="shared" si="100"/>
        <v>0.15428240105186888</v>
      </c>
      <c r="P147" s="233" t="str">
        <f t="shared" si="100"/>
        <v/>
      </c>
      <c r="Q147" s="233" t="str">
        <f t="shared" si="100"/>
        <v/>
      </c>
      <c r="R147" s="233" t="str">
        <f t="shared" si="100"/>
        <v/>
      </c>
      <c r="S147" s="233" t="str">
        <f t="shared" si="100"/>
        <v/>
      </c>
      <c r="T147" s="233" t="str">
        <f t="shared" si="100"/>
        <v/>
      </c>
      <c r="U147" s="233" t="str">
        <f t="shared" si="100"/>
        <v/>
      </c>
      <c r="V147" s="233" t="str">
        <f t="shared" si="100"/>
        <v/>
      </c>
      <c r="W147" s="233" t="str">
        <f t="shared" si="100"/>
        <v/>
      </c>
      <c r="X147" s="233" t="str">
        <f t="shared" si="100"/>
        <v/>
      </c>
      <c r="Y147" s="233" t="str">
        <f t="shared" si="100"/>
        <v/>
      </c>
      <c r="Z147" s="233" t="str">
        <f t="shared" si="100"/>
        <v/>
      </c>
      <c r="AA147" s="233" t="str">
        <f t="shared" si="100"/>
        <v/>
      </c>
      <c r="AB147" s="233" t="str">
        <f t="shared" si="100"/>
        <v/>
      </c>
    </row>
    <row r="148" spans="1:28" ht="18" customHeight="1" x14ac:dyDescent="0.25">
      <c r="A148" s="11" t="s">
        <v>285</v>
      </c>
      <c r="B148" s="244"/>
      <c r="C148" s="233">
        <f t="shared" si="73"/>
        <v>0</v>
      </c>
      <c r="D148" s="233">
        <f t="shared" ref="D148:AB148" si="101">IFERROR((12.011*$AD79/$B47)*D79,"")</f>
        <v>0</v>
      </c>
      <c r="E148" s="233">
        <f t="shared" si="101"/>
        <v>0</v>
      </c>
      <c r="F148" s="233">
        <f t="shared" si="101"/>
        <v>0</v>
      </c>
      <c r="G148" s="233">
        <f t="shared" si="101"/>
        <v>0</v>
      </c>
      <c r="H148" s="233">
        <f t="shared" si="101"/>
        <v>0</v>
      </c>
      <c r="I148" s="233">
        <f t="shared" si="101"/>
        <v>0</v>
      </c>
      <c r="J148" s="233">
        <f t="shared" si="101"/>
        <v>0</v>
      </c>
      <c r="K148" s="233">
        <f t="shared" si="101"/>
        <v>0</v>
      </c>
      <c r="L148" s="233">
        <f t="shared" si="101"/>
        <v>0</v>
      </c>
      <c r="M148" s="233">
        <f t="shared" si="101"/>
        <v>0</v>
      </c>
      <c r="N148" s="233">
        <f t="shared" si="101"/>
        <v>0</v>
      </c>
      <c r="O148" s="233">
        <f t="shared" si="101"/>
        <v>0</v>
      </c>
      <c r="P148" s="233" t="str">
        <f t="shared" si="101"/>
        <v/>
      </c>
      <c r="Q148" s="233" t="str">
        <f t="shared" si="101"/>
        <v/>
      </c>
      <c r="R148" s="233" t="str">
        <f t="shared" si="101"/>
        <v/>
      </c>
      <c r="S148" s="233" t="str">
        <f t="shared" si="101"/>
        <v/>
      </c>
      <c r="T148" s="233" t="str">
        <f t="shared" si="101"/>
        <v/>
      </c>
      <c r="U148" s="233" t="str">
        <f t="shared" si="101"/>
        <v/>
      </c>
      <c r="V148" s="233" t="str">
        <f t="shared" si="101"/>
        <v/>
      </c>
      <c r="W148" s="233" t="str">
        <f t="shared" si="101"/>
        <v/>
      </c>
      <c r="X148" s="233" t="str">
        <f t="shared" si="101"/>
        <v/>
      </c>
      <c r="Y148" s="233" t="str">
        <f t="shared" si="101"/>
        <v/>
      </c>
      <c r="Z148" s="233" t="str">
        <f t="shared" si="101"/>
        <v/>
      </c>
      <c r="AA148" s="233" t="str">
        <f t="shared" si="101"/>
        <v/>
      </c>
      <c r="AB148" s="233" t="str">
        <f t="shared" si="101"/>
        <v/>
      </c>
    </row>
    <row r="149" spans="1:28" ht="18" customHeight="1" x14ac:dyDescent="0.25">
      <c r="A149" s="11" t="s">
        <v>286</v>
      </c>
      <c r="B149" s="244"/>
      <c r="C149" s="233">
        <f t="shared" si="73"/>
        <v>0</v>
      </c>
      <c r="D149" s="233">
        <f t="shared" ref="D149:AB149" si="102">IFERROR((12.011*$AD80/$B48)*D80,"")</f>
        <v>0</v>
      </c>
      <c r="E149" s="233">
        <f t="shared" si="102"/>
        <v>0</v>
      </c>
      <c r="F149" s="233">
        <f t="shared" si="102"/>
        <v>0</v>
      </c>
      <c r="G149" s="233">
        <f t="shared" si="102"/>
        <v>0</v>
      </c>
      <c r="H149" s="233">
        <f t="shared" si="102"/>
        <v>0</v>
      </c>
      <c r="I149" s="233">
        <f t="shared" si="102"/>
        <v>0</v>
      </c>
      <c r="J149" s="233">
        <f t="shared" si="102"/>
        <v>0</v>
      </c>
      <c r="K149" s="233">
        <f t="shared" si="102"/>
        <v>0</v>
      </c>
      <c r="L149" s="233">
        <f t="shared" si="102"/>
        <v>0</v>
      </c>
      <c r="M149" s="233">
        <f t="shared" si="102"/>
        <v>0</v>
      </c>
      <c r="N149" s="233">
        <f t="shared" si="102"/>
        <v>0</v>
      </c>
      <c r="O149" s="233">
        <f t="shared" si="102"/>
        <v>0</v>
      </c>
      <c r="P149" s="233" t="str">
        <f t="shared" si="102"/>
        <v/>
      </c>
      <c r="Q149" s="233" t="str">
        <f t="shared" si="102"/>
        <v/>
      </c>
      <c r="R149" s="233" t="str">
        <f t="shared" si="102"/>
        <v/>
      </c>
      <c r="S149" s="233" t="str">
        <f t="shared" si="102"/>
        <v/>
      </c>
      <c r="T149" s="233" t="str">
        <f t="shared" si="102"/>
        <v/>
      </c>
      <c r="U149" s="233" t="str">
        <f t="shared" si="102"/>
        <v/>
      </c>
      <c r="V149" s="233" t="str">
        <f t="shared" si="102"/>
        <v/>
      </c>
      <c r="W149" s="233" t="str">
        <f t="shared" si="102"/>
        <v/>
      </c>
      <c r="X149" s="233" t="str">
        <f t="shared" si="102"/>
        <v/>
      </c>
      <c r="Y149" s="233" t="str">
        <f t="shared" si="102"/>
        <v/>
      </c>
      <c r="Z149" s="233" t="str">
        <f t="shared" si="102"/>
        <v/>
      </c>
      <c r="AA149" s="233" t="str">
        <f t="shared" si="102"/>
        <v/>
      </c>
      <c r="AB149" s="233" t="str">
        <f t="shared" si="102"/>
        <v/>
      </c>
    </row>
    <row r="150" spans="1:28" ht="18" customHeight="1" x14ac:dyDescent="0.25">
      <c r="A150" s="252" t="s">
        <v>44</v>
      </c>
      <c r="B150" s="244"/>
      <c r="C150" s="253">
        <f>SUM(C121:C149)</f>
        <v>0.32809113656371303</v>
      </c>
      <c r="D150" s="253">
        <f t="shared" ref="D150:AB150" si="103">IF(SUM(D121:D149)=0,"",SUM(D121:D149))</f>
        <v>0.3082684036570616</v>
      </c>
      <c r="E150" s="253">
        <f t="shared" si="103"/>
        <v>0.31922024065040494</v>
      </c>
      <c r="F150" s="253">
        <f t="shared" si="103"/>
        <v>0.33332056955494116</v>
      </c>
      <c r="G150" s="253">
        <f t="shared" si="103"/>
        <v>0.34382599588734969</v>
      </c>
      <c r="H150" s="253">
        <f t="shared" si="103"/>
        <v>0.33610871358161293</v>
      </c>
      <c r="I150" s="253">
        <f t="shared" si="103"/>
        <v>0.36953684517959895</v>
      </c>
      <c r="J150" s="253">
        <f t="shared" si="103"/>
        <v>0.3503619992612208</v>
      </c>
      <c r="K150" s="253">
        <f t="shared" si="103"/>
        <v>0.33707444847725454</v>
      </c>
      <c r="L150" s="253">
        <f t="shared" si="103"/>
        <v>0.31303491268129313</v>
      </c>
      <c r="M150" s="253">
        <f t="shared" si="103"/>
        <v>0.3095298847218918</v>
      </c>
      <c r="N150" s="253">
        <f t="shared" si="103"/>
        <v>0.30971426590393125</v>
      </c>
      <c r="O150" s="253">
        <f t="shared" si="103"/>
        <v>0.30709735920799575</v>
      </c>
      <c r="P150" s="253" t="str">
        <f t="shared" si="103"/>
        <v/>
      </c>
      <c r="Q150" s="253" t="str">
        <f t="shared" si="103"/>
        <v/>
      </c>
      <c r="R150" s="253" t="str">
        <f t="shared" si="103"/>
        <v/>
      </c>
      <c r="S150" s="253" t="str">
        <f t="shared" si="103"/>
        <v/>
      </c>
      <c r="T150" s="253" t="str">
        <f t="shared" si="103"/>
        <v/>
      </c>
      <c r="U150" s="253" t="str">
        <f t="shared" si="103"/>
        <v/>
      </c>
      <c r="V150" s="253" t="str">
        <f t="shared" si="103"/>
        <v/>
      </c>
      <c r="W150" s="253" t="str">
        <f t="shared" si="103"/>
        <v/>
      </c>
      <c r="X150" s="253" t="str">
        <f t="shared" si="103"/>
        <v/>
      </c>
      <c r="Y150" s="253" t="str">
        <f t="shared" si="103"/>
        <v/>
      </c>
      <c r="Z150" s="253" t="str">
        <f t="shared" si="103"/>
        <v/>
      </c>
      <c r="AA150" s="253" t="str">
        <f t="shared" si="103"/>
        <v/>
      </c>
      <c r="AB150" s="253" t="str">
        <f t="shared" si="103"/>
        <v/>
      </c>
    </row>
  </sheetData>
  <sheetProtection sheet="1" objects="1" scenarios="1"/>
  <mergeCells count="1">
    <mergeCell ref="H5:K5"/>
  </mergeCells>
  <conditionalFormatting sqref="B52:AB84">
    <cfRule type="expression" dxfId="102" priority="3">
      <formula>NOT(B52="")</formula>
    </cfRule>
  </conditionalFormatting>
  <conditionalFormatting sqref="B88:AB118">
    <cfRule type="expression" dxfId="101" priority="6">
      <formula>NOT(B88="")</formula>
    </cfRule>
  </conditionalFormatting>
  <conditionalFormatting sqref="C121:C149">
    <cfRule type="expression" dxfId="100" priority="2">
      <formula>NOT(C121="")</formula>
    </cfRule>
  </conditionalFormatting>
  <conditionalFormatting sqref="D15:AB16">
    <cfRule type="expression" dxfId="99" priority="19">
      <formula>NOT(D15="")</formula>
    </cfRule>
  </conditionalFormatting>
  <conditionalFormatting sqref="D16:AB16">
    <cfRule type="expression" dxfId="98" priority="22">
      <formula>OR(D16&lt;$C$5, D16&gt;$C$6)</formula>
    </cfRule>
  </conditionalFormatting>
  <conditionalFormatting sqref="D17:AB18">
    <cfRule type="containsText" dxfId="97" priority="21" operator="containsText" text="ERROR">
      <formula>NOT(ISERROR(SEARCH("ERROR",D17)))</formula>
    </cfRule>
  </conditionalFormatting>
  <conditionalFormatting sqref="D20:AB49 B20:B49">
    <cfRule type="expression" dxfId="96" priority="18">
      <formula>NOT(B20="")</formula>
    </cfRule>
  </conditionalFormatting>
  <conditionalFormatting sqref="D20:AB49">
    <cfRule type="expression" dxfId="95" priority="11">
      <formula>D20&gt;$AE20</formula>
    </cfRule>
  </conditionalFormatting>
  <conditionalFormatting sqref="D120:AB149">
    <cfRule type="expression" dxfId="94" priority="1">
      <formula>NOT(D120="")</formula>
    </cfRule>
  </conditionalFormatting>
  <conditionalFormatting sqref="K6">
    <cfRule type="containsText" dxfId="93" priority="12" operator="containsText" text="Pass">
      <formula>NOT(ISERROR(SEARCH("Pass",K6)))</formula>
    </cfRule>
    <cfRule type="containsText" dxfId="92" priority="13" operator="containsText" text="Fail">
      <formula>NOT(ISERROR(SEARCH("Fail",K6)))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E150"/>
  <sheetViews>
    <sheetView showGridLines="0" topLeftCell="A8" zoomScaleNormal="100" workbookViewId="0">
      <selection activeCell="D20" sqref="D20:O25"/>
    </sheetView>
  </sheetViews>
  <sheetFormatPr defaultColWidth="9.140625" defaultRowHeight="18" customHeight="1" outlineLevelRow="2" x14ac:dyDescent="0.25"/>
  <cols>
    <col min="1" max="1" width="38.42578125" style="1" customWidth="1"/>
    <col min="2" max="2" width="17.85546875" style="1" hidden="1" customWidth="1"/>
    <col min="3" max="4" width="17.85546875" style="1" customWidth="1"/>
    <col min="5" max="7" width="15.42578125" style="1" bestFit="1" customWidth="1"/>
    <col min="8" max="8" width="15.85546875" style="1" bestFit="1" customWidth="1"/>
    <col min="9" max="28" width="15.42578125" style="1" bestFit="1" customWidth="1"/>
    <col min="29" max="30" width="12.85546875" style="1" customWidth="1"/>
    <col min="31" max="32" width="9.140625" style="1" customWidth="1"/>
    <col min="33" max="16384" width="9.140625" style="1"/>
  </cols>
  <sheetData>
    <row r="1" spans="1:29" s="2" customFormat="1" ht="18" customHeight="1" x14ac:dyDescent="0.25">
      <c r="A1" s="9" t="s">
        <v>0</v>
      </c>
      <c r="B1" s="34"/>
      <c r="C1" s="34" t="str">
        <f>'R4_MB'!C1</f>
        <v>R6-C1-S1</v>
      </c>
    </row>
    <row r="2" spans="1:29" s="2" customFormat="1" ht="18" customHeight="1" x14ac:dyDescent="0.25">
      <c r="A2" s="9" t="s">
        <v>1</v>
      </c>
      <c r="B2" s="46"/>
      <c r="C2" s="46" t="str">
        <f>'R4_MB'!C2</f>
        <v/>
      </c>
      <c r="D2" s="45"/>
      <c r="E2" s="45"/>
      <c r="F2" s="45"/>
      <c r="G2" s="45"/>
      <c r="H2" s="45"/>
      <c r="I2" s="45"/>
      <c r="J2" s="44"/>
      <c r="K2" s="141"/>
      <c r="L2" s="141"/>
      <c r="M2" s="141"/>
      <c r="N2" s="141"/>
    </row>
    <row r="3" spans="1:29" s="2" customFormat="1" ht="18" customHeight="1" x14ac:dyDescent="0.25">
      <c r="A3" s="9" t="s">
        <v>3</v>
      </c>
      <c r="B3" s="43"/>
      <c r="C3" s="43">
        <f>Run_Plan!$B$3</f>
        <v>45425.583333333336</v>
      </c>
      <c r="D3" s="91"/>
      <c r="E3" s="9" t="s">
        <v>126</v>
      </c>
      <c r="F3" s="41">
        <f>(C6-C5)*1440</f>
        <v>5.9999999986030161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</row>
    <row r="4" spans="1:29" s="2" customFormat="1" ht="18" customHeight="1" x14ac:dyDescent="0.25">
      <c r="A4" s="9" t="s">
        <v>123</v>
      </c>
      <c r="B4" s="43"/>
      <c r="C4" s="43" t="str">
        <f>Liq!B4</f>
        <v>C1-S1</v>
      </c>
      <c r="D4" s="93"/>
      <c r="E4" s="12" t="s">
        <v>127</v>
      </c>
      <c r="F4" s="40">
        <f>24*((C5+C6)/2-C3)</f>
        <v>17.916666666569654</v>
      </c>
    </row>
    <row r="5" spans="1:29" s="2" customFormat="1" ht="18" customHeight="1" x14ac:dyDescent="0.25">
      <c r="A5" s="9" t="s">
        <v>124</v>
      </c>
      <c r="B5" s="92"/>
      <c r="C5" s="92">
        <f>Liq!B5</f>
        <v>45426.327777777777</v>
      </c>
      <c r="D5" s="91"/>
      <c r="E5" s="79" t="s">
        <v>212</v>
      </c>
      <c r="F5" s="158">
        <f>Gas!F20</f>
        <v>0.22890922011282697</v>
      </c>
      <c r="H5" s="257" t="s">
        <v>213</v>
      </c>
      <c r="I5" s="258"/>
      <c r="J5" s="258"/>
      <c r="K5" s="259"/>
    </row>
    <row r="6" spans="1:29" s="2" customFormat="1" ht="18" customHeight="1" x14ac:dyDescent="0.25">
      <c r="A6" s="9" t="s">
        <v>125</v>
      </c>
      <c r="B6" s="43"/>
      <c r="C6" s="43">
        <f>Liq!B6</f>
        <v>45426.331944444442</v>
      </c>
      <c r="D6" s="42"/>
      <c r="E6" s="42"/>
      <c r="H6" s="185">
        <f t="array" ref="H6">MIN(IF(D16:XFD16&lt;&gt;0,D16:XFD16))</f>
        <v>0</v>
      </c>
      <c r="I6" s="185">
        <f t="array" ref="I6">MAX(IF(D16:XFD16&lt;&gt;0,D16:XFD16))</f>
        <v>0</v>
      </c>
      <c r="J6" s="70"/>
      <c r="K6" s="186" t="str">
        <f>IF(AND(H7=TRUE,I7=TRUE),"Pass","Fail")</f>
        <v>Pass</v>
      </c>
    </row>
    <row r="7" spans="1:29" s="2" customFormat="1" ht="18" customHeight="1" x14ac:dyDescent="0.25">
      <c r="H7" s="70" t="b">
        <f>IF(Liq!F3&gt;'R1_MB'!H6,"NA",TRUE)</f>
        <v>1</v>
      </c>
      <c r="I7" s="70" t="b">
        <f>IF(Liq!F6&lt;'R1_MB'!I6,"NA",TRUE)</f>
        <v>1</v>
      </c>
    </row>
    <row r="8" spans="1:29" s="2" customFormat="1" ht="18" customHeight="1" x14ac:dyDescent="0.25">
      <c r="A8" s="9" t="s">
        <v>214</v>
      </c>
      <c r="B8" s="43"/>
      <c r="C8" s="94">
        <f>Liq!F13</f>
        <v>0.50000000002910383</v>
      </c>
      <c r="D8" s="42"/>
      <c r="E8" s="42"/>
    </row>
    <row r="9" spans="1:29" s="2" customFormat="1" ht="18" customHeight="1" x14ac:dyDescent="0.25">
      <c r="A9" s="9" t="s">
        <v>215</v>
      </c>
      <c r="B9" s="43"/>
      <c r="C9" s="94">
        <f>IFERROR(Gas!F12-Gas!F20,"")</f>
        <v>2.5568050656014587</v>
      </c>
      <c r="D9" s="142" t="s">
        <v>216</v>
      </c>
      <c r="E9" s="42"/>
    </row>
    <row r="10" spans="1:29" s="2" customFormat="1" ht="18" customHeight="1" x14ac:dyDescent="0.25">
      <c r="A10" s="9" t="s">
        <v>217</v>
      </c>
      <c r="B10" s="43"/>
      <c r="C10" s="94">
        <f>Liq!F40</f>
        <v>0</v>
      </c>
      <c r="D10" s="42"/>
      <c r="E10" s="42"/>
    </row>
    <row r="11" spans="1:29" s="2" customFormat="1" ht="18" customHeight="1" x14ac:dyDescent="0.25">
      <c r="A11" s="9" t="s">
        <v>218</v>
      </c>
      <c r="B11" s="43"/>
      <c r="C11" s="94">
        <f>Liq!F41</f>
        <v>0</v>
      </c>
      <c r="D11" s="42"/>
      <c r="E11" s="42"/>
    </row>
    <row r="12" spans="1:29" s="2" customFormat="1" ht="18" customHeight="1" x14ac:dyDescent="0.25">
      <c r="A12" s="9" t="s">
        <v>219</v>
      </c>
      <c r="B12" s="43"/>
      <c r="C12" s="94">
        <f>SUM(C52:C74,C76:C80)</f>
        <v>2.6890045683293904</v>
      </c>
      <c r="D12" s="142" t="s">
        <v>216</v>
      </c>
      <c r="E12" s="42"/>
    </row>
    <row r="13" spans="1:29" s="2" customFormat="1" ht="18" customHeight="1" x14ac:dyDescent="0.25">
      <c r="A13" s="9" t="s">
        <v>220</v>
      </c>
      <c r="B13" s="43"/>
      <c r="C13" s="36">
        <f>IFERROR(100*(C12+C11+C10)/(C9+C8),"")</f>
        <v>87.967813144627144</v>
      </c>
      <c r="D13" s="142"/>
      <c r="E13" s="42"/>
    </row>
    <row r="14" spans="1:29" s="2" customFormat="1" ht="18" customHeight="1" x14ac:dyDescent="0.25"/>
    <row r="15" spans="1:29" ht="18" customHeight="1" outlineLevel="1" x14ac:dyDescent="0.25">
      <c r="A15" s="9" t="s">
        <v>221</v>
      </c>
      <c r="B15" s="143"/>
      <c r="C15" s="151"/>
      <c r="D15" s="130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</row>
    <row r="16" spans="1:29" s="134" customFormat="1" ht="18" customHeight="1" outlineLevel="1" x14ac:dyDescent="0.25">
      <c r="A16" s="139" t="s">
        <v>222</v>
      </c>
      <c r="B16" s="144"/>
      <c r="C16" s="152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31" ht="18" customHeight="1" outlineLevel="1" x14ac:dyDescent="0.25">
      <c r="A17" s="9" t="s">
        <v>223</v>
      </c>
      <c r="B17" s="145"/>
      <c r="C17" s="153"/>
      <c r="D17" s="148" t="str">
        <f t="shared" ref="D17:AB17" si="0">IF(D15="", "", (D16-$D$16)*1440)</f>
        <v/>
      </c>
      <c r="E17" s="140" t="str">
        <f t="shared" si="0"/>
        <v/>
      </c>
      <c r="F17" s="140" t="str">
        <f t="shared" si="0"/>
        <v/>
      </c>
      <c r="G17" s="140" t="str">
        <f t="shared" si="0"/>
        <v/>
      </c>
      <c r="H17" s="140" t="str">
        <f t="shared" si="0"/>
        <v/>
      </c>
      <c r="I17" s="140" t="str">
        <f t="shared" si="0"/>
        <v/>
      </c>
      <c r="J17" s="140" t="str">
        <f t="shared" si="0"/>
        <v/>
      </c>
      <c r="K17" s="140" t="str">
        <f t="shared" si="0"/>
        <v/>
      </c>
      <c r="L17" s="140" t="str">
        <f t="shared" si="0"/>
        <v/>
      </c>
      <c r="M17" s="140" t="str">
        <f t="shared" si="0"/>
        <v/>
      </c>
      <c r="N17" s="140" t="str">
        <f t="shared" si="0"/>
        <v/>
      </c>
      <c r="O17" s="140" t="str">
        <f t="shared" si="0"/>
        <v/>
      </c>
      <c r="P17" s="140" t="str">
        <f t="shared" si="0"/>
        <v/>
      </c>
      <c r="Q17" s="140" t="str">
        <f t="shared" si="0"/>
        <v/>
      </c>
      <c r="R17" s="140" t="str">
        <f t="shared" si="0"/>
        <v/>
      </c>
      <c r="S17" s="140" t="str">
        <f t="shared" si="0"/>
        <v/>
      </c>
      <c r="T17" s="140" t="str">
        <f t="shared" si="0"/>
        <v/>
      </c>
      <c r="U17" s="140" t="str">
        <f t="shared" si="0"/>
        <v/>
      </c>
      <c r="V17" s="140" t="str">
        <f t="shared" si="0"/>
        <v/>
      </c>
      <c r="W17" s="140" t="str">
        <f t="shared" si="0"/>
        <v/>
      </c>
      <c r="X17" s="140" t="str">
        <f t="shared" si="0"/>
        <v/>
      </c>
      <c r="Y17" s="140" t="str">
        <f t="shared" si="0"/>
        <v/>
      </c>
      <c r="Z17" s="140" t="str">
        <f t="shared" si="0"/>
        <v/>
      </c>
      <c r="AA17" s="140" t="str">
        <f t="shared" si="0"/>
        <v/>
      </c>
      <c r="AB17" s="140" t="str">
        <f t="shared" si="0"/>
        <v/>
      </c>
    </row>
    <row r="18" spans="1:31" ht="18" customHeight="1" outlineLevel="1" x14ac:dyDescent="0.25">
      <c r="A18" s="9" t="s">
        <v>224</v>
      </c>
      <c r="B18" s="146"/>
      <c r="C18" s="154"/>
      <c r="D18" s="149"/>
      <c r="E18" s="140" t="str">
        <f t="shared" ref="E18:AB18" si="1">IF(E17="", "", E17-D17)</f>
        <v/>
      </c>
      <c r="F18" s="140" t="str">
        <f t="shared" si="1"/>
        <v/>
      </c>
      <c r="G18" s="140" t="str">
        <f t="shared" si="1"/>
        <v/>
      </c>
      <c r="H18" s="140" t="str">
        <f t="shared" si="1"/>
        <v/>
      </c>
      <c r="I18" s="140" t="str">
        <f t="shared" si="1"/>
        <v/>
      </c>
      <c r="J18" s="140" t="str">
        <f t="shared" si="1"/>
        <v/>
      </c>
      <c r="K18" s="140" t="str">
        <f t="shared" si="1"/>
        <v/>
      </c>
      <c r="L18" s="140" t="str">
        <f t="shared" si="1"/>
        <v/>
      </c>
      <c r="M18" s="140" t="str">
        <f t="shared" si="1"/>
        <v/>
      </c>
      <c r="N18" s="140" t="str">
        <f t="shared" si="1"/>
        <v/>
      </c>
      <c r="O18" s="140" t="str">
        <f t="shared" si="1"/>
        <v/>
      </c>
      <c r="P18" s="140" t="str">
        <f t="shared" si="1"/>
        <v/>
      </c>
      <c r="Q18" s="140" t="str">
        <f t="shared" si="1"/>
        <v/>
      </c>
      <c r="R18" s="140" t="str">
        <f t="shared" si="1"/>
        <v/>
      </c>
      <c r="S18" s="140" t="str">
        <f t="shared" si="1"/>
        <v/>
      </c>
      <c r="T18" s="140" t="str">
        <f t="shared" si="1"/>
        <v/>
      </c>
      <c r="U18" s="140" t="str">
        <f t="shared" si="1"/>
        <v/>
      </c>
      <c r="V18" s="140" t="str">
        <f t="shared" si="1"/>
        <v/>
      </c>
      <c r="W18" s="140" t="str">
        <f t="shared" si="1"/>
        <v/>
      </c>
      <c r="X18" s="140" t="str">
        <f t="shared" si="1"/>
        <v/>
      </c>
      <c r="Y18" s="140" t="str">
        <f t="shared" si="1"/>
        <v/>
      </c>
      <c r="Z18" s="140" t="str">
        <f t="shared" si="1"/>
        <v/>
      </c>
      <c r="AA18" s="140" t="str">
        <f t="shared" si="1"/>
        <v/>
      </c>
      <c r="AB18" s="140" t="str">
        <f t="shared" si="1"/>
        <v/>
      </c>
      <c r="AC18" s="2"/>
      <c r="AD18" s="135"/>
    </row>
    <row r="19" spans="1:31" ht="18" customHeight="1" outlineLevel="1" x14ac:dyDescent="0.25">
      <c r="A19" s="9" t="s">
        <v>225</v>
      </c>
      <c r="B19" s="147" t="s">
        <v>60</v>
      </c>
      <c r="C19" s="155"/>
      <c r="D19" s="16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</row>
    <row r="20" spans="1:31" ht="18" customHeight="1" outlineLevel="1" x14ac:dyDescent="0.25">
      <c r="A20" s="9" t="s">
        <v>34</v>
      </c>
      <c r="B20" s="127">
        <v>16.04</v>
      </c>
      <c r="C20" s="156"/>
      <c r="D20" s="150">
        <v>2.5936020000000002</v>
      </c>
      <c r="E20" s="150">
        <v>2.5927129999999998</v>
      </c>
      <c r="F20" s="150">
        <v>2.6008110000000002</v>
      </c>
      <c r="G20" s="150">
        <v>2.6442559999999999</v>
      </c>
      <c r="H20" s="119">
        <v>2.3786879999999999</v>
      </c>
      <c r="I20" s="119">
        <v>2.6386210000000001</v>
      </c>
      <c r="J20" s="119">
        <v>2.6275089999999999</v>
      </c>
      <c r="K20" s="119">
        <v>2.6277010000000001</v>
      </c>
      <c r="L20" s="119">
        <v>2.6129910000000001</v>
      </c>
      <c r="M20" s="119">
        <v>2.6050209999999998</v>
      </c>
      <c r="N20" s="119">
        <v>2.6113309999999998</v>
      </c>
      <c r="O20" s="119">
        <v>2.6117400000000002</v>
      </c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92">
        <f t="shared" ref="AC20:AC48" si="2">IFERROR(_xlfn.STDEV.S(E20:AB20),"")</f>
        <v>7.3656186471766513E-2</v>
      </c>
      <c r="AD20" s="192">
        <f t="shared" ref="AD20:AD48" si="3">IFERROR(AVERAGE(E20:AB20),"")</f>
        <v>2.5955801818181823</v>
      </c>
      <c r="AE20" s="189">
        <f t="shared" ref="AE20:AE48" si="4">IFERROR(AD20+(2*AC20),"")</f>
        <v>2.7428925547617151</v>
      </c>
    </row>
    <row r="21" spans="1:31" ht="18" customHeight="1" outlineLevel="1" x14ac:dyDescent="0.25">
      <c r="A21" s="9" t="s">
        <v>35</v>
      </c>
      <c r="B21" s="127">
        <v>30.07</v>
      </c>
      <c r="C21" s="156"/>
      <c r="D21" s="150">
        <v>3.0130000000000001E-3</v>
      </c>
      <c r="E21" s="150">
        <v>2.1320000000000002E-3</v>
      </c>
      <c r="F21" s="150">
        <v>2.6329999999999999E-3</v>
      </c>
      <c r="G21" s="150">
        <v>2.5600000000000002E-3</v>
      </c>
      <c r="H21" s="119">
        <v>0.116591</v>
      </c>
      <c r="I21" s="119">
        <v>2.5850000000000001E-3</v>
      </c>
      <c r="J21" s="119">
        <v>1.9289999999999999E-3</v>
      </c>
      <c r="K21" s="119">
        <v>3.9589999999999998E-3</v>
      </c>
      <c r="L21" s="119">
        <v>1.8979999999999999E-3</v>
      </c>
      <c r="M21" s="119">
        <v>1.8439999999999999E-3</v>
      </c>
      <c r="N21" s="119">
        <v>1.846E-3</v>
      </c>
      <c r="O21" s="119">
        <v>1.934E-3</v>
      </c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92">
        <f t="shared" si="2"/>
        <v>3.4456011530118173E-2</v>
      </c>
      <c r="AD21" s="192">
        <f t="shared" si="3"/>
        <v>1.2719181818181817E-2</v>
      </c>
      <c r="AE21" s="189">
        <f t="shared" si="4"/>
        <v>8.1631204878418157E-2</v>
      </c>
    </row>
    <row r="22" spans="1:31" ht="18" customHeight="1" outlineLevel="1" x14ac:dyDescent="0.25">
      <c r="A22" s="9" t="s">
        <v>33</v>
      </c>
      <c r="B22" s="127">
        <v>28.05</v>
      </c>
      <c r="C22" s="156"/>
      <c r="D22" s="150">
        <v>1.634976</v>
      </c>
      <c r="E22" s="150">
        <v>1.63157</v>
      </c>
      <c r="F22" s="150">
        <v>1.6439649999999999</v>
      </c>
      <c r="G22" s="150">
        <v>1.6708179999999999</v>
      </c>
      <c r="H22" s="119">
        <v>3.176704</v>
      </c>
      <c r="I22" s="119">
        <v>1.6740269999999999</v>
      </c>
      <c r="J22" s="119">
        <v>1.6544859999999999</v>
      </c>
      <c r="K22" s="119">
        <v>1.662892</v>
      </c>
      <c r="L22" s="119">
        <v>1.64517</v>
      </c>
      <c r="M22" s="119">
        <v>1.640353</v>
      </c>
      <c r="N22" s="119">
        <v>1.6455</v>
      </c>
      <c r="O22" s="119">
        <v>1.6477919999999999</v>
      </c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92">
        <f t="shared" si="2"/>
        <v>0.46000230281803112</v>
      </c>
      <c r="AD22" s="192">
        <f t="shared" si="3"/>
        <v>1.790297909090909</v>
      </c>
      <c r="AE22" s="189">
        <f t="shared" si="4"/>
        <v>2.7103025147269713</v>
      </c>
    </row>
    <row r="23" spans="1:31" ht="18" customHeight="1" outlineLevel="1" x14ac:dyDescent="0.25">
      <c r="A23" s="9" t="s">
        <v>57</v>
      </c>
      <c r="B23" s="127">
        <v>44.1</v>
      </c>
      <c r="C23" s="156"/>
      <c r="D23" s="150">
        <v>0</v>
      </c>
      <c r="E23" s="150">
        <v>0</v>
      </c>
      <c r="F23" s="150">
        <v>0</v>
      </c>
      <c r="G23" s="150">
        <v>0</v>
      </c>
      <c r="H23" s="119">
        <v>3.2009999999999999E-3</v>
      </c>
      <c r="I23" s="119">
        <v>0</v>
      </c>
      <c r="J23" s="119">
        <v>0</v>
      </c>
      <c r="K23" s="119">
        <v>0</v>
      </c>
      <c r="L23" s="119">
        <v>0</v>
      </c>
      <c r="M23" s="119">
        <v>0</v>
      </c>
      <c r="N23" s="119">
        <v>0</v>
      </c>
      <c r="O23" s="119">
        <v>0</v>
      </c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92">
        <f t="shared" si="2"/>
        <v>9.651378139934213E-4</v>
      </c>
      <c r="AD23" s="192">
        <f t="shared" si="3"/>
        <v>2.9099999999999997E-4</v>
      </c>
      <c r="AE23" s="189">
        <f t="shared" si="4"/>
        <v>2.2212756279868426E-3</v>
      </c>
    </row>
    <row r="24" spans="1:31" ht="18" customHeight="1" outlineLevel="1" x14ac:dyDescent="0.25">
      <c r="A24" s="9" t="s">
        <v>56</v>
      </c>
      <c r="B24" s="127">
        <v>42.08</v>
      </c>
      <c r="C24" s="156"/>
      <c r="D24" s="150">
        <v>3.4299999999999999E-4</v>
      </c>
      <c r="E24" s="150">
        <v>0</v>
      </c>
      <c r="F24" s="150">
        <v>0</v>
      </c>
      <c r="G24" s="150">
        <v>0</v>
      </c>
      <c r="H24" s="119">
        <v>7.8279999999999999E-3</v>
      </c>
      <c r="I24" s="119">
        <v>0</v>
      </c>
      <c r="J24" s="119">
        <v>0</v>
      </c>
      <c r="K24" s="119">
        <v>0</v>
      </c>
      <c r="L24" s="119">
        <v>0</v>
      </c>
      <c r="M24" s="119">
        <v>0</v>
      </c>
      <c r="N24" s="119">
        <v>0</v>
      </c>
      <c r="O24" s="119">
        <v>0</v>
      </c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92">
        <f t="shared" si="2"/>
        <v>2.3602308053547335E-3</v>
      </c>
      <c r="AD24" s="192">
        <f t="shared" si="3"/>
        <v>7.1163636363636362E-4</v>
      </c>
      <c r="AE24" s="189">
        <f t="shared" si="4"/>
        <v>5.4320979743458309E-3</v>
      </c>
    </row>
    <row r="25" spans="1:31" ht="18" customHeight="1" outlineLevel="1" x14ac:dyDescent="0.25">
      <c r="A25" s="9" t="s">
        <v>226</v>
      </c>
      <c r="B25" s="127">
        <v>58.12</v>
      </c>
      <c r="C25" s="156"/>
      <c r="D25" s="150">
        <v>2.32E-4</v>
      </c>
      <c r="E25" s="150">
        <v>0</v>
      </c>
      <c r="F25" s="150">
        <v>0</v>
      </c>
      <c r="G25" s="150">
        <v>0</v>
      </c>
      <c r="H25" s="119">
        <v>3.3110000000000001E-3</v>
      </c>
      <c r="I25" s="119">
        <v>0</v>
      </c>
      <c r="J25" s="119">
        <v>0</v>
      </c>
      <c r="K25" s="119">
        <v>0</v>
      </c>
      <c r="L25" s="119">
        <v>0</v>
      </c>
      <c r="M25" s="119">
        <v>2.22E-4</v>
      </c>
      <c r="N25" s="119">
        <v>2.7300000000000002E-4</v>
      </c>
      <c r="O25" s="119">
        <v>2.7700000000000001E-4</v>
      </c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92">
        <f t="shared" si="2"/>
        <v>9.8222846814596224E-4</v>
      </c>
      <c r="AD25" s="192">
        <f t="shared" si="3"/>
        <v>3.7118181818181824E-4</v>
      </c>
      <c r="AE25" s="189">
        <f t="shared" si="4"/>
        <v>2.3356387544737427E-3</v>
      </c>
    </row>
    <row r="26" spans="1:31" ht="18" customHeight="1" outlineLevel="1" x14ac:dyDescent="0.25">
      <c r="A26" s="9" t="s">
        <v>227</v>
      </c>
      <c r="B26" s="127">
        <v>72.150000000000006</v>
      </c>
      <c r="C26" s="156"/>
      <c r="D26" s="150">
        <v>0</v>
      </c>
      <c r="E26" s="150">
        <v>0</v>
      </c>
      <c r="F26" s="150">
        <v>0</v>
      </c>
      <c r="G26" s="150">
        <v>0</v>
      </c>
      <c r="H26" s="119">
        <v>0</v>
      </c>
      <c r="I26" s="119">
        <v>0</v>
      </c>
      <c r="J26" s="119">
        <v>0</v>
      </c>
      <c r="K26" s="119">
        <v>0</v>
      </c>
      <c r="L26" s="119">
        <v>0</v>
      </c>
      <c r="M26" s="119">
        <v>0</v>
      </c>
      <c r="N26" s="119">
        <v>0</v>
      </c>
      <c r="O26" s="119">
        <v>0</v>
      </c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92">
        <f t="shared" si="2"/>
        <v>0</v>
      </c>
      <c r="AD26" s="192">
        <f t="shared" si="3"/>
        <v>0</v>
      </c>
      <c r="AE26" s="189">
        <f t="shared" si="4"/>
        <v>0</v>
      </c>
    </row>
    <row r="27" spans="1:31" ht="18" customHeight="1" outlineLevel="1" x14ac:dyDescent="0.25">
      <c r="A27" s="9" t="s">
        <v>228</v>
      </c>
      <c r="B27" s="127">
        <v>86.18</v>
      </c>
      <c r="C27" s="156"/>
      <c r="D27" s="150">
        <v>0</v>
      </c>
      <c r="E27" s="150">
        <v>0</v>
      </c>
      <c r="F27" s="150">
        <v>0</v>
      </c>
      <c r="G27" s="150">
        <v>0</v>
      </c>
      <c r="H27" s="119">
        <v>0</v>
      </c>
      <c r="I27" s="119">
        <v>0</v>
      </c>
      <c r="J27" s="119">
        <v>0</v>
      </c>
      <c r="K27" s="119">
        <v>0</v>
      </c>
      <c r="L27" s="119">
        <v>0</v>
      </c>
      <c r="M27" s="119">
        <v>0</v>
      </c>
      <c r="N27" s="119">
        <v>0</v>
      </c>
      <c r="O27" s="119">
        <v>0</v>
      </c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92">
        <f t="shared" si="2"/>
        <v>0</v>
      </c>
      <c r="AD27" s="192">
        <f t="shared" si="3"/>
        <v>0</v>
      </c>
      <c r="AE27" s="189">
        <f t="shared" si="4"/>
        <v>0</v>
      </c>
    </row>
    <row r="28" spans="1:31" ht="18" customHeight="1" outlineLevel="1" x14ac:dyDescent="0.25">
      <c r="A28" s="9" t="s">
        <v>229</v>
      </c>
      <c r="B28" s="127">
        <v>86.18</v>
      </c>
      <c r="C28" s="156"/>
      <c r="D28" s="150">
        <v>0</v>
      </c>
      <c r="E28" s="150">
        <v>0</v>
      </c>
      <c r="F28" s="150">
        <v>0</v>
      </c>
      <c r="G28" s="150">
        <v>0</v>
      </c>
      <c r="H28" s="119">
        <v>0</v>
      </c>
      <c r="I28" s="119">
        <v>0</v>
      </c>
      <c r="J28" s="119">
        <v>0</v>
      </c>
      <c r="K28" s="119">
        <v>0</v>
      </c>
      <c r="L28" s="119">
        <v>0</v>
      </c>
      <c r="M28" s="119">
        <v>0</v>
      </c>
      <c r="N28" s="119">
        <v>0</v>
      </c>
      <c r="O28" s="119">
        <v>0</v>
      </c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92">
        <f t="shared" si="2"/>
        <v>0</v>
      </c>
      <c r="AD28" s="192">
        <f t="shared" si="3"/>
        <v>0</v>
      </c>
      <c r="AE28" s="189">
        <f t="shared" si="4"/>
        <v>0</v>
      </c>
    </row>
    <row r="29" spans="1:31" ht="18" customHeight="1" outlineLevel="1" x14ac:dyDescent="0.25">
      <c r="A29" s="9" t="s">
        <v>230</v>
      </c>
      <c r="B29" s="127">
        <v>58.12</v>
      </c>
      <c r="C29" s="156"/>
      <c r="D29" s="150">
        <v>4.1060000000000003E-3</v>
      </c>
      <c r="E29" s="150">
        <v>1.0508E-2</v>
      </c>
      <c r="F29" s="150">
        <v>1.6971E-2</v>
      </c>
      <c r="G29" s="150">
        <v>1.7350000000000001E-2</v>
      </c>
      <c r="H29" s="119">
        <v>0.43888700000000003</v>
      </c>
      <c r="I29" s="119">
        <v>2.2502999999999999E-2</v>
      </c>
      <c r="J29" s="119">
        <v>1.0584E-2</v>
      </c>
      <c r="K29" s="119">
        <v>8.0689999999999998E-3</v>
      </c>
      <c r="L29" s="119">
        <v>5.1180000000000002E-3</v>
      </c>
      <c r="M29" s="119">
        <v>4.9810000000000002E-3</v>
      </c>
      <c r="N29" s="119">
        <v>5.3699999999999998E-3</v>
      </c>
      <c r="O29" s="119">
        <v>5.4029999999999998E-3</v>
      </c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92">
        <f t="shared" si="2"/>
        <v>0.12924308720736635</v>
      </c>
      <c r="AD29" s="192">
        <f t="shared" si="3"/>
        <v>4.9613090909090919E-2</v>
      </c>
      <c r="AE29" s="189">
        <f t="shared" si="4"/>
        <v>0.30809926532382365</v>
      </c>
    </row>
    <row r="30" spans="1:31" ht="18" customHeight="1" outlineLevel="1" x14ac:dyDescent="0.25">
      <c r="A30" s="9" t="s">
        <v>231</v>
      </c>
      <c r="B30" s="127">
        <v>72.150000000000006</v>
      </c>
      <c r="C30" s="156"/>
      <c r="D30" s="150">
        <v>1.6416895963999999E-3</v>
      </c>
      <c r="E30" s="150">
        <v>0</v>
      </c>
      <c r="F30" s="150">
        <v>0</v>
      </c>
      <c r="G30" s="150">
        <v>0</v>
      </c>
      <c r="H30" s="119">
        <v>0</v>
      </c>
      <c r="I30" s="119">
        <v>0</v>
      </c>
      <c r="J30" s="119">
        <v>0</v>
      </c>
      <c r="K30" s="119">
        <v>0</v>
      </c>
      <c r="L30" s="119">
        <v>0</v>
      </c>
      <c r="M30" s="119">
        <v>0</v>
      </c>
      <c r="N30" s="119">
        <v>0</v>
      </c>
      <c r="O30" s="119">
        <v>0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92">
        <f t="shared" si="2"/>
        <v>0</v>
      </c>
      <c r="AD30" s="192">
        <f t="shared" si="3"/>
        <v>0</v>
      </c>
      <c r="AE30" s="189">
        <f t="shared" si="4"/>
        <v>0</v>
      </c>
    </row>
    <row r="31" spans="1:31" ht="18" customHeight="1" outlineLevel="1" x14ac:dyDescent="0.25">
      <c r="A31" s="9" t="s">
        <v>232</v>
      </c>
      <c r="B31" s="127">
        <v>86.18</v>
      </c>
      <c r="C31" s="156"/>
      <c r="D31" s="150">
        <v>2.1599999999999999E-4</v>
      </c>
      <c r="E31" s="150">
        <v>0</v>
      </c>
      <c r="F31" s="150">
        <v>0</v>
      </c>
      <c r="G31" s="150">
        <v>0</v>
      </c>
      <c r="H31" s="119">
        <v>5.3899999999999998E-4</v>
      </c>
      <c r="I31" s="119">
        <v>0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  <c r="O31" s="119">
        <v>0</v>
      </c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92">
        <f t="shared" si="2"/>
        <v>1.6251461472741458E-4</v>
      </c>
      <c r="AD31" s="192">
        <f t="shared" si="3"/>
        <v>4.8999999999999998E-5</v>
      </c>
      <c r="AE31" s="189">
        <f t="shared" si="4"/>
        <v>3.7402922945482917E-4</v>
      </c>
    </row>
    <row r="32" spans="1:31" ht="18" customHeight="1" outlineLevel="1" x14ac:dyDescent="0.25">
      <c r="A32" s="9" t="s">
        <v>233</v>
      </c>
      <c r="B32" s="127">
        <v>100.21</v>
      </c>
      <c r="C32" s="156"/>
      <c r="D32" s="150">
        <v>1.1655E-2</v>
      </c>
      <c r="E32" s="150">
        <v>3.1545999999999998E-2</v>
      </c>
      <c r="F32" s="150">
        <v>3.7157999999999997E-2</v>
      </c>
      <c r="G32" s="150">
        <v>3.4848999999999998E-2</v>
      </c>
      <c r="H32" s="119">
        <v>7.3249999999999996E-2</v>
      </c>
      <c r="I32" s="119">
        <v>0.11122799999999999</v>
      </c>
      <c r="J32" s="119">
        <v>3.4355999999999998E-2</v>
      </c>
      <c r="K32" s="119">
        <v>7.4530000000000004E-3</v>
      </c>
      <c r="L32" s="119">
        <v>6.6179999999999998E-3</v>
      </c>
      <c r="M32" s="119">
        <v>6.6340000000000001E-3</v>
      </c>
      <c r="N32" s="119">
        <v>7.149E-3</v>
      </c>
      <c r="O32" s="119">
        <v>7.45E-3</v>
      </c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92">
        <f t="shared" si="2"/>
        <v>3.3356682350835568E-2</v>
      </c>
      <c r="AD32" s="192">
        <f t="shared" si="3"/>
        <v>3.2517363636363636E-2</v>
      </c>
      <c r="AE32" s="189">
        <f t="shared" si="4"/>
        <v>9.9230728338034771E-2</v>
      </c>
    </row>
    <row r="33" spans="1:31" ht="18" customHeight="1" outlineLevel="1" x14ac:dyDescent="0.25">
      <c r="A33" s="9" t="s">
        <v>234</v>
      </c>
      <c r="B33" s="127">
        <v>78.11</v>
      </c>
      <c r="C33" s="156"/>
      <c r="D33" s="150">
        <v>0</v>
      </c>
      <c r="E33" s="150">
        <v>0</v>
      </c>
      <c r="F33" s="150">
        <v>0</v>
      </c>
      <c r="G33" s="150">
        <v>0</v>
      </c>
      <c r="H33" s="119">
        <v>0</v>
      </c>
      <c r="I33" s="119">
        <v>0</v>
      </c>
      <c r="J33" s="119">
        <v>0</v>
      </c>
      <c r="K33" s="119">
        <v>0</v>
      </c>
      <c r="L33" s="119">
        <v>0</v>
      </c>
      <c r="M33" s="119">
        <v>0</v>
      </c>
      <c r="N33" s="119">
        <v>0</v>
      </c>
      <c r="O33" s="119">
        <v>0</v>
      </c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92">
        <f t="shared" si="2"/>
        <v>0</v>
      </c>
      <c r="AD33" s="192">
        <f t="shared" si="3"/>
        <v>0</v>
      </c>
      <c r="AE33" s="189">
        <f t="shared" si="4"/>
        <v>0</v>
      </c>
    </row>
    <row r="34" spans="1:31" ht="18" customHeight="1" outlineLevel="1" x14ac:dyDescent="0.25">
      <c r="A34" s="9" t="s">
        <v>235</v>
      </c>
      <c r="B34" s="127">
        <v>92.14</v>
      </c>
      <c r="C34" s="156"/>
      <c r="D34" s="150">
        <v>0</v>
      </c>
      <c r="E34" s="150">
        <v>0</v>
      </c>
      <c r="F34" s="150">
        <v>0</v>
      </c>
      <c r="G34" s="150">
        <v>0</v>
      </c>
      <c r="H34" s="119">
        <v>0</v>
      </c>
      <c r="I34" s="119">
        <v>0</v>
      </c>
      <c r="J34" s="119">
        <v>0</v>
      </c>
      <c r="K34" s="119">
        <v>0</v>
      </c>
      <c r="L34" s="119">
        <v>0</v>
      </c>
      <c r="M34" s="119">
        <v>0</v>
      </c>
      <c r="N34" s="119">
        <v>0</v>
      </c>
      <c r="O34" s="119">
        <v>0</v>
      </c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92">
        <f t="shared" si="2"/>
        <v>0</v>
      </c>
      <c r="AD34" s="192">
        <f t="shared" si="3"/>
        <v>0</v>
      </c>
      <c r="AE34" s="189">
        <f t="shared" si="4"/>
        <v>0</v>
      </c>
    </row>
    <row r="35" spans="1:31" ht="18" customHeight="1" outlineLevel="1" x14ac:dyDescent="0.25">
      <c r="A35" s="9" t="s">
        <v>236</v>
      </c>
      <c r="B35" s="127">
        <v>106.167</v>
      </c>
      <c r="C35" s="156"/>
      <c r="D35" s="150">
        <v>0</v>
      </c>
      <c r="E35" s="150">
        <v>0</v>
      </c>
      <c r="F35" s="150">
        <v>0</v>
      </c>
      <c r="G35" s="150">
        <v>0</v>
      </c>
      <c r="H35" s="119">
        <v>0</v>
      </c>
      <c r="I35" s="119">
        <v>0</v>
      </c>
      <c r="J35" s="119">
        <v>0</v>
      </c>
      <c r="K35" s="119">
        <v>0</v>
      </c>
      <c r="L35" s="119">
        <v>0</v>
      </c>
      <c r="M35" s="119">
        <v>0</v>
      </c>
      <c r="N35" s="119">
        <v>0</v>
      </c>
      <c r="O35" s="119">
        <v>0</v>
      </c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92">
        <f t="shared" si="2"/>
        <v>0</v>
      </c>
      <c r="AD35" s="192">
        <f t="shared" si="3"/>
        <v>0</v>
      </c>
      <c r="AE35" s="189">
        <f t="shared" si="4"/>
        <v>0</v>
      </c>
    </row>
    <row r="36" spans="1:31" ht="18" customHeight="1" outlineLevel="1" x14ac:dyDescent="0.25">
      <c r="A36" s="9" t="s">
        <v>237</v>
      </c>
      <c r="B36" s="127">
        <v>106.167</v>
      </c>
      <c r="C36" s="156"/>
      <c r="D36" s="150">
        <v>0</v>
      </c>
      <c r="E36" s="150">
        <v>0</v>
      </c>
      <c r="F36" s="150">
        <v>0</v>
      </c>
      <c r="G36" s="150">
        <v>0</v>
      </c>
      <c r="H36" s="119">
        <v>0</v>
      </c>
      <c r="I36" s="119">
        <v>0</v>
      </c>
      <c r="J36" s="119">
        <v>0</v>
      </c>
      <c r="K36" s="119">
        <v>0</v>
      </c>
      <c r="L36" s="119">
        <v>0</v>
      </c>
      <c r="M36" s="119">
        <v>0</v>
      </c>
      <c r="N36" s="119">
        <v>0</v>
      </c>
      <c r="O36" s="119">
        <v>0</v>
      </c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92">
        <f t="shared" si="2"/>
        <v>0</v>
      </c>
      <c r="AD36" s="192">
        <f t="shared" si="3"/>
        <v>0</v>
      </c>
      <c r="AE36" s="189">
        <f t="shared" si="4"/>
        <v>0</v>
      </c>
    </row>
    <row r="37" spans="1:31" ht="18" customHeight="1" outlineLevel="1" x14ac:dyDescent="0.25">
      <c r="A37" s="9" t="s">
        <v>238</v>
      </c>
      <c r="B37" s="127">
        <v>106.167</v>
      </c>
      <c r="C37" s="156"/>
      <c r="D37" s="150">
        <v>2.9819999999999998E-3</v>
      </c>
      <c r="E37" s="150">
        <v>4.7080000000000004E-3</v>
      </c>
      <c r="F37" s="150">
        <v>2.0400000000000001E-3</v>
      </c>
      <c r="G37" s="150">
        <v>1.6969999999999999E-3</v>
      </c>
      <c r="H37" s="119">
        <v>3.9179999999999996E-3</v>
      </c>
      <c r="I37" s="119">
        <v>7.8370000000000002E-3</v>
      </c>
      <c r="J37" s="119">
        <v>3.9830000000000004E-3</v>
      </c>
      <c r="K37" s="119">
        <v>7.6099999999999996E-4</v>
      </c>
      <c r="L37" s="119">
        <v>7.0399999999999998E-4</v>
      </c>
      <c r="M37" s="119">
        <v>6.7299999999999999E-4</v>
      </c>
      <c r="N37" s="119">
        <v>7.1400000000000001E-4</v>
      </c>
      <c r="O37" s="119">
        <v>7.3399999999999995E-4</v>
      </c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92">
        <f t="shared" si="2"/>
        <v>2.3305556145965006E-3</v>
      </c>
      <c r="AD37" s="192">
        <f t="shared" si="3"/>
        <v>2.5244545454545454E-3</v>
      </c>
      <c r="AE37" s="189">
        <f t="shared" si="4"/>
        <v>7.1855657746475472E-3</v>
      </c>
    </row>
    <row r="38" spans="1:31" ht="18" customHeight="1" outlineLevel="1" x14ac:dyDescent="0.25">
      <c r="A38" s="9" t="s">
        <v>239</v>
      </c>
      <c r="B38" s="127">
        <v>106.167</v>
      </c>
      <c r="C38" s="156"/>
      <c r="D38" s="150">
        <v>0</v>
      </c>
      <c r="E38" s="150">
        <v>0</v>
      </c>
      <c r="F38" s="150">
        <v>0</v>
      </c>
      <c r="G38" s="150">
        <v>0</v>
      </c>
      <c r="H38" s="119">
        <v>0</v>
      </c>
      <c r="I38" s="119">
        <v>0</v>
      </c>
      <c r="J38" s="119">
        <v>0</v>
      </c>
      <c r="K38" s="119">
        <v>0</v>
      </c>
      <c r="L38" s="119">
        <v>0</v>
      </c>
      <c r="M38" s="119">
        <v>0</v>
      </c>
      <c r="N38" s="119">
        <v>0</v>
      </c>
      <c r="O38" s="119">
        <v>0</v>
      </c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92">
        <f t="shared" si="2"/>
        <v>0</v>
      </c>
      <c r="AD38" s="192">
        <f t="shared" si="3"/>
        <v>0</v>
      </c>
      <c r="AE38" s="189">
        <f t="shared" si="4"/>
        <v>0</v>
      </c>
    </row>
    <row r="39" spans="1:31" ht="18" customHeight="1" outlineLevel="1" x14ac:dyDescent="0.25">
      <c r="A39" s="9" t="s">
        <v>240</v>
      </c>
      <c r="B39" s="127">
        <v>86.18</v>
      </c>
      <c r="C39" s="156"/>
      <c r="D39" s="150">
        <v>4.1060000000000003E-3</v>
      </c>
      <c r="E39" s="150">
        <v>1.0508E-2</v>
      </c>
      <c r="F39" s="150">
        <v>1.6971E-2</v>
      </c>
      <c r="G39" s="150">
        <v>1.7350000000000001E-2</v>
      </c>
      <c r="H39" s="119">
        <v>0.43888700000000003</v>
      </c>
      <c r="I39" s="119">
        <v>2.2502999999999999E-2</v>
      </c>
      <c r="J39" s="119">
        <v>1.0584E-2</v>
      </c>
      <c r="K39" s="119">
        <v>8.0689999999999998E-3</v>
      </c>
      <c r="L39" s="119">
        <v>5.1180000000000002E-3</v>
      </c>
      <c r="M39" s="119">
        <v>4.9810000000000002E-3</v>
      </c>
      <c r="N39" s="119">
        <v>5.3699999999999998E-3</v>
      </c>
      <c r="O39" s="119">
        <v>5.4029999999999998E-3</v>
      </c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92">
        <f t="shared" si="2"/>
        <v>0.12924308720736635</v>
      </c>
      <c r="AD39" s="192">
        <f t="shared" si="3"/>
        <v>4.9613090909090919E-2</v>
      </c>
      <c r="AE39" s="189">
        <f t="shared" si="4"/>
        <v>0.30809926532382365</v>
      </c>
    </row>
    <row r="40" spans="1:31" ht="18" customHeight="1" outlineLevel="1" x14ac:dyDescent="0.25">
      <c r="A40" s="9" t="s">
        <v>241</v>
      </c>
      <c r="B40" s="127">
        <v>114.23</v>
      </c>
      <c r="C40" s="156"/>
      <c r="D40" s="150">
        <v>1.642E-3</v>
      </c>
      <c r="E40" s="150">
        <v>0</v>
      </c>
      <c r="F40" s="150">
        <v>0</v>
      </c>
      <c r="G40" s="150">
        <v>0</v>
      </c>
      <c r="H40" s="119">
        <v>0</v>
      </c>
      <c r="I40" s="119">
        <v>0</v>
      </c>
      <c r="J40" s="119">
        <v>0</v>
      </c>
      <c r="K40" s="119">
        <v>0</v>
      </c>
      <c r="L40" s="119">
        <v>0</v>
      </c>
      <c r="M40" s="119">
        <v>0</v>
      </c>
      <c r="N40" s="119">
        <v>0</v>
      </c>
      <c r="O40" s="119">
        <v>0</v>
      </c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92">
        <f t="shared" si="2"/>
        <v>0</v>
      </c>
      <c r="AD40" s="192">
        <f t="shared" si="3"/>
        <v>0</v>
      </c>
      <c r="AE40" s="189">
        <f t="shared" si="4"/>
        <v>0</v>
      </c>
    </row>
    <row r="41" spans="1:31" ht="18" customHeight="1" outlineLevel="1" x14ac:dyDescent="0.25">
      <c r="A41" s="9" t="s">
        <v>242</v>
      </c>
      <c r="B41" s="127">
        <v>100.21</v>
      </c>
      <c r="C41" s="156"/>
      <c r="D41" s="150">
        <v>0</v>
      </c>
      <c r="E41" s="150">
        <v>0</v>
      </c>
      <c r="F41" s="150">
        <v>0</v>
      </c>
      <c r="G41" s="150">
        <v>0</v>
      </c>
      <c r="H41" s="119">
        <v>0</v>
      </c>
      <c r="I41" s="119">
        <v>0</v>
      </c>
      <c r="J41" s="119">
        <v>0</v>
      </c>
      <c r="K41" s="119">
        <v>0</v>
      </c>
      <c r="L41" s="119">
        <v>0</v>
      </c>
      <c r="M41" s="119">
        <v>0</v>
      </c>
      <c r="N41" s="119">
        <v>0</v>
      </c>
      <c r="O41" s="119">
        <v>0</v>
      </c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92">
        <f t="shared" si="2"/>
        <v>0</v>
      </c>
      <c r="AD41" s="192">
        <f t="shared" si="3"/>
        <v>0</v>
      </c>
      <c r="AE41" s="189">
        <f t="shared" si="4"/>
        <v>0</v>
      </c>
    </row>
    <row r="42" spans="1:31" ht="18" customHeight="1" outlineLevel="1" x14ac:dyDescent="0.25">
      <c r="A42" s="9" t="s">
        <v>37</v>
      </c>
      <c r="B42" s="127">
        <v>44.01</v>
      </c>
      <c r="C42" s="156"/>
      <c r="D42" s="150">
        <v>0</v>
      </c>
      <c r="E42" s="150">
        <v>0</v>
      </c>
      <c r="F42" s="150">
        <v>0</v>
      </c>
      <c r="G42" s="150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>
        <v>0</v>
      </c>
      <c r="N42" s="119">
        <v>0</v>
      </c>
      <c r="O42" s="119">
        <v>0</v>
      </c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92">
        <f t="shared" si="2"/>
        <v>0</v>
      </c>
      <c r="AD42" s="192">
        <f t="shared" si="3"/>
        <v>0</v>
      </c>
      <c r="AE42" s="189">
        <f t="shared" si="4"/>
        <v>0</v>
      </c>
    </row>
    <row r="43" spans="1:31" ht="18" customHeight="1" outlineLevel="1" x14ac:dyDescent="0.25">
      <c r="A43" s="9" t="s">
        <v>39</v>
      </c>
      <c r="B43" s="127">
        <v>39.948</v>
      </c>
      <c r="C43" s="156"/>
      <c r="D43" s="150">
        <v>4.3820269999999999</v>
      </c>
      <c r="E43" s="150">
        <v>4.3044950000000002</v>
      </c>
      <c r="F43" s="150">
        <v>4.3167340000000003</v>
      </c>
      <c r="G43" s="150">
        <v>4.3165880000000003</v>
      </c>
      <c r="H43" s="119">
        <v>4.0854520000000001</v>
      </c>
      <c r="I43" s="119">
        <v>4.323696</v>
      </c>
      <c r="J43" s="119">
        <v>4.2843390000000001</v>
      </c>
      <c r="K43" s="119">
        <v>4.2857570000000003</v>
      </c>
      <c r="L43" s="119">
        <v>4.2832100000000004</v>
      </c>
      <c r="M43" s="119">
        <v>4.2926130000000002</v>
      </c>
      <c r="N43" s="119">
        <v>4.3142160000000001</v>
      </c>
      <c r="O43" s="119">
        <v>4.3008940000000004</v>
      </c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92">
        <f t="shared" si="2"/>
        <v>6.6935604718945468E-2</v>
      </c>
      <c r="AD43" s="192">
        <f t="shared" si="3"/>
        <v>4.2825449090909098</v>
      </c>
      <c r="AE43" s="189">
        <f t="shared" si="4"/>
        <v>4.4164161185288009</v>
      </c>
    </row>
    <row r="44" spans="1:31" ht="18" customHeight="1" outlineLevel="1" x14ac:dyDescent="0.25">
      <c r="A44" s="9" t="s">
        <v>38</v>
      </c>
      <c r="B44" s="127">
        <v>28.01</v>
      </c>
      <c r="C44" s="156"/>
      <c r="D44" s="150">
        <v>0</v>
      </c>
      <c r="E44" s="150">
        <v>0</v>
      </c>
      <c r="F44" s="150">
        <v>0</v>
      </c>
      <c r="G44" s="150">
        <v>0</v>
      </c>
      <c r="H44" s="119">
        <v>0</v>
      </c>
      <c r="I44" s="119">
        <v>0</v>
      </c>
      <c r="J44" s="119">
        <v>0</v>
      </c>
      <c r="K44" s="119">
        <v>0</v>
      </c>
      <c r="L44" s="119">
        <v>0</v>
      </c>
      <c r="M44" s="119">
        <v>0</v>
      </c>
      <c r="N44" s="119">
        <v>0</v>
      </c>
      <c r="O44" s="119">
        <v>0</v>
      </c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92">
        <f t="shared" si="2"/>
        <v>0</v>
      </c>
      <c r="AD44" s="192">
        <f t="shared" si="3"/>
        <v>0</v>
      </c>
      <c r="AE44" s="189">
        <f t="shared" si="4"/>
        <v>0</v>
      </c>
    </row>
    <row r="45" spans="1:31" ht="18" customHeight="1" outlineLevel="1" x14ac:dyDescent="0.25">
      <c r="A45" s="9" t="s">
        <v>243</v>
      </c>
      <c r="B45" s="127">
        <v>2.016</v>
      </c>
      <c r="C45" s="156"/>
      <c r="D45" s="150">
        <v>21.544077999999999</v>
      </c>
      <c r="E45" s="150">
        <v>21.639876000000001</v>
      </c>
      <c r="F45" s="150">
        <v>21.743255999999999</v>
      </c>
      <c r="G45" s="150">
        <v>21.78614</v>
      </c>
      <c r="H45" s="119">
        <v>17.011008</v>
      </c>
      <c r="I45" s="119">
        <v>21.917154</v>
      </c>
      <c r="J45" s="119">
        <v>21.720814000000001</v>
      </c>
      <c r="K45" s="119">
        <v>21.644525000000002</v>
      </c>
      <c r="L45" s="119">
        <v>21.566050000000001</v>
      </c>
      <c r="M45" s="119">
        <v>21.624455000000001</v>
      </c>
      <c r="N45" s="119">
        <v>21.660062</v>
      </c>
      <c r="O45" s="119">
        <v>21.628741999999999</v>
      </c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92">
        <f t="shared" si="2"/>
        <v>1.4150109777157918</v>
      </c>
      <c r="AD45" s="192">
        <f t="shared" si="3"/>
        <v>21.267462000000002</v>
      </c>
      <c r="AE45" s="189">
        <f t="shared" si="4"/>
        <v>24.097483955431585</v>
      </c>
    </row>
    <row r="46" spans="1:31" ht="18" customHeight="1" outlineLevel="1" x14ac:dyDescent="0.25">
      <c r="A46" s="9" t="s">
        <v>55</v>
      </c>
      <c r="B46" s="127">
        <v>26.04</v>
      </c>
      <c r="C46" s="156"/>
      <c r="D46" s="150">
        <v>8.3597029999999997</v>
      </c>
      <c r="E46" s="150">
        <v>8.3524019999999997</v>
      </c>
      <c r="F46" s="150">
        <v>8.3642409999999998</v>
      </c>
      <c r="G46" s="150">
        <v>8.5303170000000001</v>
      </c>
      <c r="H46" s="119">
        <v>5.0460279999999997</v>
      </c>
      <c r="I46" s="119">
        <v>8.5063139999999997</v>
      </c>
      <c r="J46" s="119">
        <v>8.4919170000000008</v>
      </c>
      <c r="K46" s="119">
        <v>8.1967180000000006</v>
      </c>
      <c r="L46" s="119">
        <v>7.9058080000000004</v>
      </c>
      <c r="M46" s="119">
        <v>7.8876730000000004</v>
      </c>
      <c r="N46" s="119">
        <v>7.9080690000000002</v>
      </c>
      <c r="O46" s="119">
        <v>7.9182810000000003</v>
      </c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92">
        <f t="shared" si="2"/>
        <v>0.98819672209020315</v>
      </c>
      <c r="AD46" s="192">
        <f t="shared" si="3"/>
        <v>7.918887999999999</v>
      </c>
      <c r="AE46" s="189">
        <f t="shared" si="4"/>
        <v>9.8952814441804051</v>
      </c>
    </row>
    <row r="47" spans="1:31" ht="18" customHeight="1" outlineLevel="1" x14ac:dyDescent="0.25">
      <c r="A47" s="9" t="s">
        <v>244</v>
      </c>
      <c r="B47" s="127">
        <v>58.12</v>
      </c>
      <c r="C47" s="156"/>
      <c r="D47" s="150">
        <v>0</v>
      </c>
      <c r="E47" s="150">
        <v>0</v>
      </c>
      <c r="F47" s="150">
        <v>0</v>
      </c>
      <c r="G47" s="150">
        <v>0</v>
      </c>
      <c r="H47" s="119">
        <v>0</v>
      </c>
      <c r="I47" s="119">
        <v>0</v>
      </c>
      <c r="J47" s="119">
        <v>0</v>
      </c>
      <c r="K47" s="119">
        <v>0</v>
      </c>
      <c r="L47" s="119">
        <v>0</v>
      </c>
      <c r="M47" s="119">
        <v>0</v>
      </c>
      <c r="N47" s="119">
        <v>0</v>
      </c>
      <c r="O47" s="119">
        <v>0</v>
      </c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92">
        <f t="shared" si="2"/>
        <v>0</v>
      </c>
      <c r="AD47" s="192">
        <f t="shared" si="3"/>
        <v>0</v>
      </c>
      <c r="AE47" s="189">
        <f t="shared" si="4"/>
        <v>0</v>
      </c>
    </row>
    <row r="48" spans="1:31" ht="18" customHeight="1" outlineLevel="1" x14ac:dyDescent="0.25">
      <c r="A48" s="9" t="s">
        <v>245</v>
      </c>
      <c r="B48" s="127">
        <v>28.013400000000001</v>
      </c>
      <c r="C48" s="156"/>
      <c r="D48" s="150">
        <v>58.456074999999998</v>
      </c>
      <c r="E48" s="150">
        <v>58.626976999999997</v>
      </c>
      <c r="F48" s="150">
        <v>58.795150999999997</v>
      </c>
      <c r="G48" s="150">
        <v>58.742798999999998</v>
      </c>
      <c r="H48" s="119">
        <v>62.904335000000003</v>
      </c>
      <c r="I48" s="119">
        <v>58.736060999999999</v>
      </c>
      <c r="J48" s="119">
        <v>58.532792000000001</v>
      </c>
      <c r="K48" s="119">
        <v>58.942928000000002</v>
      </c>
      <c r="L48" s="119">
        <v>59.351821999999999</v>
      </c>
      <c r="M48" s="119">
        <v>59.387815000000003</v>
      </c>
      <c r="N48" s="119">
        <v>59.445234999999997</v>
      </c>
      <c r="O48" s="119">
        <v>59.388145999999999</v>
      </c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92">
        <f t="shared" si="2"/>
        <v>1.2269891710739613</v>
      </c>
      <c r="AD48" s="192">
        <f t="shared" si="3"/>
        <v>59.350369181818195</v>
      </c>
      <c r="AE48" s="189">
        <f t="shared" si="4"/>
        <v>61.804347523966115</v>
      </c>
    </row>
    <row r="49" spans="1:30" ht="18" customHeight="1" outlineLevel="1" x14ac:dyDescent="0.25">
      <c r="A49" s="9"/>
      <c r="B49" s="127"/>
      <c r="C49" s="157"/>
      <c r="D49" s="150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</row>
    <row r="51" spans="1:30" ht="18" customHeight="1" outlineLevel="1" x14ac:dyDescent="0.25">
      <c r="A51" s="9" t="s">
        <v>246</v>
      </c>
      <c r="B51" s="7"/>
      <c r="C51" s="7" t="s">
        <v>247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208" t="s">
        <v>248</v>
      </c>
      <c r="AD51" s="189" t="s">
        <v>249</v>
      </c>
    </row>
    <row r="52" spans="1:30" ht="18" customHeight="1" outlineLevel="1" x14ac:dyDescent="0.25">
      <c r="A52" s="9" t="str">
        <f t="shared" ref="A52:A81" si="5">IF(A20="", "", CONCATENATE(A20, " [g/h]"))</f>
        <v>Methane [g/h]</v>
      </c>
      <c r="B52" s="102"/>
      <c r="C52" s="103">
        <f t="shared" ref="C52:C84" si="6">IFERROR(AVERAGE(D52:AB52), "")</f>
        <v>5.5588739355983956E-2</v>
      </c>
      <c r="D52" s="103">
        <f t="shared" ref="D52:AB52" si="7">IF(SUM(D20:D48)=0, "", (D20*$B20/(D$43*$B$43))*$F$5)</f>
        <v>5.4400249524528391E-2</v>
      </c>
      <c r="E52" s="103">
        <f t="shared" si="7"/>
        <v>5.5361117246380223E-2</v>
      </c>
      <c r="F52" s="103">
        <f t="shared" si="7"/>
        <v>5.5376577854779493E-2</v>
      </c>
      <c r="G52" s="103">
        <f t="shared" si="7"/>
        <v>5.6303514922929947E-2</v>
      </c>
      <c r="H52" s="103">
        <f t="shared" si="7"/>
        <v>5.3514315875731217E-2</v>
      </c>
      <c r="I52" s="103">
        <f t="shared" si="7"/>
        <v>5.6091166512767535E-2</v>
      </c>
      <c r="J52" s="103">
        <f t="shared" si="7"/>
        <v>5.636804772465244E-2</v>
      </c>
      <c r="K52" s="103">
        <f t="shared" si="7"/>
        <v>5.6353515222753073E-2</v>
      </c>
      <c r="L52" s="103">
        <f t="shared" si="7"/>
        <v>5.6071368342898463E-2</v>
      </c>
      <c r="M52" s="103">
        <f t="shared" si="7"/>
        <v>5.5777892462863625E-2</v>
      </c>
      <c r="N52" s="103">
        <f t="shared" si="7"/>
        <v>5.5633021513584568E-2</v>
      </c>
      <c r="O52" s="103">
        <f t="shared" si="7"/>
        <v>5.5814085067938612E-2</v>
      </c>
      <c r="P52" s="103" t="str">
        <f t="shared" si="7"/>
        <v/>
      </c>
      <c r="Q52" s="103" t="str">
        <f t="shared" si="7"/>
        <v/>
      </c>
      <c r="R52" s="103" t="str">
        <f t="shared" si="7"/>
        <v/>
      </c>
      <c r="S52" s="103" t="str">
        <f t="shared" si="7"/>
        <v/>
      </c>
      <c r="T52" s="103" t="str">
        <f t="shared" si="7"/>
        <v/>
      </c>
      <c r="U52" s="103" t="str">
        <f t="shared" si="7"/>
        <v/>
      </c>
      <c r="V52" s="103" t="str">
        <f t="shared" si="7"/>
        <v/>
      </c>
      <c r="W52" s="103" t="str">
        <f t="shared" si="7"/>
        <v/>
      </c>
      <c r="X52" s="103" t="str">
        <f t="shared" si="7"/>
        <v/>
      </c>
      <c r="Y52" s="103" t="str">
        <f t="shared" si="7"/>
        <v/>
      </c>
      <c r="Z52" s="103" t="str">
        <f t="shared" si="7"/>
        <v/>
      </c>
      <c r="AA52" s="103" t="str">
        <f t="shared" si="7"/>
        <v/>
      </c>
      <c r="AB52" s="103" t="str">
        <f t="shared" si="7"/>
        <v/>
      </c>
      <c r="AC52" s="192">
        <f t="shared" ref="AC52:AC80" si="8">(12.011*$AD52/$B20)*$C52</f>
        <v>4.1625707506528886E-2</v>
      </c>
      <c r="AD52" s="191">
        <v>1</v>
      </c>
    </row>
    <row r="53" spans="1:30" ht="18" customHeight="1" outlineLevel="1" x14ac:dyDescent="0.25">
      <c r="A53" s="9" t="str">
        <f t="shared" si="5"/>
        <v>Ethane [g/h]</v>
      </c>
      <c r="B53" s="102"/>
      <c r="C53" s="103">
        <f t="shared" si="6"/>
        <v>4.9747922912087743E-4</v>
      </c>
      <c r="D53" s="103">
        <f t="shared" ref="D53:AB53" si="9">IF(SUM(D21:D49)=0, "", (D21*$B21/(D$43*$B$43))*$F$5)</f>
        <v>1.1847473751039774E-4</v>
      </c>
      <c r="E53" s="103">
        <f t="shared" si="9"/>
        <v>8.5342756344010409E-5</v>
      </c>
      <c r="F53" s="103">
        <f t="shared" si="9"/>
        <v>1.0509867571447189E-4</v>
      </c>
      <c r="G53" s="103">
        <f t="shared" si="9"/>
        <v>1.0218826813453001E-4</v>
      </c>
      <c r="H53" s="103">
        <f t="shared" si="9"/>
        <v>4.9172986701758892E-3</v>
      </c>
      <c r="I53" s="103">
        <f t="shared" si="9"/>
        <v>1.03016566055336E-4</v>
      </c>
      <c r="J53" s="103">
        <f t="shared" si="9"/>
        <v>7.7580053193690798E-5</v>
      </c>
      <c r="K53" s="103">
        <f t="shared" si="9"/>
        <v>1.5916941908089365E-4</v>
      </c>
      <c r="L53" s="103">
        <f t="shared" si="9"/>
        <v>7.6353423221100803E-5</v>
      </c>
      <c r="M53" s="103">
        <f t="shared" si="9"/>
        <v>7.4018597675204543E-5</v>
      </c>
      <c r="N53" s="103">
        <f t="shared" si="9"/>
        <v>7.3727835516743852E-5</v>
      </c>
      <c r="O53" s="103">
        <f t="shared" si="9"/>
        <v>7.748174682826023E-5</v>
      </c>
      <c r="P53" s="103" t="str">
        <f t="shared" si="9"/>
        <v/>
      </c>
      <c r="Q53" s="103" t="str">
        <f t="shared" si="9"/>
        <v/>
      </c>
      <c r="R53" s="103" t="str">
        <f t="shared" si="9"/>
        <v/>
      </c>
      <c r="S53" s="103" t="str">
        <f t="shared" si="9"/>
        <v/>
      </c>
      <c r="T53" s="103" t="str">
        <f t="shared" si="9"/>
        <v/>
      </c>
      <c r="U53" s="103" t="str">
        <f t="shared" si="9"/>
        <v/>
      </c>
      <c r="V53" s="103" t="str">
        <f t="shared" si="9"/>
        <v/>
      </c>
      <c r="W53" s="103" t="str">
        <f t="shared" si="9"/>
        <v/>
      </c>
      <c r="X53" s="103" t="str">
        <f t="shared" si="9"/>
        <v/>
      </c>
      <c r="Y53" s="103" t="str">
        <f t="shared" si="9"/>
        <v/>
      </c>
      <c r="Z53" s="103" t="str">
        <f t="shared" si="9"/>
        <v/>
      </c>
      <c r="AA53" s="103" t="str">
        <f t="shared" si="9"/>
        <v/>
      </c>
      <c r="AB53" s="103" t="str">
        <f t="shared" si="9"/>
        <v/>
      </c>
      <c r="AC53" s="192">
        <f t="shared" si="8"/>
        <v>3.974208859973966E-4</v>
      </c>
      <c r="AD53" s="189">
        <v>2</v>
      </c>
    </row>
    <row r="54" spans="1:30" ht="18" customHeight="1" outlineLevel="1" x14ac:dyDescent="0.25">
      <c r="A54" s="9" t="str">
        <f t="shared" si="5"/>
        <v>Ethylene [g/h]</v>
      </c>
      <c r="B54" s="102"/>
      <c r="C54" s="103">
        <f t="shared" si="6"/>
        <v>6.6834051288114524E-2</v>
      </c>
      <c r="D54" s="103">
        <f t="shared" ref="D54:AB54" si="10">IF(SUM(D22:D50)=0, "", (D22*$B22/(D$43*$B$43))*$F$5)</f>
        <v>5.9970468683197463E-2</v>
      </c>
      <c r="E54" s="103">
        <f t="shared" si="10"/>
        <v>6.0923467524461782E-2</v>
      </c>
      <c r="F54" s="103">
        <f t="shared" si="10"/>
        <v>6.1212256488340923E-2</v>
      </c>
      <c r="G54" s="103">
        <f t="shared" si="10"/>
        <v>6.2214219398920426E-2</v>
      </c>
      <c r="H54" s="103">
        <f t="shared" si="10"/>
        <v>0.12497920209391006</v>
      </c>
      <c r="I54" s="103">
        <f t="shared" si="10"/>
        <v>6.2231234666768422E-2</v>
      </c>
      <c r="J54" s="103">
        <f t="shared" si="10"/>
        <v>6.2069804781834929E-2</v>
      </c>
      <c r="K54" s="103">
        <f t="shared" si="10"/>
        <v>6.2364523860769634E-2</v>
      </c>
      <c r="L54" s="103">
        <f t="shared" si="10"/>
        <v>6.1736573809731431E-2</v>
      </c>
      <c r="M54" s="103">
        <f t="shared" si="10"/>
        <v>6.1420972836743734E-2</v>
      </c>
      <c r="N54" s="103">
        <f t="shared" si="10"/>
        <v>6.1305171488008597E-2</v>
      </c>
      <c r="O54" s="103">
        <f t="shared" si="10"/>
        <v>6.1580719824686797E-2</v>
      </c>
      <c r="P54" s="103" t="str">
        <f t="shared" si="10"/>
        <v/>
      </c>
      <c r="Q54" s="103" t="str">
        <f t="shared" si="10"/>
        <v/>
      </c>
      <c r="R54" s="103" t="str">
        <f t="shared" si="10"/>
        <v/>
      </c>
      <c r="S54" s="103" t="str">
        <f t="shared" si="10"/>
        <v/>
      </c>
      <c r="T54" s="103" t="str">
        <f t="shared" si="10"/>
        <v/>
      </c>
      <c r="U54" s="103" t="str">
        <f t="shared" si="10"/>
        <v/>
      </c>
      <c r="V54" s="103" t="str">
        <f t="shared" si="10"/>
        <v/>
      </c>
      <c r="W54" s="103" t="str">
        <f t="shared" si="10"/>
        <v/>
      </c>
      <c r="X54" s="103" t="str">
        <f t="shared" si="10"/>
        <v/>
      </c>
      <c r="Y54" s="103" t="str">
        <f t="shared" si="10"/>
        <v/>
      </c>
      <c r="Z54" s="103" t="str">
        <f t="shared" si="10"/>
        <v/>
      </c>
      <c r="AA54" s="103" t="str">
        <f t="shared" si="10"/>
        <v/>
      </c>
      <c r="AB54" s="103" t="str">
        <f t="shared" si="10"/>
        <v/>
      </c>
      <c r="AC54" s="192">
        <f t="shared" si="8"/>
        <v>5.7236633869628767E-2</v>
      </c>
      <c r="AD54" s="189">
        <v>2</v>
      </c>
    </row>
    <row r="55" spans="1:30" ht="18" customHeight="1" outlineLevel="1" x14ac:dyDescent="0.25">
      <c r="A55" s="9" t="str">
        <f t="shared" si="5"/>
        <v>Propane [g/h]</v>
      </c>
      <c r="B55" s="102"/>
      <c r="C55" s="103">
        <f t="shared" si="6"/>
        <v>1.6499513912172741E-5</v>
      </c>
      <c r="D55" s="103">
        <f t="shared" ref="D55:AB55" si="11">IF(SUM(D23:D51)=0, "", (D23*$B23/(D$43*$B$43))*$F$5)</f>
        <v>0</v>
      </c>
      <c r="E55" s="103">
        <f t="shared" si="11"/>
        <v>0</v>
      </c>
      <c r="F55" s="103">
        <f t="shared" si="11"/>
        <v>0</v>
      </c>
      <c r="G55" s="103">
        <f t="shared" si="11"/>
        <v>0</v>
      </c>
      <c r="H55" s="103">
        <f t="shared" si="11"/>
        <v>1.9799416694607291E-4</v>
      </c>
      <c r="I55" s="103">
        <f t="shared" si="11"/>
        <v>0</v>
      </c>
      <c r="J55" s="103">
        <f t="shared" si="11"/>
        <v>0</v>
      </c>
      <c r="K55" s="103">
        <f t="shared" si="11"/>
        <v>0</v>
      </c>
      <c r="L55" s="103">
        <f t="shared" si="11"/>
        <v>0</v>
      </c>
      <c r="M55" s="103">
        <f t="shared" si="11"/>
        <v>0</v>
      </c>
      <c r="N55" s="103">
        <f t="shared" si="11"/>
        <v>0</v>
      </c>
      <c r="O55" s="103">
        <f t="shared" si="11"/>
        <v>0</v>
      </c>
      <c r="P55" s="103" t="str">
        <f t="shared" si="11"/>
        <v/>
      </c>
      <c r="Q55" s="103" t="str">
        <f t="shared" si="11"/>
        <v/>
      </c>
      <c r="R55" s="103" t="str">
        <f t="shared" si="11"/>
        <v/>
      </c>
      <c r="S55" s="103" t="str">
        <f t="shared" si="11"/>
        <v/>
      </c>
      <c r="T55" s="103" t="str">
        <f t="shared" si="11"/>
        <v/>
      </c>
      <c r="U55" s="103" t="str">
        <f t="shared" si="11"/>
        <v/>
      </c>
      <c r="V55" s="103" t="str">
        <f t="shared" si="11"/>
        <v/>
      </c>
      <c r="W55" s="103" t="str">
        <f t="shared" si="11"/>
        <v/>
      </c>
      <c r="X55" s="103" t="str">
        <f t="shared" si="11"/>
        <v/>
      </c>
      <c r="Y55" s="103" t="str">
        <f t="shared" si="11"/>
        <v/>
      </c>
      <c r="Z55" s="103" t="str">
        <f t="shared" si="11"/>
        <v/>
      </c>
      <c r="AA55" s="103" t="str">
        <f t="shared" si="11"/>
        <v/>
      </c>
      <c r="AB55" s="103" t="str">
        <f t="shared" si="11"/>
        <v/>
      </c>
      <c r="AC55" s="192">
        <f t="shared" si="8"/>
        <v>1.3481337523748761E-5</v>
      </c>
      <c r="AD55" s="189">
        <v>3</v>
      </c>
    </row>
    <row r="56" spans="1:30" ht="18" customHeight="1" outlineLevel="1" x14ac:dyDescent="0.25">
      <c r="A56" s="9" t="str">
        <f t="shared" si="5"/>
        <v>Propylene [g/h]</v>
      </c>
      <c r="B56" s="102"/>
      <c r="C56" s="103">
        <f t="shared" si="6"/>
        <v>4.0073956347984739E-5</v>
      </c>
      <c r="D56" s="103">
        <f t="shared" ref="D56:AB56" si="12">IF(SUM(D24:D52)=0, "", (D24*$B24/(D$43*$B$43))*$F$5)</f>
        <v>1.8873960707150457E-5</v>
      </c>
      <c r="E56" s="103">
        <f t="shared" si="12"/>
        <v>0</v>
      </c>
      <c r="F56" s="103">
        <f t="shared" si="12"/>
        <v>0</v>
      </c>
      <c r="G56" s="103">
        <f t="shared" si="12"/>
        <v>0</v>
      </c>
      <c r="H56" s="103">
        <f t="shared" si="12"/>
        <v>4.6201351546866639E-4</v>
      </c>
      <c r="I56" s="103">
        <f t="shared" si="12"/>
        <v>0</v>
      </c>
      <c r="J56" s="103">
        <f t="shared" si="12"/>
        <v>0</v>
      </c>
      <c r="K56" s="103">
        <f t="shared" si="12"/>
        <v>0</v>
      </c>
      <c r="L56" s="103">
        <f t="shared" si="12"/>
        <v>0</v>
      </c>
      <c r="M56" s="103">
        <f t="shared" si="12"/>
        <v>0</v>
      </c>
      <c r="N56" s="103">
        <f t="shared" si="12"/>
        <v>0</v>
      </c>
      <c r="O56" s="103">
        <f t="shared" si="12"/>
        <v>0</v>
      </c>
      <c r="P56" s="103" t="str">
        <f t="shared" si="12"/>
        <v/>
      </c>
      <c r="Q56" s="103" t="str">
        <f t="shared" si="12"/>
        <v/>
      </c>
      <c r="R56" s="103" t="str">
        <f t="shared" si="12"/>
        <v/>
      </c>
      <c r="S56" s="103" t="str">
        <f t="shared" si="12"/>
        <v/>
      </c>
      <c r="T56" s="103" t="str">
        <f t="shared" si="12"/>
        <v/>
      </c>
      <c r="U56" s="103" t="str">
        <f t="shared" si="12"/>
        <v/>
      </c>
      <c r="V56" s="103" t="str">
        <f t="shared" si="12"/>
        <v/>
      </c>
      <c r="W56" s="103" t="str">
        <f t="shared" si="12"/>
        <v/>
      </c>
      <c r="X56" s="103" t="str">
        <f t="shared" si="12"/>
        <v/>
      </c>
      <c r="Y56" s="103" t="str">
        <f t="shared" si="12"/>
        <v/>
      </c>
      <c r="Z56" s="103" t="str">
        <f t="shared" si="12"/>
        <v/>
      </c>
      <c r="AA56" s="103" t="str">
        <f t="shared" si="12"/>
        <v/>
      </c>
      <c r="AB56" s="103" t="str">
        <f t="shared" si="12"/>
        <v/>
      </c>
      <c r="AC56" s="192">
        <f t="shared" si="8"/>
        <v>3.43152297786819E-5</v>
      </c>
      <c r="AD56" s="189">
        <v>3</v>
      </c>
    </row>
    <row r="57" spans="1:30" ht="18" customHeight="1" outlineLevel="1" x14ac:dyDescent="0.25">
      <c r="A57" s="9" t="str">
        <f t="shared" si="5"/>
        <v>Butane [g/h]</v>
      </c>
      <c r="B57" s="102"/>
      <c r="C57" s="103">
        <f t="shared" si="6"/>
        <v>2.8940487547923421E-5</v>
      </c>
      <c r="D57" s="103">
        <f t="shared" ref="D57:AB57" si="13">IF(SUM(D25:D53)=0, "", (D25*$B25/(D$43*$B$43))*$F$5)</f>
        <v>1.7632211471520555E-5</v>
      </c>
      <c r="E57" s="103">
        <f t="shared" si="13"/>
        <v>0</v>
      </c>
      <c r="F57" s="103">
        <f t="shared" si="13"/>
        <v>0</v>
      </c>
      <c r="G57" s="103">
        <f t="shared" si="13"/>
        <v>0</v>
      </c>
      <c r="H57" s="103">
        <f t="shared" si="13"/>
        <v>2.6990623589426038E-4</v>
      </c>
      <c r="I57" s="103">
        <f t="shared" si="13"/>
        <v>0</v>
      </c>
      <c r="J57" s="103">
        <f t="shared" si="13"/>
        <v>0</v>
      </c>
      <c r="K57" s="103">
        <f t="shared" si="13"/>
        <v>0</v>
      </c>
      <c r="L57" s="103">
        <f t="shared" si="13"/>
        <v>0</v>
      </c>
      <c r="M57" s="103">
        <f t="shared" si="13"/>
        <v>1.7223645894720006E-5</v>
      </c>
      <c r="N57" s="103">
        <f t="shared" si="13"/>
        <v>2.1074370554362878E-5</v>
      </c>
      <c r="O57" s="103">
        <f t="shared" si="13"/>
        <v>2.1449386760217203E-5</v>
      </c>
      <c r="P57" s="103" t="str">
        <f t="shared" si="13"/>
        <v/>
      </c>
      <c r="Q57" s="103" t="str">
        <f t="shared" si="13"/>
        <v/>
      </c>
      <c r="R57" s="103" t="str">
        <f t="shared" si="13"/>
        <v/>
      </c>
      <c r="S57" s="103" t="str">
        <f t="shared" si="13"/>
        <v/>
      </c>
      <c r="T57" s="103" t="str">
        <f t="shared" si="13"/>
        <v/>
      </c>
      <c r="U57" s="103" t="str">
        <f t="shared" si="13"/>
        <v/>
      </c>
      <c r="V57" s="103" t="str">
        <f t="shared" si="13"/>
        <v/>
      </c>
      <c r="W57" s="103" t="str">
        <f t="shared" si="13"/>
        <v/>
      </c>
      <c r="X57" s="103" t="str">
        <f t="shared" si="13"/>
        <v/>
      </c>
      <c r="Y57" s="103" t="str">
        <f t="shared" si="13"/>
        <v/>
      </c>
      <c r="Z57" s="103" t="str">
        <f t="shared" si="13"/>
        <v/>
      </c>
      <c r="AA57" s="103" t="str">
        <f t="shared" si="13"/>
        <v/>
      </c>
      <c r="AB57" s="103" t="str">
        <f t="shared" si="13"/>
        <v/>
      </c>
      <c r="AC57" s="192">
        <f t="shared" si="8"/>
        <v>2.3923206878052871E-5</v>
      </c>
      <c r="AD57" s="189">
        <v>4</v>
      </c>
    </row>
    <row r="58" spans="1:30" ht="18" customHeight="1" outlineLevel="1" x14ac:dyDescent="0.25">
      <c r="A58" s="9" t="str">
        <f t="shared" si="5"/>
        <v>Pentane [g/h]</v>
      </c>
      <c r="B58" s="102"/>
      <c r="C58" s="103">
        <f t="shared" si="6"/>
        <v>0</v>
      </c>
      <c r="D58" s="103">
        <f t="shared" ref="D58:AB58" si="14">IF(SUM(D26:D54)=0, "", (D26*$B26/(D$43*$B$43))*$F$5)</f>
        <v>0</v>
      </c>
      <c r="E58" s="103">
        <f t="shared" si="14"/>
        <v>0</v>
      </c>
      <c r="F58" s="103">
        <f t="shared" si="14"/>
        <v>0</v>
      </c>
      <c r="G58" s="103">
        <f t="shared" si="14"/>
        <v>0</v>
      </c>
      <c r="H58" s="103">
        <f t="shared" si="14"/>
        <v>0</v>
      </c>
      <c r="I58" s="103">
        <f t="shared" si="14"/>
        <v>0</v>
      </c>
      <c r="J58" s="103">
        <f t="shared" si="14"/>
        <v>0</v>
      </c>
      <c r="K58" s="103">
        <f t="shared" si="14"/>
        <v>0</v>
      </c>
      <c r="L58" s="103">
        <f t="shared" si="14"/>
        <v>0</v>
      </c>
      <c r="M58" s="103">
        <f t="shared" si="14"/>
        <v>0</v>
      </c>
      <c r="N58" s="103">
        <f t="shared" si="14"/>
        <v>0</v>
      </c>
      <c r="O58" s="103">
        <f t="shared" si="14"/>
        <v>0</v>
      </c>
      <c r="P58" s="103" t="str">
        <f t="shared" si="14"/>
        <v/>
      </c>
      <c r="Q58" s="103" t="str">
        <f t="shared" si="14"/>
        <v/>
      </c>
      <c r="R58" s="103" t="str">
        <f t="shared" si="14"/>
        <v/>
      </c>
      <c r="S58" s="103" t="str">
        <f t="shared" si="14"/>
        <v/>
      </c>
      <c r="T58" s="103" t="str">
        <f t="shared" si="14"/>
        <v/>
      </c>
      <c r="U58" s="103" t="str">
        <f t="shared" si="14"/>
        <v/>
      </c>
      <c r="V58" s="103" t="str">
        <f t="shared" si="14"/>
        <v/>
      </c>
      <c r="W58" s="103" t="str">
        <f t="shared" si="14"/>
        <v/>
      </c>
      <c r="X58" s="103" t="str">
        <f t="shared" si="14"/>
        <v/>
      </c>
      <c r="Y58" s="103" t="str">
        <f t="shared" si="14"/>
        <v/>
      </c>
      <c r="Z58" s="103" t="str">
        <f t="shared" si="14"/>
        <v/>
      </c>
      <c r="AA58" s="103" t="str">
        <f t="shared" si="14"/>
        <v/>
      </c>
      <c r="AB58" s="103" t="str">
        <f t="shared" si="14"/>
        <v/>
      </c>
      <c r="AC58" s="192">
        <f t="shared" si="8"/>
        <v>0</v>
      </c>
      <c r="AD58" s="189">
        <v>5</v>
      </c>
    </row>
    <row r="59" spans="1:30" ht="18" customHeight="1" outlineLevel="1" x14ac:dyDescent="0.25">
      <c r="A59" s="9" t="str">
        <f t="shared" si="5"/>
        <v>C6s (Isomers of hexane?) [g/h]</v>
      </c>
      <c r="B59" s="102"/>
      <c r="C59" s="103">
        <f t="shared" si="6"/>
        <v>0</v>
      </c>
      <c r="D59" s="103">
        <f t="shared" ref="D59:AB59" si="15">IF(SUM(D27:D55)=0, "", (D27*$B27/(D$43*$B$43))*$F$5)</f>
        <v>0</v>
      </c>
      <c r="E59" s="103">
        <f t="shared" si="15"/>
        <v>0</v>
      </c>
      <c r="F59" s="103">
        <f t="shared" si="15"/>
        <v>0</v>
      </c>
      <c r="G59" s="103">
        <f t="shared" si="15"/>
        <v>0</v>
      </c>
      <c r="H59" s="103">
        <f t="shared" si="15"/>
        <v>0</v>
      </c>
      <c r="I59" s="103">
        <f t="shared" si="15"/>
        <v>0</v>
      </c>
      <c r="J59" s="103">
        <f t="shared" si="15"/>
        <v>0</v>
      </c>
      <c r="K59" s="103">
        <f t="shared" si="15"/>
        <v>0</v>
      </c>
      <c r="L59" s="103">
        <f t="shared" si="15"/>
        <v>0</v>
      </c>
      <c r="M59" s="103">
        <f t="shared" si="15"/>
        <v>0</v>
      </c>
      <c r="N59" s="103">
        <f t="shared" si="15"/>
        <v>0</v>
      </c>
      <c r="O59" s="103">
        <f t="shared" si="15"/>
        <v>0</v>
      </c>
      <c r="P59" s="103" t="str">
        <f t="shared" si="15"/>
        <v/>
      </c>
      <c r="Q59" s="103" t="str">
        <f t="shared" si="15"/>
        <v/>
      </c>
      <c r="R59" s="103" t="str">
        <f t="shared" si="15"/>
        <v/>
      </c>
      <c r="S59" s="103" t="str">
        <f t="shared" si="15"/>
        <v/>
      </c>
      <c r="T59" s="103" t="str">
        <f t="shared" si="15"/>
        <v/>
      </c>
      <c r="U59" s="103" t="str">
        <f t="shared" si="15"/>
        <v/>
      </c>
      <c r="V59" s="103" t="str">
        <f t="shared" si="15"/>
        <v/>
      </c>
      <c r="W59" s="103" t="str">
        <f t="shared" si="15"/>
        <v/>
      </c>
      <c r="X59" s="103" t="str">
        <f t="shared" si="15"/>
        <v/>
      </c>
      <c r="Y59" s="103" t="str">
        <f t="shared" si="15"/>
        <v/>
      </c>
      <c r="Z59" s="103" t="str">
        <f t="shared" si="15"/>
        <v/>
      </c>
      <c r="AA59" s="103" t="str">
        <f t="shared" si="15"/>
        <v/>
      </c>
      <c r="AB59" s="103" t="str">
        <f t="shared" si="15"/>
        <v/>
      </c>
      <c r="AC59" s="192">
        <f t="shared" si="8"/>
        <v>0</v>
      </c>
      <c r="AD59" s="189">
        <v>6</v>
      </c>
    </row>
    <row r="60" spans="1:30" ht="18" customHeight="1" outlineLevel="1" x14ac:dyDescent="0.25">
      <c r="A60" s="9" t="str">
        <f t="shared" si="5"/>
        <v>Hexane [g/h]</v>
      </c>
      <c r="B60" s="102"/>
      <c r="C60" s="103">
        <f t="shared" si="6"/>
        <v>0</v>
      </c>
      <c r="D60" s="103">
        <f t="shared" ref="D60:AB60" si="16">IF(SUM(D28:D56)=0, "", (D28*$B28/(D$43*$B$43))*$F$5)</f>
        <v>0</v>
      </c>
      <c r="E60" s="103">
        <f t="shared" si="16"/>
        <v>0</v>
      </c>
      <c r="F60" s="103">
        <f t="shared" si="16"/>
        <v>0</v>
      </c>
      <c r="G60" s="103">
        <f t="shared" si="16"/>
        <v>0</v>
      </c>
      <c r="H60" s="103">
        <f t="shared" si="16"/>
        <v>0</v>
      </c>
      <c r="I60" s="103">
        <f t="shared" si="16"/>
        <v>0</v>
      </c>
      <c r="J60" s="103">
        <f t="shared" si="16"/>
        <v>0</v>
      </c>
      <c r="K60" s="103">
        <f t="shared" si="16"/>
        <v>0</v>
      </c>
      <c r="L60" s="103">
        <f t="shared" si="16"/>
        <v>0</v>
      </c>
      <c r="M60" s="103">
        <f t="shared" si="16"/>
        <v>0</v>
      </c>
      <c r="N60" s="103">
        <f t="shared" si="16"/>
        <v>0</v>
      </c>
      <c r="O60" s="103">
        <f t="shared" si="16"/>
        <v>0</v>
      </c>
      <c r="P60" s="103" t="str">
        <f t="shared" si="16"/>
        <v/>
      </c>
      <c r="Q60" s="103" t="str">
        <f t="shared" si="16"/>
        <v/>
      </c>
      <c r="R60" s="103" t="str">
        <f t="shared" si="16"/>
        <v/>
      </c>
      <c r="S60" s="103" t="str">
        <f t="shared" si="16"/>
        <v/>
      </c>
      <c r="T60" s="103" t="str">
        <f t="shared" si="16"/>
        <v/>
      </c>
      <c r="U60" s="103" t="str">
        <f t="shared" si="16"/>
        <v/>
      </c>
      <c r="V60" s="103" t="str">
        <f t="shared" si="16"/>
        <v/>
      </c>
      <c r="W60" s="103" t="str">
        <f t="shared" si="16"/>
        <v/>
      </c>
      <c r="X60" s="103" t="str">
        <f t="shared" si="16"/>
        <v/>
      </c>
      <c r="Y60" s="103" t="str">
        <f t="shared" si="16"/>
        <v/>
      </c>
      <c r="Z60" s="103" t="str">
        <f t="shared" si="16"/>
        <v/>
      </c>
      <c r="AA60" s="103" t="str">
        <f t="shared" si="16"/>
        <v/>
      </c>
      <c r="AB60" s="103" t="str">
        <f t="shared" si="16"/>
        <v/>
      </c>
      <c r="AC60" s="192">
        <f t="shared" si="8"/>
        <v>0</v>
      </c>
      <c r="AD60" s="189">
        <v>6</v>
      </c>
    </row>
    <row r="61" spans="1:30" ht="18" customHeight="1" outlineLevel="1" x14ac:dyDescent="0.25">
      <c r="A61" s="9" t="str">
        <f t="shared" si="5"/>
        <v>C4 [g/h]</v>
      </c>
      <c r="B61" s="102"/>
      <c r="C61" s="103">
        <f t="shared" si="6"/>
        <v>3.695882625398769E-3</v>
      </c>
      <c r="D61" s="103">
        <f t="shared" ref="D61:AB61" si="17">IF(SUM(D29:D57)=0, "", (D29*$B29/(D$43*$B$43))*$F$5)</f>
        <v>3.1205974268130773E-4</v>
      </c>
      <c r="E61" s="103">
        <f t="shared" si="17"/>
        <v>8.1300217339162794E-4</v>
      </c>
      <c r="F61" s="103">
        <f t="shared" si="17"/>
        <v>1.3093205843787406E-3</v>
      </c>
      <c r="G61" s="103">
        <f t="shared" si="17"/>
        <v>1.3386058857202158E-3</v>
      </c>
      <c r="H61" s="103">
        <f t="shared" si="17"/>
        <v>3.5777208744465196E-2</v>
      </c>
      <c r="I61" s="103">
        <f t="shared" si="17"/>
        <v>1.7333214813278399E-3</v>
      </c>
      <c r="J61" s="103">
        <f t="shared" si="17"/>
        <v>8.2273477469242912E-4</v>
      </c>
      <c r="K61" s="103">
        <f t="shared" si="17"/>
        <v>6.2702668290956726E-4</v>
      </c>
      <c r="L61" s="103">
        <f t="shared" si="17"/>
        <v>3.9794656831723376E-4</v>
      </c>
      <c r="M61" s="103">
        <f t="shared" si="17"/>
        <v>3.8644585676396556E-4</v>
      </c>
      <c r="N61" s="103">
        <f t="shared" si="17"/>
        <v>4.1453981639900592E-4</v>
      </c>
      <c r="O61" s="103">
        <f t="shared" si="17"/>
        <v>4.1837919373809943E-4</v>
      </c>
      <c r="P61" s="103" t="str">
        <f t="shared" si="17"/>
        <v/>
      </c>
      <c r="Q61" s="103" t="str">
        <f t="shared" si="17"/>
        <v/>
      </c>
      <c r="R61" s="103" t="str">
        <f t="shared" si="17"/>
        <v/>
      </c>
      <c r="S61" s="103" t="str">
        <f t="shared" si="17"/>
        <v/>
      </c>
      <c r="T61" s="103" t="str">
        <f t="shared" si="17"/>
        <v/>
      </c>
      <c r="U61" s="103" t="str">
        <f t="shared" si="17"/>
        <v/>
      </c>
      <c r="V61" s="103" t="str">
        <f t="shared" si="17"/>
        <v/>
      </c>
      <c r="W61" s="103" t="str">
        <f t="shared" si="17"/>
        <v/>
      </c>
      <c r="X61" s="103" t="str">
        <f t="shared" si="17"/>
        <v/>
      </c>
      <c r="Y61" s="103" t="str">
        <f t="shared" si="17"/>
        <v/>
      </c>
      <c r="Z61" s="103" t="str">
        <f t="shared" si="17"/>
        <v/>
      </c>
      <c r="AA61" s="103" t="str">
        <f t="shared" si="17"/>
        <v/>
      </c>
      <c r="AB61" s="103" t="str">
        <f t="shared" si="17"/>
        <v/>
      </c>
      <c r="AC61" s="192">
        <f t="shared" si="8"/>
        <v>3.0551442679741646E-3</v>
      </c>
      <c r="AD61" s="189">
        <v>4</v>
      </c>
    </row>
    <row r="62" spans="1:30" ht="18" customHeight="1" outlineLevel="1" x14ac:dyDescent="0.25">
      <c r="A62" s="9" t="str">
        <f t="shared" si="5"/>
        <v>C5 [g/h]</v>
      </c>
      <c r="B62" s="102"/>
      <c r="C62" s="103">
        <f t="shared" si="6"/>
        <v>1.2907416695288521E-5</v>
      </c>
      <c r="D62" s="103">
        <f t="shared" ref="D62:AB62" si="18">IF(SUM(D30:D58)=0, "", (D30*$B30/(D$43*$B$43))*$F$5)</f>
        <v>1.5488900034346225E-4</v>
      </c>
      <c r="E62" s="103">
        <f t="shared" si="18"/>
        <v>0</v>
      </c>
      <c r="F62" s="103">
        <f t="shared" si="18"/>
        <v>0</v>
      </c>
      <c r="G62" s="103">
        <f t="shared" si="18"/>
        <v>0</v>
      </c>
      <c r="H62" s="103">
        <f t="shared" si="18"/>
        <v>0</v>
      </c>
      <c r="I62" s="103">
        <f t="shared" si="18"/>
        <v>0</v>
      </c>
      <c r="J62" s="103">
        <f t="shared" si="18"/>
        <v>0</v>
      </c>
      <c r="K62" s="103">
        <f t="shared" si="18"/>
        <v>0</v>
      </c>
      <c r="L62" s="103">
        <f t="shared" si="18"/>
        <v>0</v>
      </c>
      <c r="M62" s="103">
        <f t="shared" si="18"/>
        <v>0</v>
      </c>
      <c r="N62" s="103">
        <f t="shared" si="18"/>
        <v>0</v>
      </c>
      <c r="O62" s="103">
        <f t="shared" si="18"/>
        <v>0</v>
      </c>
      <c r="P62" s="103" t="str">
        <f t="shared" si="18"/>
        <v/>
      </c>
      <c r="Q62" s="103" t="str">
        <f t="shared" si="18"/>
        <v/>
      </c>
      <c r="R62" s="103" t="str">
        <f t="shared" si="18"/>
        <v/>
      </c>
      <c r="S62" s="103" t="str">
        <f t="shared" si="18"/>
        <v/>
      </c>
      <c r="T62" s="103" t="str">
        <f t="shared" si="18"/>
        <v/>
      </c>
      <c r="U62" s="103" t="str">
        <f t="shared" si="18"/>
        <v/>
      </c>
      <c r="V62" s="103" t="str">
        <f t="shared" si="18"/>
        <v/>
      </c>
      <c r="W62" s="103" t="str">
        <f t="shared" si="18"/>
        <v/>
      </c>
      <c r="X62" s="103" t="str">
        <f t="shared" si="18"/>
        <v/>
      </c>
      <c r="Y62" s="103" t="str">
        <f t="shared" si="18"/>
        <v/>
      </c>
      <c r="Z62" s="103" t="str">
        <f t="shared" si="18"/>
        <v/>
      </c>
      <c r="AA62" s="103" t="str">
        <f t="shared" si="18"/>
        <v/>
      </c>
      <c r="AB62" s="103" t="str">
        <f t="shared" si="18"/>
        <v/>
      </c>
      <c r="AC62" s="192">
        <f t="shared" si="8"/>
        <v>1.0743657791206541E-5</v>
      </c>
      <c r="AD62" s="189">
        <v>5</v>
      </c>
    </row>
    <row r="63" spans="1:30" ht="18" customHeight="1" outlineLevel="1" x14ac:dyDescent="0.25">
      <c r="A63" s="9" t="str">
        <f t="shared" si="5"/>
        <v>C6 [g/h]</v>
      </c>
      <c r="B63" s="102"/>
      <c r="C63" s="103">
        <f t="shared" si="6"/>
        <v>7.4577655865248126E-6</v>
      </c>
      <c r="D63" s="103">
        <f t="shared" ref="D63:AB63" si="19">IF(SUM(D31:D59)=0, "", (D31*$B31/(D$43*$B$43))*$F$5)</f>
        <v>2.4341841840082541E-5</v>
      </c>
      <c r="E63" s="103">
        <f t="shared" si="19"/>
        <v>0</v>
      </c>
      <c r="F63" s="103">
        <f t="shared" si="19"/>
        <v>0</v>
      </c>
      <c r="G63" s="103">
        <f t="shared" si="19"/>
        <v>0</v>
      </c>
      <c r="H63" s="103">
        <f t="shared" si="19"/>
        <v>6.5151345198215214E-5</v>
      </c>
      <c r="I63" s="103">
        <f t="shared" si="19"/>
        <v>0</v>
      </c>
      <c r="J63" s="103">
        <f t="shared" si="19"/>
        <v>0</v>
      </c>
      <c r="K63" s="103">
        <f t="shared" si="19"/>
        <v>0</v>
      </c>
      <c r="L63" s="103">
        <f t="shared" si="19"/>
        <v>0</v>
      </c>
      <c r="M63" s="103">
        <f t="shared" si="19"/>
        <v>0</v>
      </c>
      <c r="N63" s="103">
        <f t="shared" si="19"/>
        <v>0</v>
      </c>
      <c r="O63" s="103">
        <f t="shared" si="19"/>
        <v>0</v>
      </c>
      <c r="P63" s="103" t="str">
        <f t="shared" si="19"/>
        <v/>
      </c>
      <c r="Q63" s="103" t="str">
        <f t="shared" si="19"/>
        <v/>
      </c>
      <c r="R63" s="103" t="str">
        <f t="shared" si="19"/>
        <v/>
      </c>
      <c r="S63" s="103" t="str">
        <f t="shared" si="19"/>
        <v/>
      </c>
      <c r="T63" s="103" t="str">
        <f t="shared" si="19"/>
        <v/>
      </c>
      <c r="U63" s="103" t="str">
        <f t="shared" si="19"/>
        <v/>
      </c>
      <c r="V63" s="103" t="str">
        <f t="shared" si="19"/>
        <v/>
      </c>
      <c r="W63" s="103" t="str">
        <f t="shared" si="19"/>
        <v/>
      </c>
      <c r="X63" s="103" t="str">
        <f t="shared" si="19"/>
        <v/>
      </c>
      <c r="Y63" s="103" t="str">
        <f t="shared" si="19"/>
        <v/>
      </c>
      <c r="Z63" s="103" t="str">
        <f t="shared" si="19"/>
        <v/>
      </c>
      <c r="AA63" s="103" t="str">
        <f t="shared" si="19"/>
        <v/>
      </c>
      <c r="AB63" s="103" t="str">
        <f t="shared" si="19"/>
        <v/>
      </c>
      <c r="AC63" s="192">
        <f t="shared" si="8"/>
        <v>6.23638123414362E-6</v>
      </c>
      <c r="AD63" s="189">
        <v>6</v>
      </c>
    </row>
    <row r="64" spans="1:30" ht="18" customHeight="1" outlineLevel="1" x14ac:dyDescent="0.25">
      <c r="A64" s="9" t="str">
        <f t="shared" si="5"/>
        <v>C6 Above [g/h]</v>
      </c>
      <c r="B64" s="102"/>
      <c r="C64" s="103">
        <f t="shared" si="6"/>
        <v>4.1421463087442639E-3</v>
      </c>
      <c r="D64" s="103">
        <f t="shared" ref="D64:AB64" si="20">IF(SUM(D32:D60)=0, "", (D32*$B32/(D$43*$B$43))*$F$5)</f>
        <v>1.5272725120769994E-3</v>
      </c>
      <c r="E64" s="103">
        <f t="shared" si="20"/>
        <v>4.2082487002974463E-3</v>
      </c>
      <c r="F64" s="103">
        <f t="shared" si="20"/>
        <v>4.9428376843978329E-3</v>
      </c>
      <c r="G64" s="103">
        <f t="shared" si="20"/>
        <v>4.635846293580991E-3</v>
      </c>
      <c r="H64" s="103">
        <f t="shared" si="20"/>
        <v>1.0295485312151119E-2</v>
      </c>
      <c r="I64" s="103">
        <f t="shared" si="20"/>
        <v>1.4771965472031716E-2</v>
      </c>
      <c r="J64" s="103">
        <f t="shared" si="20"/>
        <v>4.6046653577599007E-3</v>
      </c>
      <c r="K64" s="103">
        <f t="shared" si="20"/>
        <v>9.9858004870739944E-4</v>
      </c>
      <c r="L64" s="103">
        <f t="shared" si="20"/>
        <v>8.87230987692727E-4</v>
      </c>
      <c r="M64" s="103">
        <f t="shared" si="20"/>
        <v>8.8742781605927331E-4</v>
      </c>
      <c r="N64" s="103">
        <f t="shared" si="20"/>
        <v>9.5153051102326983E-4</v>
      </c>
      <c r="O64" s="103">
        <f t="shared" si="20"/>
        <v>9.9466500915249261E-4</v>
      </c>
      <c r="P64" s="103" t="str">
        <f t="shared" si="20"/>
        <v/>
      </c>
      <c r="Q64" s="103" t="str">
        <f t="shared" si="20"/>
        <v/>
      </c>
      <c r="R64" s="103" t="str">
        <f t="shared" si="20"/>
        <v/>
      </c>
      <c r="S64" s="103" t="str">
        <f t="shared" si="20"/>
        <v/>
      </c>
      <c r="T64" s="103" t="str">
        <f t="shared" si="20"/>
        <v/>
      </c>
      <c r="U64" s="103" t="str">
        <f t="shared" si="20"/>
        <v/>
      </c>
      <c r="V64" s="103" t="str">
        <f t="shared" si="20"/>
        <v/>
      </c>
      <c r="W64" s="103" t="str">
        <f t="shared" si="20"/>
        <v/>
      </c>
      <c r="X64" s="103" t="str">
        <f t="shared" si="20"/>
        <v/>
      </c>
      <c r="Y64" s="103" t="str">
        <f t="shared" si="20"/>
        <v/>
      </c>
      <c r="Z64" s="103" t="str">
        <f t="shared" si="20"/>
        <v/>
      </c>
      <c r="AA64" s="103" t="str">
        <f t="shared" si="20"/>
        <v/>
      </c>
      <c r="AB64" s="103" t="str">
        <f t="shared" si="20"/>
        <v/>
      </c>
      <c r="AC64" s="192">
        <f t="shared" si="8"/>
        <v>2.9788236292382412E-3</v>
      </c>
      <c r="AD64" s="189">
        <v>6</v>
      </c>
    </row>
    <row r="65" spans="1:30" ht="18" customHeight="1" outlineLevel="1" x14ac:dyDescent="0.25">
      <c r="A65" s="9" t="str">
        <f t="shared" si="5"/>
        <v>Benzene [g/h]</v>
      </c>
      <c r="B65" s="102"/>
      <c r="C65" s="103">
        <f t="shared" si="6"/>
        <v>0</v>
      </c>
      <c r="D65" s="103">
        <f t="shared" ref="D65:AB65" si="21">IF(SUM(D33:D61)=0, "", (D33*$B33/(D$43*$B$43))*$F$5)</f>
        <v>0</v>
      </c>
      <c r="E65" s="103">
        <f t="shared" si="21"/>
        <v>0</v>
      </c>
      <c r="F65" s="103">
        <f t="shared" si="21"/>
        <v>0</v>
      </c>
      <c r="G65" s="103">
        <f t="shared" si="21"/>
        <v>0</v>
      </c>
      <c r="H65" s="103">
        <f t="shared" si="21"/>
        <v>0</v>
      </c>
      <c r="I65" s="103">
        <f t="shared" si="21"/>
        <v>0</v>
      </c>
      <c r="J65" s="103">
        <f t="shared" si="21"/>
        <v>0</v>
      </c>
      <c r="K65" s="103">
        <f t="shared" si="21"/>
        <v>0</v>
      </c>
      <c r="L65" s="103">
        <f t="shared" si="21"/>
        <v>0</v>
      </c>
      <c r="M65" s="103">
        <f t="shared" si="21"/>
        <v>0</v>
      </c>
      <c r="N65" s="103">
        <f t="shared" si="21"/>
        <v>0</v>
      </c>
      <c r="O65" s="103">
        <f t="shared" si="21"/>
        <v>0</v>
      </c>
      <c r="P65" s="103" t="str">
        <f t="shared" si="21"/>
        <v/>
      </c>
      <c r="Q65" s="103" t="str">
        <f t="shared" si="21"/>
        <v/>
      </c>
      <c r="R65" s="103" t="str">
        <f t="shared" si="21"/>
        <v/>
      </c>
      <c r="S65" s="103" t="str">
        <f t="shared" si="21"/>
        <v/>
      </c>
      <c r="T65" s="103" t="str">
        <f t="shared" si="21"/>
        <v/>
      </c>
      <c r="U65" s="103" t="str">
        <f t="shared" si="21"/>
        <v/>
      </c>
      <c r="V65" s="103" t="str">
        <f t="shared" si="21"/>
        <v/>
      </c>
      <c r="W65" s="103" t="str">
        <f t="shared" si="21"/>
        <v/>
      </c>
      <c r="X65" s="103" t="str">
        <f t="shared" si="21"/>
        <v/>
      </c>
      <c r="Y65" s="103" t="str">
        <f t="shared" si="21"/>
        <v/>
      </c>
      <c r="Z65" s="103" t="str">
        <f t="shared" si="21"/>
        <v/>
      </c>
      <c r="AA65" s="103" t="str">
        <f t="shared" si="21"/>
        <v/>
      </c>
      <c r="AB65" s="103" t="str">
        <f t="shared" si="21"/>
        <v/>
      </c>
      <c r="AC65" s="192">
        <f t="shared" si="8"/>
        <v>0</v>
      </c>
      <c r="AD65" s="189">
        <v>6</v>
      </c>
    </row>
    <row r="66" spans="1:30" ht="18" customHeight="1" outlineLevel="1" x14ac:dyDescent="0.25">
      <c r="A66" s="9" t="str">
        <f t="shared" si="5"/>
        <v>Toluene [g/h]</v>
      </c>
      <c r="B66" s="102"/>
      <c r="C66" s="103">
        <f t="shared" si="6"/>
        <v>0</v>
      </c>
      <c r="D66" s="103">
        <f t="shared" ref="D66:AB66" si="22">IF(SUM(D34:D62)=0, "", (D34*$B34/(D$43*$B$43))*$F$5)</f>
        <v>0</v>
      </c>
      <c r="E66" s="103">
        <f t="shared" si="22"/>
        <v>0</v>
      </c>
      <c r="F66" s="103">
        <f t="shared" si="22"/>
        <v>0</v>
      </c>
      <c r="G66" s="103">
        <f t="shared" si="22"/>
        <v>0</v>
      </c>
      <c r="H66" s="103">
        <f t="shared" si="22"/>
        <v>0</v>
      </c>
      <c r="I66" s="103">
        <f t="shared" si="22"/>
        <v>0</v>
      </c>
      <c r="J66" s="103">
        <f t="shared" si="22"/>
        <v>0</v>
      </c>
      <c r="K66" s="103">
        <f t="shared" si="22"/>
        <v>0</v>
      </c>
      <c r="L66" s="103">
        <f t="shared" si="22"/>
        <v>0</v>
      </c>
      <c r="M66" s="103">
        <f t="shared" si="22"/>
        <v>0</v>
      </c>
      <c r="N66" s="103">
        <f t="shared" si="22"/>
        <v>0</v>
      </c>
      <c r="O66" s="103">
        <f t="shared" si="22"/>
        <v>0</v>
      </c>
      <c r="P66" s="103" t="str">
        <f t="shared" si="22"/>
        <v/>
      </c>
      <c r="Q66" s="103" t="str">
        <f t="shared" si="22"/>
        <v/>
      </c>
      <c r="R66" s="103" t="str">
        <f t="shared" si="22"/>
        <v/>
      </c>
      <c r="S66" s="103" t="str">
        <f t="shared" si="22"/>
        <v/>
      </c>
      <c r="T66" s="103" t="str">
        <f t="shared" si="22"/>
        <v/>
      </c>
      <c r="U66" s="103" t="str">
        <f t="shared" si="22"/>
        <v/>
      </c>
      <c r="V66" s="103" t="str">
        <f t="shared" si="22"/>
        <v/>
      </c>
      <c r="W66" s="103" t="str">
        <f t="shared" si="22"/>
        <v/>
      </c>
      <c r="X66" s="103" t="str">
        <f t="shared" si="22"/>
        <v/>
      </c>
      <c r="Y66" s="103" t="str">
        <f t="shared" si="22"/>
        <v/>
      </c>
      <c r="Z66" s="103" t="str">
        <f t="shared" si="22"/>
        <v/>
      </c>
      <c r="AA66" s="103" t="str">
        <f t="shared" si="22"/>
        <v/>
      </c>
      <c r="AB66" s="103" t="str">
        <f t="shared" si="22"/>
        <v/>
      </c>
      <c r="AC66" s="192">
        <f t="shared" si="8"/>
        <v>0</v>
      </c>
      <c r="AD66" s="189">
        <v>7</v>
      </c>
    </row>
    <row r="67" spans="1:30" ht="18" customHeight="1" outlineLevel="1" x14ac:dyDescent="0.25">
      <c r="A67" s="9" t="str">
        <f t="shared" si="5"/>
        <v>Ethylbenzene [g/h]</v>
      </c>
      <c r="B67" s="102"/>
      <c r="C67" s="103">
        <f t="shared" si="6"/>
        <v>0</v>
      </c>
      <c r="D67" s="103">
        <f t="shared" ref="D67:AB67" si="23">IF(SUM(D35:D63)=0, "", (D35*$B35/(D$43*$B$43))*$F$5)</f>
        <v>0</v>
      </c>
      <c r="E67" s="103">
        <f t="shared" si="23"/>
        <v>0</v>
      </c>
      <c r="F67" s="103">
        <f t="shared" si="23"/>
        <v>0</v>
      </c>
      <c r="G67" s="103">
        <f t="shared" si="23"/>
        <v>0</v>
      </c>
      <c r="H67" s="103">
        <f t="shared" si="23"/>
        <v>0</v>
      </c>
      <c r="I67" s="103">
        <f t="shared" si="23"/>
        <v>0</v>
      </c>
      <c r="J67" s="103">
        <f t="shared" si="23"/>
        <v>0</v>
      </c>
      <c r="K67" s="103">
        <f t="shared" si="23"/>
        <v>0</v>
      </c>
      <c r="L67" s="103">
        <f t="shared" si="23"/>
        <v>0</v>
      </c>
      <c r="M67" s="103">
        <f t="shared" si="23"/>
        <v>0</v>
      </c>
      <c r="N67" s="103">
        <f t="shared" si="23"/>
        <v>0</v>
      </c>
      <c r="O67" s="103">
        <f t="shared" si="23"/>
        <v>0</v>
      </c>
      <c r="P67" s="103" t="str">
        <f t="shared" si="23"/>
        <v/>
      </c>
      <c r="Q67" s="103" t="str">
        <f t="shared" si="23"/>
        <v/>
      </c>
      <c r="R67" s="103" t="str">
        <f t="shared" si="23"/>
        <v/>
      </c>
      <c r="S67" s="103" t="str">
        <f t="shared" si="23"/>
        <v/>
      </c>
      <c r="T67" s="103" t="str">
        <f t="shared" si="23"/>
        <v/>
      </c>
      <c r="U67" s="103" t="str">
        <f t="shared" si="23"/>
        <v/>
      </c>
      <c r="V67" s="103" t="str">
        <f t="shared" si="23"/>
        <v/>
      </c>
      <c r="W67" s="103" t="str">
        <f t="shared" si="23"/>
        <v/>
      </c>
      <c r="X67" s="103" t="str">
        <f t="shared" si="23"/>
        <v/>
      </c>
      <c r="Y67" s="103" t="str">
        <f t="shared" si="23"/>
        <v/>
      </c>
      <c r="Z67" s="103" t="str">
        <f t="shared" si="23"/>
        <v/>
      </c>
      <c r="AA67" s="103" t="str">
        <f t="shared" si="23"/>
        <v/>
      </c>
      <c r="AB67" s="103" t="str">
        <f t="shared" si="23"/>
        <v/>
      </c>
      <c r="AC67" s="192">
        <f t="shared" si="8"/>
        <v>0</v>
      </c>
      <c r="AD67" s="189">
        <v>8</v>
      </c>
    </row>
    <row r="68" spans="1:30" ht="18" customHeight="1" outlineLevel="1" x14ac:dyDescent="0.25">
      <c r="A68" s="9" t="str">
        <f t="shared" si="5"/>
        <v>p-Xylene [g/h]</v>
      </c>
      <c r="B68" s="102"/>
      <c r="C68" s="103">
        <f t="shared" si="6"/>
        <v>0</v>
      </c>
      <c r="D68" s="103">
        <f t="shared" ref="D68:AB68" si="24">IF(SUM(D36:D64)=0, "", (D36*$B36/(D$43*$B$43))*$F$5)</f>
        <v>0</v>
      </c>
      <c r="E68" s="103">
        <f t="shared" si="24"/>
        <v>0</v>
      </c>
      <c r="F68" s="103">
        <f t="shared" si="24"/>
        <v>0</v>
      </c>
      <c r="G68" s="103">
        <f t="shared" si="24"/>
        <v>0</v>
      </c>
      <c r="H68" s="103">
        <f t="shared" si="24"/>
        <v>0</v>
      </c>
      <c r="I68" s="103">
        <f t="shared" si="24"/>
        <v>0</v>
      </c>
      <c r="J68" s="103">
        <f t="shared" si="24"/>
        <v>0</v>
      </c>
      <c r="K68" s="103">
        <f t="shared" si="24"/>
        <v>0</v>
      </c>
      <c r="L68" s="103">
        <f t="shared" si="24"/>
        <v>0</v>
      </c>
      <c r="M68" s="103">
        <f t="shared" si="24"/>
        <v>0</v>
      </c>
      <c r="N68" s="103">
        <f t="shared" si="24"/>
        <v>0</v>
      </c>
      <c r="O68" s="103">
        <f t="shared" si="24"/>
        <v>0</v>
      </c>
      <c r="P68" s="103" t="str">
        <f t="shared" si="24"/>
        <v/>
      </c>
      <c r="Q68" s="103" t="str">
        <f t="shared" si="24"/>
        <v/>
      </c>
      <c r="R68" s="103" t="str">
        <f t="shared" si="24"/>
        <v/>
      </c>
      <c r="S68" s="103" t="str">
        <f t="shared" si="24"/>
        <v/>
      </c>
      <c r="T68" s="103" t="str">
        <f t="shared" si="24"/>
        <v/>
      </c>
      <c r="U68" s="103" t="str">
        <f t="shared" si="24"/>
        <v/>
      </c>
      <c r="V68" s="103" t="str">
        <f t="shared" si="24"/>
        <v/>
      </c>
      <c r="W68" s="103" t="str">
        <f t="shared" si="24"/>
        <v/>
      </c>
      <c r="X68" s="103" t="str">
        <f t="shared" si="24"/>
        <v/>
      </c>
      <c r="Y68" s="103" t="str">
        <f t="shared" si="24"/>
        <v/>
      </c>
      <c r="Z68" s="103" t="str">
        <f t="shared" si="24"/>
        <v/>
      </c>
      <c r="AA68" s="103" t="str">
        <f t="shared" si="24"/>
        <v/>
      </c>
      <c r="AB68" s="103" t="str">
        <f t="shared" si="24"/>
        <v/>
      </c>
      <c r="AC68" s="192">
        <f t="shared" si="8"/>
        <v>0</v>
      </c>
      <c r="AD68" s="189">
        <v>8</v>
      </c>
    </row>
    <row r="69" spans="1:30" ht="18" customHeight="1" outlineLevel="1" x14ac:dyDescent="0.25">
      <c r="A69" s="9" t="str">
        <f t="shared" si="5"/>
        <v>m-Xylene [g/h]</v>
      </c>
      <c r="B69" s="102"/>
      <c r="C69" s="103">
        <f t="shared" si="6"/>
        <v>3.638008781043554E-4</v>
      </c>
      <c r="D69" s="103">
        <f t="shared" ref="D69:AB69" si="25">IF(SUM(D37:D65)=0, "", (D37*$B37/(D$43*$B$43))*$F$5)</f>
        <v>4.139905044835465E-4</v>
      </c>
      <c r="E69" s="103">
        <f t="shared" si="25"/>
        <v>6.65383514378623E-4</v>
      </c>
      <c r="F69" s="103">
        <f t="shared" si="25"/>
        <v>2.8749657121533245E-4</v>
      </c>
      <c r="G69" s="103">
        <f t="shared" si="25"/>
        <v>2.3916577597034758E-4</v>
      </c>
      <c r="H69" s="103">
        <f t="shared" si="25"/>
        <v>5.8342106992810116E-4</v>
      </c>
      <c r="I69" s="103">
        <f t="shared" si="25"/>
        <v>1.1026875871827911E-3</v>
      </c>
      <c r="J69" s="103">
        <f t="shared" si="25"/>
        <v>5.6556727104584267E-4</v>
      </c>
      <c r="K69" s="103">
        <f t="shared" si="25"/>
        <v>1.0802266903487804E-4</v>
      </c>
      <c r="L69" s="103">
        <f t="shared" si="25"/>
        <v>9.999103906327254E-5</v>
      </c>
      <c r="M69" s="103">
        <f t="shared" si="25"/>
        <v>9.5378638295983553E-5</v>
      </c>
      <c r="N69" s="103">
        <f t="shared" si="25"/>
        <v>1.0068252918885526E-4</v>
      </c>
      <c r="O69" s="103">
        <f t="shared" si="25"/>
        <v>1.0382336746468982E-4</v>
      </c>
      <c r="P69" s="103" t="str">
        <f t="shared" si="25"/>
        <v/>
      </c>
      <c r="Q69" s="103" t="str">
        <f t="shared" si="25"/>
        <v/>
      </c>
      <c r="R69" s="103" t="str">
        <f t="shared" si="25"/>
        <v/>
      </c>
      <c r="S69" s="103" t="str">
        <f t="shared" si="25"/>
        <v/>
      </c>
      <c r="T69" s="103" t="str">
        <f t="shared" si="25"/>
        <v/>
      </c>
      <c r="U69" s="103" t="str">
        <f t="shared" si="25"/>
        <v/>
      </c>
      <c r="V69" s="103" t="str">
        <f t="shared" si="25"/>
        <v/>
      </c>
      <c r="W69" s="103" t="str">
        <f t="shared" si="25"/>
        <v/>
      </c>
      <c r="X69" s="103" t="str">
        <f t="shared" si="25"/>
        <v/>
      </c>
      <c r="Y69" s="103" t="str">
        <f t="shared" si="25"/>
        <v/>
      </c>
      <c r="Z69" s="103" t="str">
        <f t="shared" si="25"/>
        <v/>
      </c>
      <c r="AA69" s="103" t="str">
        <f t="shared" si="25"/>
        <v/>
      </c>
      <c r="AB69" s="103" t="str">
        <f t="shared" si="25"/>
        <v/>
      </c>
      <c r="AC69" s="192">
        <f t="shared" si="8"/>
        <v>3.2926331887772375E-4</v>
      </c>
      <c r="AD69" s="189">
        <v>8</v>
      </c>
    </row>
    <row r="70" spans="1:30" ht="18" customHeight="1" outlineLevel="1" x14ac:dyDescent="0.25">
      <c r="A70" s="9" t="str">
        <f t="shared" si="5"/>
        <v>o-Xylene [g/h]</v>
      </c>
      <c r="B70" s="102"/>
      <c r="C70" s="103">
        <f t="shared" si="6"/>
        <v>0</v>
      </c>
      <c r="D70" s="103">
        <f t="shared" ref="D70:AB70" si="26">IF(SUM(D38:D66)=0, "", (D38*$B38/(D$43*$B$43))*$F$5)</f>
        <v>0</v>
      </c>
      <c r="E70" s="103">
        <f t="shared" si="26"/>
        <v>0</v>
      </c>
      <c r="F70" s="103">
        <f t="shared" si="26"/>
        <v>0</v>
      </c>
      <c r="G70" s="103">
        <f t="shared" si="26"/>
        <v>0</v>
      </c>
      <c r="H70" s="103">
        <f t="shared" si="26"/>
        <v>0</v>
      </c>
      <c r="I70" s="103">
        <f t="shared" si="26"/>
        <v>0</v>
      </c>
      <c r="J70" s="103">
        <f t="shared" si="26"/>
        <v>0</v>
      </c>
      <c r="K70" s="103">
        <f t="shared" si="26"/>
        <v>0</v>
      </c>
      <c r="L70" s="103">
        <f t="shared" si="26"/>
        <v>0</v>
      </c>
      <c r="M70" s="103">
        <f t="shared" si="26"/>
        <v>0</v>
      </c>
      <c r="N70" s="103">
        <f t="shared" si="26"/>
        <v>0</v>
      </c>
      <c r="O70" s="103">
        <f t="shared" si="26"/>
        <v>0</v>
      </c>
      <c r="P70" s="103" t="str">
        <f t="shared" si="26"/>
        <v/>
      </c>
      <c r="Q70" s="103" t="str">
        <f t="shared" si="26"/>
        <v/>
      </c>
      <c r="R70" s="103" t="str">
        <f t="shared" si="26"/>
        <v/>
      </c>
      <c r="S70" s="103" t="str">
        <f t="shared" si="26"/>
        <v/>
      </c>
      <c r="T70" s="103" t="str">
        <f t="shared" si="26"/>
        <v/>
      </c>
      <c r="U70" s="103" t="str">
        <f t="shared" si="26"/>
        <v/>
      </c>
      <c r="V70" s="103" t="str">
        <f t="shared" si="26"/>
        <v/>
      </c>
      <c r="W70" s="103" t="str">
        <f t="shared" si="26"/>
        <v/>
      </c>
      <c r="X70" s="103" t="str">
        <f t="shared" si="26"/>
        <v/>
      </c>
      <c r="Y70" s="103" t="str">
        <f t="shared" si="26"/>
        <v/>
      </c>
      <c r="Z70" s="103" t="str">
        <f t="shared" si="26"/>
        <v/>
      </c>
      <c r="AA70" s="103" t="str">
        <f t="shared" si="26"/>
        <v/>
      </c>
      <c r="AB70" s="103" t="str">
        <f t="shared" si="26"/>
        <v/>
      </c>
      <c r="AC70" s="192">
        <f t="shared" si="8"/>
        <v>0</v>
      </c>
      <c r="AD70" s="189">
        <v>8</v>
      </c>
    </row>
    <row r="71" spans="1:30" ht="18" customHeight="1" outlineLevel="1" x14ac:dyDescent="0.25">
      <c r="A71" s="9" t="str">
        <f t="shared" si="5"/>
        <v>C6 Unknowns [g/h]</v>
      </c>
      <c r="B71" s="102"/>
      <c r="C71" s="103">
        <f t="shared" si="6"/>
        <v>5.4802333905173096E-3</v>
      </c>
      <c r="D71" s="103">
        <f t="shared" ref="D71:AB71" si="27">IF(SUM(D39:D67)=0, "", (D39*$B39/(D$43*$B$43))*$F$5)</f>
        <v>4.6272038238601355E-4</v>
      </c>
      <c r="E71" s="103">
        <f t="shared" si="27"/>
        <v>1.2055149226237183E-3</v>
      </c>
      <c r="F71" s="103">
        <f t="shared" si="27"/>
        <v>1.9414529931479673E-3</v>
      </c>
      <c r="G71" s="103">
        <f t="shared" si="27"/>
        <v>1.9848770686746076E-3</v>
      </c>
      <c r="H71" s="103">
        <f t="shared" si="27"/>
        <v>5.3050238293152294E-2</v>
      </c>
      <c r="I71" s="103">
        <f t="shared" si="27"/>
        <v>2.5701590719345024E-3</v>
      </c>
      <c r="J71" s="103">
        <f t="shared" si="27"/>
        <v>1.2199463675669918E-3</v>
      </c>
      <c r="K71" s="103">
        <f t="shared" si="27"/>
        <v>9.2975154048772384E-4</v>
      </c>
      <c r="L71" s="103">
        <f t="shared" si="27"/>
        <v>5.9007287091498984E-4</v>
      </c>
      <c r="M71" s="103">
        <f t="shared" si="27"/>
        <v>5.7301968231105566E-4</v>
      </c>
      <c r="N71" s="103">
        <f t="shared" si="27"/>
        <v>6.1467724324271048E-4</v>
      </c>
      <c r="O71" s="103">
        <f t="shared" si="27"/>
        <v>6.2037024976513097E-4</v>
      </c>
      <c r="P71" s="103" t="str">
        <f t="shared" si="27"/>
        <v/>
      </c>
      <c r="Q71" s="103" t="str">
        <f t="shared" si="27"/>
        <v/>
      </c>
      <c r="R71" s="103" t="str">
        <f t="shared" si="27"/>
        <v/>
      </c>
      <c r="S71" s="103" t="str">
        <f t="shared" si="27"/>
        <v/>
      </c>
      <c r="T71" s="103" t="str">
        <f t="shared" si="27"/>
        <v/>
      </c>
      <c r="U71" s="103" t="str">
        <f t="shared" si="27"/>
        <v/>
      </c>
      <c r="V71" s="103" t="str">
        <f t="shared" si="27"/>
        <v/>
      </c>
      <c r="W71" s="103" t="str">
        <f t="shared" si="27"/>
        <v/>
      </c>
      <c r="X71" s="103" t="str">
        <f t="shared" si="27"/>
        <v/>
      </c>
      <c r="Y71" s="103" t="str">
        <f t="shared" si="27"/>
        <v/>
      </c>
      <c r="Z71" s="103" t="str">
        <f t="shared" si="27"/>
        <v/>
      </c>
      <c r="AA71" s="103" t="str">
        <f t="shared" si="27"/>
        <v/>
      </c>
      <c r="AB71" s="103" t="str">
        <f t="shared" si="27"/>
        <v/>
      </c>
      <c r="AC71" s="192">
        <f t="shared" si="8"/>
        <v>4.5827164019612487E-3</v>
      </c>
      <c r="AD71" s="189">
        <v>6</v>
      </c>
    </row>
    <row r="72" spans="1:30" ht="18" customHeight="1" outlineLevel="1" x14ac:dyDescent="0.25">
      <c r="A72" s="9" t="str">
        <f t="shared" si="5"/>
        <v>C8 Unknowns [g/h]</v>
      </c>
      <c r="B72" s="102"/>
      <c r="C72" s="103">
        <f t="shared" si="6"/>
        <v>2.0439265211266006E-5</v>
      </c>
      <c r="D72" s="103">
        <f t="shared" ref="D72:AB72" si="28">IF(SUM(D40:D68)=0, "", (D40*$B40/(D$43*$B$43))*$F$5)</f>
        <v>2.4527118253519207E-4</v>
      </c>
      <c r="E72" s="103">
        <f t="shared" si="28"/>
        <v>0</v>
      </c>
      <c r="F72" s="103">
        <f t="shared" si="28"/>
        <v>0</v>
      </c>
      <c r="G72" s="103">
        <f t="shared" si="28"/>
        <v>0</v>
      </c>
      <c r="H72" s="103">
        <f t="shared" si="28"/>
        <v>0</v>
      </c>
      <c r="I72" s="103">
        <f t="shared" si="28"/>
        <v>0</v>
      </c>
      <c r="J72" s="103">
        <f t="shared" si="28"/>
        <v>0</v>
      </c>
      <c r="K72" s="103">
        <f t="shared" si="28"/>
        <v>0</v>
      </c>
      <c r="L72" s="103">
        <f t="shared" si="28"/>
        <v>0</v>
      </c>
      <c r="M72" s="103">
        <f t="shared" si="28"/>
        <v>0</v>
      </c>
      <c r="N72" s="103">
        <f t="shared" si="28"/>
        <v>0</v>
      </c>
      <c r="O72" s="103">
        <f t="shared" si="28"/>
        <v>0</v>
      </c>
      <c r="P72" s="103" t="str">
        <f t="shared" si="28"/>
        <v/>
      </c>
      <c r="Q72" s="103" t="str">
        <f t="shared" si="28"/>
        <v/>
      </c>
      <c r="R72" s="103" t="str">
        <f t="shared" si="28"/>
        <v/>
      </c>
      <c r="S72" s="103" t="str">
        <f t="shared" si="28"/>
        <v/>
      </c>
      <c r="T72" s="103" t="str">
        <f t="shared" si="28"/>
        <v/>
      </c>
      <c r="U72" s="103" t="str">
        <f t="shared" si="28"/>
        <v/>
      </c>
      <c r="V72" s="103" t="str">
        <f t="shared" si="28"/>
        <v/>
      </c>
      <c r="W72" s="103" t="str">
        <f t="shared" si="28"/>
        <v/>
      </c>
      <c r="X72" s="103" t="str">
        <f t="shared" si="28"/>
        <v/>
      </c>
      <c r="Y72" s="103" t="str">
        <f t="shared" si="28"/>
        <v/>
      </c>
      <c r="Z72" s="103" t="str">
        <f t="shared" si="28"/>
        <v/>
      </c>
      <c r="AA72" s="103" t="str">
        <f t="shared" si="28"/>
        <v/>
      </c>
      <c r="AB72" s="103" t="str">
        <f t="shared" si="28"/>
        <v/>
      </c>
      <c r="AC72" s="192">
        <f t="shared" si="8"/>
        <v>1.719310264921761E-5</v>
      </c>
      <c r="AD72" s="189">
        <v>8</v>
      </c>
    </row>
    <row r="73" spans="1:30" ht="18" customHeight="1" outlineLevel="1" x14ac:dyDescent="0.25">
      <c r="A73" s="9" t="str">
        <f t="shared" si="5"/>
        <v>C7 Unknowns [g/h]</v>
      </c>
      <c r="B73" s="102"/>
      <c r="C73" s="103">
        <f t="shared" si="6"/>
        <v>0</v>
      </c>
      <c r="D73" s="103">
        <f t="shared" ref="D73:AB73" si="29">IF(SUM(D41:D69)=0, "", (D41*$B41/(D$43*$B$43))*$F$5)</f>
        <v>0</v>
      </c>
      <c r="E73" s="103">
        <f t="shared" si="29"/>
        <v>0</v>
      </c>
      <c r="F73" s="103">
        <f t="shared" si="29"/>
        <v>0</v>
      </c>
      <c r="G73" s="103">
        <f t="shared" si="29"/>
        <v>0</v>
      </c>
      <c r="H73" s="103">
        <f t="shared" si="29"/>
        <v>0</v>
      </c>
      <c r="I73" s="103">
        <f t="shared" si="29"/>
        <v>0</v>
      </c>
      <c r="J73" s="103">
        <f t="shared" si="29"/>
        <v>0</v>
      </c>
      <c r="K73" s="103">
        <f t="shared" si="29"/>
        <v>0</v>
      </c>
      <c r="L73" s="103">
        <f t="shared" si="29"/>
        <v>0</v>
      </c>
      <c r="M73" s="103">
        <f t="shared" si="29"/>
        <v>0</v>
      </c>
      <c r="N73" s="103">
        <f t="shared" si="29"/>
        <v>0</v>
      </c>
      <c r="O73" s="103">
        <f t="shared" si="29"/>
        <v>0</v>
      </c>
      <c r="P73" s="103" t="str">
        <f t="shared" si="29"/>
        <v/>
      </c>
      <c r="Q73" s="103" t="str">
        <f t="shared" si="29"/>
        <v/>
      </c>
      <c r="R73" s="103" t="str">
        <f t="shared" si="29"/>
        <v/>
      </c>
      <c r="S73" s="103" t="str">
        <f t="shared" si="29"/>
        <v/>
      </c>
      <c r="T73" s="103" t="str">
        <f t="shared" si="29"/>
        <v/>
      </c>
      <c r="U73" s="103" t="str">
        <f t="shared" si="29"/>
        <v/>
      </c>
      <c r="V73" s="103" t="str">
        <f t="shared" si="29"/>
        <v/>
      </c>
      <c r="W73" s="103" t="str">
        <f t="shared" si="29"/>
        <v/>
      </c>
      <c r="X73" s="103" t="str">
        <f t="shared" si="29"/>
        <v/>
      </c>
      <c r="Y73" s="103" t="str">
        <f t="shared" si="29"/>
        <v/>
      </c>
      <c r="Z73" s="103" t="str">
        <f t="shared" si="29"/>
        <v/>
      </c>
      <c r="AA73" s="103" t="str">
        <f t="shared" si="29"/>
        <v/>
      </c>
      <c r="AB73" s="103" t="str">
        <f t="shared" si="29"/>
        <v/>
      </c>
      <c r="AC73" s="192">
        <f t="shared" si="8"/>
        <v>0</v>
      </c>
      <c r="AD73" s="189">
        <v>7</v>
      </c>
    </row>
    <row r="74" spans="1:30" ht="18" customHeight="1" outlineLevel="1" x14ac:dyDescent="0.25">
      <c r="A74" s="9" t="str">
        <f t="shared" si="5"/>
        <v>CO2 [g/h]</v>
      </c>
      <c r="B74" s="102"/>
      <c r="C74" s="103">
        <f t="shared" si="6"/>
        <v>0</v>
      </c>
      <c r="D74" s="103">
        <f t="shared" ref="D74:AB74" si="30">IF(SUM(D42:D70)=0, "", (D42*$B42/(D$43*$B$43))*$F$5)</f>
        <v>0</v>
      </c>
      <c r="E74" s="103">
        <f t="shared" si="30"/>
        <v>0</v>
      </c>
      <c r="F74" s="103">
        <f t="shared" si="30"/>
        <v>0</v>
      </c>
      <c r="G74" s="103">
        <f t="shared" si="30"/>
        <v>0</v>
      </c>
      <c r="H74" s="103">
        <f t="shared" si="30"/>
        <v>0</v>
      </c>
      <c r="I74" s="103">
        <f t="shared" si="30"/>
        <v>0</v>
      </c>
      <c r="J74" s="103">
        <f t="shared" si="30"/>
        <v>0</v>
      </c>
      <c r="K74" s="103">
        <f t="shared" si="30"/>
        <v>0</v>
      </c>
      <c r="L74" s="103">
        <f t="shared" si="30"/>
        <v>0</v>
      </c>
      <c r="M74" s="103">
        <f t="shared" si="30"/>
        <v>0</v>
      </c>
      <c r="N74" s="103">
        <f t="shared" si="30"/>
        <v>0</v>
      </c>
      <c r="O74" s="103">
        <f t="shared" si="30"/>
        <v>0</v>
      </c>
      <c r="P74" s="103" t="str">
        <f t="shared" si="30"/>
        <v/>
      </c>
      <c r="Q74" s="103" t="str">
        <f t="shared" si="30"/>
        <v/>
      </c>
      <c r="R74" s="103" t="str">
        <f t="shared" si="30"/>
        <v/>
      </c>
      <c r="S74" s="103" t="str">
        <f t="shared" si="30"/>
        <v/>
      </c>
      <c r="T74" s="103" t="str">
        <f t="shared" si="30"/>
        <v/>
      </c>
      <c r="U74" s="103" t="str">
        <f t="shared" si="30"/>
        <v/>
      </c>
      <c r="V74" s="103" t="str">
        <f t="shared" si="30"/>
        <v/>
      </c>
      <c r="W74" s="103" t="str">
        <f t="shared" si="30"/>
        <v/>
      </c>
      <c r="X74" s="103" t="str">
        <f t="shared" si="30"/>
        <v/>
      </c>
      <c r="Y74" s="103" t="str">
        <f t="shared" si="30"/>
        <v/>
      </c>
      <c r="Z74" s="103" t="str">
        <f t="shared" si="30"/>
        <v/>
      </c>
      <c r="AA74" s="103" t="str">
        <f t="shared" si="30"/>
        <v/>
      </c>
      <c r="AB74" s="103" t="str">
        <f t="shared" si="30"/>
        <v/>
      </c>
      <c r="AC74" s="192">
        <f t="shared" si="8"/>
        <v>0</v>
      </c>
      <c r="AD74" s="189">
        <v>1</v>
      </c>
    </row>
    <row r="75" spans="1:30" ht="18" customHeight="1" outlineLevel="1" x14ac:dyDescent="0.25">
      <c r="A75" s="9" t="str">
        <f t="shared" si="5"/>
        <v>Argon [g/h]</v>
      </c>
      <c r="B75" s="102"/>
      <c r="C75" s="103">
        <f t="shared" si="6"/>
        <v>0.22890922011282691</v>
      </c>
      <c r="D75" s="103">
        <f t="shared" ref="D75:AB75" si="31">IF(SUM(D43:D71)=0, "", (D43*$B43/(D$43*$B$43))*$F$5)</f>
        <v>0.22890922011282697</v>
      </c>
      <c r="E75" s="103">
        <f t="shared" si="31"/>
        <v>0.22890922011282697</v>
      </c>
      <c r="F75" s="103">
        <f t="shared" si="31"/>
        <v>0.22890922011282697</v>
      </c>
      <c r="G75" s="103">
        <f t="shared" si="31"/>
        <v>0.22890922011282697</v>
      </c>
      <c r="H75" s="103">
        <f t="shared" si="31"/>
        <v>0.22890922011282697</v>
      </c>
      <c r="I75" s="103">
        <f t="shared" si="31"/>
        <v>0.22890922011282697</v>
      </c>
      <c r="J75" s="103">
        <f t="shared" si="31"/>
        <v>0.22890922011282697</v>
      </c>
      <c r="K75" s="103">
        <f t="shared" si="31"/>
        <v>0.22890922011282697</v>
      </c>
      <c r="L75" s="103">
        <f t="shared" si="31"/>
        <v>0.22890922011282697</v>
      </c>
      <c r="M75" s="103">
        <f t="shared" si="31"/>
        <v>0.22890922011282697</v>
      </c>
      <c r="N75" s="103">
        <f t="shared" si="31"/>
        <v>0.22890922011282697</v>
      </c>
      <c r="O75" s="103">
        <f t="shared" si="31"/>
        <v>0.22890922011282697</v>
      </c>
      <c r="P75" s="103" t="str">
        <f t="shared" si="31"/>
        <v/>
      </c>
      <c r="Q75" s="103" t="str">
        <f t="shared" si="31"/>
        <v/>
      </c>
      <c r="R75" s="103" t="str">
        <f t="shared" si="31"/>
        <v/>
      </c>
      <c r="S75" s="103" t="str">
        <f t="shared" si="31"/>
        <v/>
      </c>
      <c r="T75" s="103" t="str">
        <f t="shared" si="31"/>
        <v/>
      </c>
      <c r="U75" s="103" t="str">
        <f t="shared" si="31"/>
        <v/>
      </c>
      <c r="V75" s="103" t="str">
        <f t="shared" si="31"/>
        <v/>
      </c>
      <c r="W75" s="103" t="str">
        <f t="shared" si="31"/>
        <v/>
      </c>
      <c r="X75" s="103" t="str">
        <f t="shared" si="31"/>
        <v/>
      </c>
      <c r="Y75" s="103" t="str">
        <f t="shared" si="31"/>
        <v/>
      </c>
      <c r="Z75" s="103" t="str">
        <f t="shared" si="31"/>
        <v/>
      </c>
      <c r="AA75" s="103" t="str">
        <f t="shared" si="31"/>
        <v/>
      </c>
      <c r="AB75" s="103" t="str">
        <f t="shared" si="31"/>
        <v/>
      </c>
      <c r="AC75" s="192">
        <f t="shared" si="8"/>
        <v>0</v>
      </c>
      <c r="AD75" s="189">
        <v>0</v>
      </c>
    </row>
    <row r="76" spans="1:30" ht="18" customHeight="1" outlineLevel="1" x14ac:dyDescent="0.25">
      <c r="A76" s="9" t="str">
        <f t="shared" si="5"/>
        <v>CO [g/h]</v>
      </c>
      <c r="B76" s="102"/>
      <c r="C76" s="103">
        <f t="shared" si="6"/>
        <v>0</v>
      </c>
      <c r="D76" s="103">
        <f t="shared" ref="D76:AB76" si="32">IF(SUM(D44:D72)=0, "", (D44*$B44/(D$43*$B$43))*$F$5)</f>
        <v>0</v>
      </c>
      <c r="E76" s="103">
        <f t="shared" si="32"/>
        <v>0</v>
      </c>
      <c r="F76" s="103">
        <f t="shared" si="32"/>
        <v>0</v>
      </c>
      <c r="G76" s="103">
        <f t="shared" si="32"/>
        <v>0</v>
      </c>
      <c r="H76" s="103">
        <f t="shared" si="32"/>
        <v>0</v>
      </c>
      <c r="I76" s="103">
        <f t="shared" si="32"/>
        <v>0</v>
      </c>
      <c r="J76" s="103">
        <f t="shared" si="32"/>
        <v>0</v>
      </c>
      <c r="K76" s="103">
        <f t="shared" si="32"/>
        <v>0</v>
      </c>
      <c r="L76" s="103">
        <f t="shared" si="32"/>
        <v>0</v>
      </c>
      <c r="M76" s="103">
        <f t="shared" si="32"/>
        <v>0</v>
      </c>
      <c r="N76" s="103">
        <f t="shared" si="32"/>
        <v>0</v>
      </c>
      <c r="O76" s="103">
        <f t="shared" si="32"/>
        <v>0</v>
      </c>
      <c r="P76" s="103" t="str">
        <f t="shared" si="32"/>
        <v/>
      </c>
      <c r="Q76" s="103" t="str">
        <f t="shared" si="32"/>
        <v/>
      </c>
      <c r="R76" s="103" t="str">
        <f t="shared" si="32"/>
        <v/>
      </c>
      <c r="S76" s="103" t="str">
        <f t="shared" si="32"/>
        <v/>
      </c>
      <c r="T76" s="103" t="str">
        <f t="shared" si="32"/>
        <v/>
      </c>
      <c r="U76" s="103" t="str">
        <f t="shared" si="32"/>
        <v/>
      </c>
      <c r="V76" s="103" t="str">
        <f t="shared" si="32"/>
        <v/>
      </c>
      <c r="W76" s="103" t="str">
        <f t="shared" si="32"/>
        <v/>
      </c>
      <c r="X76" s="103" t="str">
        <f t="shared" si="32"/>
        <v/>
      </c>
      <c r="Y76" s="103" t="str">
        <f t="shared" si="32"/>
        <v/>
      </c>
      <c r="Z76" s="103" t="str">
        <f t="shared" si="32"/>
        <v/>
      </c>
      <c r="AA76" s="103" t="str">
        <f t="shared" si="32"/>
        <v/>
      </c>
      <c r="AB76" s="103" t="str">
        <f t="shared" si="32"/>
        <v/>
      </c>
      <c r="AC76" s="192">
        <f t="shared" si="8"/>
        <v>0</v>
      </c>
      <c r="AD76" s="189">
        <v>1</v>
      </c>
    </row>
    <row r="77" spans="1:30" ht="18" customHeight="1" outlineLevel="1" x14ac:dyDescent="0.25">
      <c r="A77" s="9" t="str">
        <f t="shared" si="5"/>
        <v>H2 [g/h]</v>
      </c>
      <c r="B77" s="102"/>
      <c r="C77" s="103">
        <f t="shared" si="6"/>
        <v>5.7281719970178592E-2</v>
      </c>
      <c r="D77" s="103">
        <f t="shared" ref="D77:AB77" si="33">IF(SUM(D45:D73)=0, "", (D45*$B45/(D$43*$B$43))*$F$5)</f>
        <v>5.6795200353752795E-2</v>
      </c>
      <c r="E77" s="103">
        <f t="shared" si="33"/>
        <v>5.8075282692506079E-2</v>
      </c>
      <c r="F77" s="103">
        <f t="shared" si="33"/>
        <v>5.818728096553822E-2</v>
      </c>
      <c r="G77" s="103">
        <f t="shared" si="33"/>
        <v>5.8304015091450695E-2</v>
      </c>
      <c r="H77" s="103">
        <f t="shared" si="33"/>
        <v>4.8100402308178435E-2</v>
      </c>
      <c r="I77" s="103">
        <f t="shared" si="33"/>
        <v>5.8558208341162925E-2</v>
      </c>
      <c r="J77" s="103">
        <f t="shared" si="33"/>
        <v>5.8566738807807044E-2</v>
      </c>
      <c r="K77" s="103">
        <f t="shared" si="33"/>
        <v>5.8341728058393931E-2</v>
      </c>
      <c r="L77" s="103">
        <f t="shared" si="33"/>
        <v>5.8164769622558975E-2</v>
      </c>
      <c r="M77" s="103">
        <f t="shared" si="33"/>
        <v>5.8194535572719683E-2</v>
      </c>
      <c r="N77" s="103">
        <f t="shared" si="33"/>
        <v>5.7998476084723284E-2</v>
      </c>
      <c r="O77" s="103">
        <f t="shared" si="33"/>
        <v>5.8094001743351033E-2</v>
      </c>
      <c r="P77" s="103" t="str">
        <f t="shared" si="33"/>
        <v/>
      </c>
      <c r="Q77" s="103" t="str">
        <f t="shared" si="33"/>
        <v/>
      </c>
      <c r="R77" s="103" t="str">
        <f t="shared" si="33"/>
        <v/>
      </c>
      <c r="S77" s="103" t="str">
        <f t="shared" si="33"/>
        <v/>
      </c>
      <c r="T77" s="103" t="str">
        <f t="shared" si="33"/>
        <v/>
      </c>
      <c r="U77" s="103" t="str">
        <f t="shared" si="33"/>
        <v/>
      </c>
      <c r="V77" s="103" t="str">
        <f t="shared" si="33"/>
        <v/>
      </c>
      <c r="W77" s="103" t="str">
        <f t="shared" si="33"/>
        <v/>
      </c>
      <c r="X77" s="103" t="str">
        <f t="shared" si="33"/>
        <v/>
      </c>
      <c r="Y77" s="103" t="str">
        <f t="shared" si="33"/>
        <v/>
      </c>
      <c r="Z77" s="103" t="str">
        <f t="shared" si="33"/>
        <v/>
      </c>
      <c r="AA77" s="103" t="str">
        <f t="shared" si="33"/>
        <v/>
      </c>
      <c r="AB77" s="103" t="str">
        <f t="shared" si="33"/>
        <v/>
      </c>
      <c r="AC77" s="192">
        <f t="shared" si="8"/>
        <v>0</v>
      </c>
      <c r="AD77" s="189">
        <v>0</v>
      </c>
    </row>
    <row r="78" spans="1:30" ht="18" customHeight="1" outlineLevel="1" x14ac:dyDescent="0.25">
      <c r="A78" s="9" t="str">
        <f t="shared" si="5"/>
        <v>Acetylene [g/h]</v>
      </c>
      <c r="B78" s="102"/>
      <c r="C78" s="103">
        <f t="shared" si="6"/>
        <v>0.27624976189313838</v>
      </c>
      <c r="D78" s="103">
        <f t="shared" ref="D78:AB78" si="34">IF(SUM(D46:D74)=0, "", (D46*$B46/(D$43*$B$43))*$F$5)</f>
        <v>0.28465906830384585</v>
      </c>
      <c r="E78" s="103">
        <f t="shared" si="34"/>
        <v>0.28953322342387433</v>
      </c>
      <c r="F78" s="103">
        <f t="shared" si="34"/>
        <v>0.2891215571057355</v>
      </c>
      <c r="G78" s="103">
        <f t="shared" si="34"/>
        <v>0.2948721768401954</v>
      </c>
      <c r="H78" s="103">
        <f t="shared" si="34"/>
        <v>0.18429721317828243</v>
      </c>
      <c r="I78" s="103">
        <f t="shared" si="34"/>
        <v>0.29355905672196081</v>
      </c>
      <c r="J78" s="103">
        <f t="shared" si="34"/>
        <v>0.29575434788827182</v>
      </c>
      <c r="K78" s="103">
        <f t="shared" si="34"/>
        <v>0.28537877878177081</v>
      </c>
      <c r="L78" s="103">
        <f t="shared" si="34"/>
        <v>0.27541406769369936</v>
      </c>
      <c r="M78" s="103">
        <f t="shared" si="34"/>
        <v>0.27418038736927897</v>
      </c>
      <c r="N78" s="103">
        <f t="shared" si="34"/>
        <v>0.27351288425748138</v>
      </c>
      <c r="O78" s="103">
        <f t="shared" si="34"/>
        <v>0.27471438115326363</v>
      </c>
      <c r="P78" s="103" t="str">
        <f t="shared" si="34"/>
        <v/>
      </c>
      <c r="Q78" s="103" t="str">
        <f t="shared" si="34"/>
        <v/>
      </c>
      <c r="R78" s="103" t="str">
        <f t="shared" si="34"/>
        <v/>
      </c>
      <c r="S78" s="103" t="str">
        <f t="shared" si="34"/>
        <v/>
      </c>
      <c r="T78" s="103" t="str">
        <f t="shared" si="34"/>
        <v/>
      </c>
      <c r="U78" s="103" t="str">
        <f t="shared" si="34"/>
        <v/>
      </c>
      <c r="V78" s="103" t="str">
        <f t="shared" si="34"/>
        <v/>
      </c>
      <c r="W78" s="103" t="str">
        <f t="shared" si="34"/>
        <v/>
      </c>
      <c r="X78" s="103" t="str">
        <f t="shared" si="34"/>
        <v/>
      </c>
      <c r="Y78" s="103" t="str">
        <f t="shared" si="34"/>
        <v/>
      </c>
      <c r="Z78" s="103" t="str">
        <f t="shared" si="34"/>
        <v/>
      </c>
      <c r="AA78" s="103" t="str">
        <f t="shared" si="34"/>
        <v/>
      </c>
      <c r="AB78" s="103" t="str">
        <f t="shared" si="34"/>
        <v/>
      </c>
      <c r="AC78" s="192">
        <f t="shared" si="8"/>
        <v>0.25484146621340131</v>
      </c>
      <c r="AD78" s="189">
        <v>2</v>
      </c>
    </row>
    <row r="79" spans="1:30" ht="18" customHeight="1" outlineLevel="1" x14ac:dyDescent="0.25">
      <c r="A79" s="9" t="str">
        <f t="shared" si="5"/>
        <v>Isobutane [g/h]</v>
      </c>
      <c r="B79" s="102"/>
      <c r="C79" s="103">
        <f t="shared" si="6"/>
        <v>0</v>
      </c>
      <c r="D79" s="103">
        <f t="shared" ref="D79:AB79" si="35">IF(SUM(D47:D75)=0, "", (D47*$B47/(D$43*$B$43))*$F$5)</f>
        <v>0</v>
      </c>
      <c r="E79" s="103">
        <f t="shared" si="35"/>
        <v>0</v>
      </c>
      <c r="F79" s="103">
        <f t="shared" si="35"/>
        <v>0</v>
      </c>
      <c r="G79" s="103">
        <f t="shared" si="35"/>
        <v>0</v>
      </c>
      <c r="H79" s="103">
        <f t="shared" si="35"/>
        <v>0</v>
      </c>
      <c r="I79" s="103">
        <f t="shared" si="35"/>
        <v>0</v>
      </c>
      <c r="J79" s="103">
        <f t="shared" si="35"/>
        <v>0</v>
      </c>
      <c r="K79" s="103">
        <f t="shared" si="35"/>
        <v>0</v>
      </c>
      <c r="L79" s="103">
        <f t="shared" si="35"/>
        <v>0</v>
      </c>
      <c r="M79" s="103">
        <f t="shared" si="35"/>
        <v>0</v>
      </c>
      <c r="N79" s="103">
        <f t="shared" si="35"/>
        <v>0</v>
      </c>
      <c r="O79" s="103">
        <f t="shared" si="35"/>
        <v>0</v>
      </c>
      <c r="P79" s="103" t="str">
        <f t="shared" si="35"/>
        <v/>
      </c>
      <c r="Q79" s="103" t="str">
        <f t="shared" si="35"/>
        <v/>
      </c>
      <c r="R79" s="103" t="str">
        <f t="shared" si="35"/>
        <v/>
      </c>
      <c r="S79" s="103" t="str">
        <f t="shared" si="35"/>
        <v/>
      </c>
      <c r="T79" s="103" t="str">
        <f t="shared" si="35"/>
        <v/>
      </c>
      <c r="U79" s="103" t="str">
        <f t="shared" si="35"/>
        <v/>
      </c>
      <c r="V79" s="103" t="str">
        <f t="shared" si="35"/>
        <v/>
      </c>
      <c r="W79" s="103" t="str">
        <f t="shared" si="35"/>
        <v/>
      </c>
      <c r="X79" s="103" t="str">
        <f t="shared" si="35"/>
        <v/>
      </c>
      <c r="Y79" s="103" t="str">
        <f t="shared" si="35"/>
        <v/>
      </c>
      <c r="Z79" s="103" t="str">
        <f t="shared" si="35"/>
        <v/>
      </c>
      <c r="AA79" s="103" t="str">
        <f t="shared" si="35"/>
        <v/>
      </c>
      <c r="AB79" s="103" t="str">
        <f t="shared" si="35"/>
        <v/>
      </c>
      <c r="AC79" s="192">
        <f t="shared" si="8"/>
        <v>0</v>
      </c>
      <c r="AD79" s="189">
        <v>4</v>
      </c>
    </row>
    <row r="80" spans="1:30" ht="18" customHeight="1" outlineLevel="1" x14ac:dyDescent="0.25">
      <c r="A80" s="9" t="str">
        <f t="shared" si="5"/>
        <v>N2 [g/h]</v>
      </c>
      <c r="B80" s="102"/>
      <c r="C80" s="103">
        <f t="shared" si="6"/>
        <v>2.2187444349847882</v>
      </c>
      <c r="D80" s="103">
        <f t="shared" ref="D80:AB80" si="36">IF(SUM(D48:D76)=0, "", (D48*$B48/(D$43*$B$43))*$F$5)</f>
        <v>2.1413549883269796</v>
      </c>
      <c r="E80" s="103">
        <f t="shared" si="36"/>
        <v>2.1862980152160816</v>
      </c>
      <c r="F80" s="103">
        <f t="shared" si="36"/>
        <v>2.1863530324232916</v>
      </c>
      <c r="G80" s="103">
        <f t="shared" si="36"/>
        <v>2.1844801572212997</v>
      </c>
      <c r="H80" s="103">
        <f t="shared" si="36"/>
        <v>2.4715791920342558</v>
      </c>
      <c r="I80" s="103">
        <f t="shared" si="36"/>
        <v>2.1806387953492639</v>
      </c>
      <c r="J80" s="103">
        <f t="shared" si="36"/>
        <v>2.1930547810690491</v>
      </c>
      <c r="K80" s="103">
        <f t="shared" si="36"/>
        <v>2.2076907075272687</v>
      </c>
      <c r="L80" s="103">
        <f t="shared" si="36"/>
        <v>2.2243276214503962</v>
      </c>
      <c r="M80" s="103">
        <f t="shared" si="36"/>
        <v>2.2208011701108177</v>
      </c>
      <c r="N80" s="103">
        <f t="shared" si="36"/>
        <v>2.2118171959787736</v>
      </c>
      <c r="O80" s="103">
        <f t="shared" si="36"/>
        <v>2.216537563109982</v>
      </c>
      <c r="P80" s="103" t="str">
        <f t="shared" si="36"/>
        <v/>
      </c>
      <c r="Q80" s="103" t="str">
        <f t="shared" si="36"/>
        <v/>
      </c>
      <c r="R80" s="103" t="str">
        <f t="shared" si="36"/>
        <v/>
      </c>
      <c r="S80" s="103" t="str">
        <f t="shared" si="36"/>
        <v/>
      </c>
      <c r="T80" s="103" t="str">
        <f t="shared" si="36"/>
        <v/>
      </c>
      <c r="U80" s="103" t="str">
        <f t="shared" si="36"/>
        <v/>
      </c>
      <c r="V80" s="103" t="str">
        <f t="shared" si="36"/>
        <v/>
      </c>
      <c r="W80" s="103" t="str">
        <f t="shared" si="36"/>
        <v/>
      </c>
      <c r="X80" s="103" t="str">
        <f t="shared" si="36"/>
        <v/>
      </c>
      <c r="Y80" s="103" t="str">
        <f t="shared" si="36"/>
        <v/>
      </c>
      <c r="Z80" s="103" t="str">
        <f t="shared" si="36"/>
        <v/>
      </c>
      <c r="AA80" s="103" t="str">
        <f t="shared" si="36"/>
        <v/>
      </c>
      <c r="AB80" s="103" t="str">
        <f t="shared" si="36"/>
        <v/>
      </c>
      <c r="AC80" s="192">
        <f t="shared" si="8"/>
        <v>0</v>
      </c>
      <c r="AD80" s="189">
        <v>0</v>
      </c>
    </row>
    <row r="81" spans="1:30" ht="18" customHeight="1" outlineLevel="1" x14ac:dyDescent="0.25">
      <c r="A81" s="9" t="str">
        <f t="shared" si="5"/>
        <v/>
      </c>
      <c r="B81" s="102"/>
      <c r="C81" s="103">
        <f t="shared" si="6"/>
        <v>0</v>
      </c>
      <c r="D81" s="103">
        <f t="shared" ref="D81:AB81" si="37">IF(SUM(D49:D77)=0, "", (D49*$B49/(D$43*$B$43))*$F$5)</f>
        <v>0</v>
      </c>
      <c r="E81" s="103">
        <f t="shared" si="37"/>
        <v>0</v>
      </c>
      <c r="F81" s="103">
        <f t="shared" si="37"/>
        <v>0</v>
      </c>
      <c r="G81" s="103">
        <f t="shared" si="37"/>
        <v>0</v>
      </c>
      <c r="H81" s="103">
        <f t="shared" si="37"/>
        <v>0</v>
      </c>
      <c r="I81" s="103">
        <f t="shared" si="37"/>
        <v>0</v>
      </c>
      <c r="J81" s="103">
        <f t="shared" si="37"/>
        <v>0</v>
      </c>
      <c r="K81" s="103">
        <f t="shared" si="37"/>
        <v>0</v>
      </c>
      <c r="L81" s="103">
        <f t="shared" si="37"/>
        <v>0</v>
      </c>
      <c r="M81" s="103">
        <f t="shared" si="37"/>
        <v>0</v>
      </c>
      <c r="N81" s="103">
        <f t="shared" si="37"/>
        <v>0</v>
      </c>
      <c r="O81" s="103">
        <f t="shared" si="37"/>
        <v>0</v>
      </c>
      <c r="P81" s="103" t="str">
        <f t="shared" si="37"/>
        <v/>
      </c>
      <c r="Q81" s="103" t="str">
        <f t="shared" si="37"/>
        <v/>
      </c>
      <c r="R81" s="103" t="str">
        <f t="shared" si="37"/>
        <v/>
      </c>
      <c r="S81" s="103" t="str">
        <f t="shared" si="37"/>
        <v/>
      </c>
      <c r="T81" s="103" t="str">
        <f t="shared" si="37"/>
        <v/>
      </c>
      <c r="U81" s="103" t="str">
        <f t="shared" si="37"/>
        <v/>
      </c>
      <c r="V81" s="103" t="str">
        <f t="shared" si="37"/>
        <v/>
      </c>
      <c r="W81" s="103" t="str">
        <f t="shared" si="37"/>
        <v/>
      </c>
      <c r="X81" s="103" t="str">
        <f t="shared" si="37"/>
        <v/>
      </c>
      <c r="Y81" s="103" t="str">
        <f t="shared" si="37"/>
        <v/>
      </c>
      <c r="Z81" s="103" t="str">
        <f t="shared" si="37"/>
        <v/>
      </c>
      <c r="AA81" s="103" t="str">
        <f t="shared" si="37"/>
        <v/>
      </c>
      <c r="AB81" s="103" t="str">
        <f t="shared" si="37"/>
        <v/>
      </c>
    </row>
    <row r="82" spans="1:30" ht="18" customHeight="1" outlineLevel="1" x14ac:dyDescent="0.25">
      <c r="A82" s="9" t="s">
        <v>250</v>
      </c>
      <c r="B82" s="102"/>
      <c r="C82" s="103">
        <f t="shared" si="6"/>
        <v>0.41297841337442359</v>
      </c>
      <c r="D82" s="103">
        <f t="shared" ref="D82:AB82" si="38">IF(SUM(D52:D81)=0,"",SUM(D52:D73,D78,D79))</f>
        <v>0.4023253125876074</v>
      </c>
      <c r="E82" s="103">
        <f t="shared" si="38"/>
        <v>0.41279530026175176</v>
      </c>
      <c r="F82" s="103">
        <f t="shared" si="38"/>
        <v>0.41429659795771029</v>
      </c>
      <c r="G82" s="103">
        <f t="shared" si="38"/>
        <v>0.42169059445412649</v>
      </c>
      <c r="H82" s="103">
        <f t="shared" si="38"/>
        <v>0.4684094485013035</v>
      </c>
      <c r="I82" s="103">
        <f t="shared" si="38"/>
        <v>0.43216260808002893</v>
      </c>
      <c r="J82" s="103">
        <f t="shared" si="38"/>
        <v>0.42148269421901807</v>
      </c>
      <c r="K82" s="103">
        <f t="shared" si="38"/>
        <v>0.406919368225514</v>
      </c>
      <c r="L82" s="103">
        <f t="shared" si="38"/>
        <v>0.39527360473553858</v>
      </c>
      <c r="M82" s="103">
        <f t="shared" si="38"/>
        <v>0.3934127669058865</v>
      </c>
      <c r="N82" s="103">
        <f t="shared" si="38"/>
        <v>0.39262730956499947</v>
      </c>
      <c r="O82" s="103">
        <f t="shared" si="38"/>
        <v>0.39434535499959794</v>
      </c>
      <c r="P82" s="103" t="str">
        <f t="shared" si="38"/>
        <v/>
      </c>
      <c r="Q82" s="103" t="str">
        <f t="shared" si="38"/>
        <v/>
      </c>
      <c r="R82" s="103" t="str">
        <f t="shared" si="38"/>
        <v/>
      </c>
      <c r="S82" s="103" t="str">
        <f t="shared" si="38"/>
        <v/>
      </c>
      <c r="T82" s="103" t="str">
        <f t="shared" si="38"/>
        <v/>
      </c>
      <c r="U82" s="103" t="str">
        <f t="shared" si="38"/>
        <v/>
      </c>
      <c r="V82" s="103" t="str">
        <f t="shared" si="38"/>
        <v/>
      </c>
      <c r="W82" s="103" t="str">
        <f t="shared" si="38"/>
        <v/>
      </c>
      <c r="X82" s="103" t="str">
        <f t="shared" si="38"/>
        <v/>
      </c>
      <c r="Y82" s="103" t="str">
        <f t="shared" si="38"/>
        <v/>
      </c>
      <c r="Z82" s="103" t="str">
        <f t="shared" si="38"/>
        <v/>
      </c>
      <c r="AA82" s="103" t="str">
        <f t="shared" si="38"/>
        <v/>
      </c>
      <c r="AB82" s="103" t="str">
        <f t="shared" si="38"/>
        <v/>
      </c>
    </row>
    <row r="83" spans="1:30" ht="18" customHeight="1" outlineLevel="1" x14ac:dyDescent="0.25">
      <c r="A83" s="9" t="s">
        <v>251</v>
      </c>
      <c r="B83" s="102"/>
      <c r="C83" s="103">
        <f t="shared" si="6"/>
        <v>0</v>
      </c>
      <c r="D83" s="103">
        <f t="shared" ref="D83:AB83" si="39">IFERROR(D74+D76,"")</f>
        <v>0</v>
      </c>
      <c r="E83" s="103">
        <f t="shared" si="39"/>
        <v>0</v>
      </c>
      <c r="F83" s="103">
        <f t="shared" si="39"/>
        <v>0</v>
      </c>
      <c r="G83" s="103">
        <f t="shared" si="39"/>
        <v>0</v>
      </c>
      <c r="H83" s="103">
        <f t="shared" si="39"/>
        <v>0</v>
      </c>
      <c r="I83" s="103">
        <f t="shared" si="39"/>
        <v>0</v>
      </c>
      <c r="J83" s="103">
        <f t="shared" si="39"/>
        <v>0</v>
      </c>
      <c r="K83" s="103">
        <f t="shared" si="39"/>
        <v>0</v>
      </c>
      <c r="L83" s="103">
        <f t="shared" si="39"/>
        <v>0</v>
      </c>
      <c r="M83" s="103">
        <f t="shared" si="39"/>
        <v>0</v>
      </c>
      <c r="N83" s="103">
        <f t="shared" si="39"/>
        <v>0</v>
      </c>
      <c r="O83" s="103">
        <f t="shared" si="39"/>
        <v>0</v>
      </c>
      <c r="P83" s="103" t="str">
        <f t="shared" si="39"/>
        <v/>
      </c>
      <c r="Q83" s="103" t="str">
        <f t="shared" si="39"/>
        <v/>
      </c>
      <c r="R83" s="103" t="str">
        <f t="shared" si="39"/>
        <v/>
      </c>
      <c r="S83" s="103" t="str">
        <f t="shared" si="39"/>
        <v/>
      </c>
      <c r="T83" s="103" t="str">
        <f t="shared" si="39"/>
        <v/>
      </c>
      <c r="U83" s="103" t="str">
        <f t="shared" si="39"/>
        <v/>
      </c>
      <c r="V83" s="103" t="str">
        <f t="shared" si="39"/>
        <v/>
      </c>
      <c r="W83" s="103" t="str">
        <f t="shared" si="39"/>
        <v/>
      </c>
      <c r="X83" s="103" t="str">
        <f t="shared" si="39"/>
        <v/>
      </c>
      <c r="Y83" s="103" t="str">
        <f t="shared" si="39"/>
        <v/>
      </c>
      <c r="Z83" s="103" t="str">
        <f t="shared" si="39"/>
        <v/>
      </c>
      <c r="AA83" s="103" t="str">
        <f t="shared" si="39"/>
        <v/>
      </c>
      <c r="AB83" s="103" t="str">
        <f t="shared" si="39"/>
        <v/>
      </c>
    </row>
    <row r="84" spans="1:30" ht="18" customHeight="1" outlineLevel="1" x14ac:dyDescent="0.25">
      <c r="A84" s="9" t="s">
        <v>252</v>
      </c>
      <c r="B84" s="102"/>
      <c r="C84" s="103">
        <f t="shared" si="6"/>
        <v>0.41297841337442359</v>
      </c>
      <c r="D84" s="103">
        <f t="shared" ref="D84:AB84" si="40">IF(SUM(D82:D83)=0,"",SUM(D82:D83))</f>
        <v>0.4023253125876074</v>
      </c>
      <c r="E84" s="103">
        <f t="shared" si="40"/>
        <v>0.41279530026175176</v>
      </c>
      <c r="F84" s="103">
        <f t="shared" si="40"/>
        <v>0.41429659795771029</v>
      </c>
      <c r="G84" s="103">
        <f t="shared" si="40"/>
        <v>0.42169059445412649</v>
      </c>
      <c r="H84" s="103">
        <f t="shared" si="40"/>
        <v>0.4684094485013035</v>
      </c>
      <c r="I84" s="103">
        <f t="shared" si="40"/>
        <v>0.43216260808002893</v>
      </c>
      <c r="J84" s="103">
        <f t="shared" si="40"/>
        <v>0.42148269421901807</v>
      </c>
      <c r="K84" s="103">
        <f t="shared" si="40"/>
        <v>0.406919368225514</v>
      </c>
      <c r="L84" s="103">
        <f t="shared" si="40"/>
        <v>0.39527360473553858</v>
      </c>
      <c r="M84" s="103">
        <f t="shared" si="40"/>
        <v>0.3934127669058865</v>
      </c>
      <c r="N84" s="103">
        <f t="shared" si="40"/>
        <v>0.39262730956499947</v>
      </c>
      <c r="O84" s="103">
        <f t="shared" si="40"/>
        <v>0.39434535499959794</v>
      </c>
      <c r="P84" s="103" t="str">
        <f t="shared" si="40"/>
        <v/>
      </c>
      <c r="Q84" s="103" t="str">
        <f t="shared" si="40"/>
        <v/>
      </c>
      <c r="R84" s="103" t="str">
        <f t="shared" si="40"/>
        <v/>
      </c>
      <c r="S84" s="103" t="str">
        <f t="shared" si="40"/>
        <v/>
      </c>
      <c r="T84" s="103" t="str">
        <f t="shared" si="40"/>
        <v/>
      </c>
      <c r="U84" s="103" t="str">
        <f t="shared" si="40"/>
        <v/>
      </c>
      <c r="V84" s="103" t="str">
        <f t="shared" si="40"/>
        <v/>
      </c>
      <c r="W84" s="103" t="str">
        <f t="shared" si="40"/>
        <v/>
      </c>
      <c r="X84" s="103" t="str">
        <f t="shared" si="40"/>
        <v/>
      </c>
      <c r="Y84" s="103" t="str">
        <f t="shared" si="40"/>
        <v/>
      </c>
      <c r="Z84" s="103" t="str">
        <f t="shared" si="40"/>
        <v/>
      </c>
      <c r="AA84" s="103" t="str">
        <f t="shared" si="40"/>
        <v/>
      </c>
      <c r="AB84" s="103" t="str">
        <f t="shared" si="40"/>
        <v/>
      </c>
    </row>
    <row r="86" spans="1:30" ht="18" customHeight="1" outlineLevel="2" x14ac:dyDescent="0.25">
      <c r="A86" s="9" t="s">
        <v>253</v>
      </c>
      <c r="B86" s="189"/>
      <c r="C86" s="7">
        <f>IFERROR(AVERAGE(D86:AB86), "")</f>
        <v>159.70410705546072</v>
      </c>
      <c r="D86" s="7">
        <f>IF(D$75="","",D$75/Gas!$I$35*Gas!$B$11)</f>
        <v>159.7041070554607</v>
      </c>
      <c r="E86" s="7">
        <f>IF(E$75="","",E$75/Gas!$I$35*Gas!$B$11)</f>
        <v>159.7041070554607</v>
      </c>
      <c r="F86" s="7">
        <f>IF(F$75="","",F$75/Gas!$I$35*Gas!$B$11)</f>
        <v>159.7041070554607</v>
      </c>
      <c r="G86" s="7">
        <f>IF(G$75="","",G$75/Gas!$I$35*Gas!$B$11)</f>
        <v>159.7041070554607</v>
      </c>
      <c r="H86" s="7">
        <f>IF(H$75="","",H$75/Gas!$I$35*Gas!$B$11)</f>
        <v>159.7041070554607</v>
      </c>
      <c r="I86" s="7">
        <f>IF(I$75="","",I$75/Gas!$I$35*Gas!$B$11)</f>
        <v>159.7041070554607</v>
      </c>
      <c r="J86" s="7">
        <f>IF(J$75="","",J$75/Gas!$I$35*Gas!$B$11)</f>
        <v>159.7041070554607</v>
      </c>
      <c r="K86" s="7">
        <f>IF(K$75="","",K$75/Gas!$I$35*Gas!$B$11)</f>
        <v>159.7041070554607</v>
      </c>
      <c r="L86" s="7">
        <f>IF(L$75="","",L$75/Gas!$I$35*Gas!$B$11)</f>
        <v>159.7041070554607</v>
      </c>
      <c r="M86" s="7">
        <f>IF(M$75="","",M$75/Gas!$I$35*Gas!$B$11)</f>
        <v>159.7041070554607</v>
      </c>
      <c r="N86" s="7">
        <f>IF(N$75="","",N$75/Gas!$I$35*Gas!$B$11)</f>
        <v>159.7041070554607</v>
      </c>
      <c r="O86" s="7">
        <f>IF(O$75="","",O$75/Gas!$I$35*Gas!$B$11)</f>
        <v>159.7041070554607</v>
      </c>
      <c r="P86" s="7" t="str">
        <f>IF(P$75="","",P$75/Gas!$I$35*Gas!$B$11)</f>
        <v/>
      </c>
      <c r="Q86" s="7" t="str">
        <f>IF(Q$75="","",Q$75/Gas!$I$35*Gas!$B$11)</f>
        <v/>
      </c>
      <c r="R86" s="7" t="str">
        <f>IF(R$75="","",R$75/Gas!$I$35*Gas!$B$11)</f>
        <v/>
      </c>
      <c r="S86" s="7" t="str">
        <f>IF(S$75="","",S$75/Gas!$I$35*Gas!$B$11)</f>
        <v/>
      </c>
      <c r="T86" s="7" t="str">
        <f>IF(T$75="","",T$75/Gas!$I$35*Gas!$B$11)</f>
        <v/>
      </c>
      <c r="U86" s="7" t="str">
        <f>IF(U$75="","",U$75/Gas!$I$35*Gas!$B$11)</f>
        <v/>
      </c>
      <c r="V86" s="7" t="str">
        <f>IF(V$75="","",V$75/Gas!$I$35*Gas!$B$11)</f>
        <v/>
      </c>
      <c r="W86" s="7" t="str">
        <f>IF(W$75="","",W$75/Gas!$I$35*Gas!$B$11)</f>
        <v/>
      </c>
      <c r="X86" s="7" t="str">
        <f>IF(X$75="","",X$75/Gas!$I$35*Gas!$B$11)</f>
        <v/>
      </c>
      <c r="Y86" s="7" t="str">
        <f>IF(Y$75="","",Y$75/Gas!$I$35*Gas!$B$11)</f>
        <v/>
      </c>
      <c r="Z86" s="7" t="str">
        <f>IF(Z$75="","",Z$75/Gas!$I$35*Gas!$B$11)</f>
        <v/>
      </c>
      <c r="AA86" s="7" t="str">
        <f>IF(AA$75="","",AA$75/Gas!$I$35*Gas!$B$11)</f>
        <v/>
      </c>
      <c r="AB86" s="7" t="str">
        <f>IF(AB$75="","",AB$75/Gas!$I$35*Gas!$B$11)</f>
        <v/>
      </c>
    </row>
    <row r="87" spans="1:30" ht="18" customHeight="1" outlineLevel="2" x14ac:dyDescent="0.25">
      <c r="A87" s="9" t="s">
        <v>254</v>
      </c>
      <c r="B87" s="218"/>
      <c r="C87" s="7" t="s">
        <v>247</v>
      </c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D87" s="136"/>
    </row>
    <row r="88" spans="1:30" ht="18" customHeight="1" outlineLevel="2" x14ac:dyDescent="0.25">
      <c r="A88" s="9" t="str">
        <f t="shared" ref="A88:A118" si="41">IF(A20="", "", CONCATENATE(A20, " [Nl/h]"))</f>
        <v>Methane [Nl/h]</v>
      </c>
      <c r="B88" s="219"/>
      <c r="C88" s="103">
        <f t="shared" ref="C88:C118" si="42">IFERROR(AVERAGE(D88:AB88), "")</f>
        <v>4.1449848824805082</v>
      </c>
      <c r="D88" s="103">
        <f t="shared" ref="D88:AB88" si="43">IF(D$86="","",D20/100*D$86)</f>
        <v>4.1420889146725699</v>
      </c>
      <c r="E88" s="103">
        <f t="shared" si="43"/>
        <v>4.1406691451608468</v>
      </c>
      <c r="F88" s="103">
        <f t="shared" si="43"/>
        <v>4.1536019837501978</v>
      </c>
      <c r="G88" s="103">
        <f t="shared" si="43"/>
        <v>4.2229854330604431</v>
      </c>
      <c r="H88" s="103">
        <f t="shared" si="43"/>
        <v>3.7988624300353968</v>
      </c>
      <c r="I88" s="103">
        <f t="shared" si="43"/>
        <v>4.2139861066278677</v>
      </c>
      <c r="J88" s="103">
        <f t="shared" si="43"/>
        <v>4.1962397862518648</v>
      </c>
      <c r="K88" s="103">
        <f t="shared" si="43"/>
        <v>4.1965464181374115</v>
      </c>
      <c r="L88" s="103">
        <f t="shared" si="43"/>
        <v>4.1730539439895526</v>
      </c>
      <c r="M88" s="103">
        <f t="shared" si="43"/>
        <v>4.1603255266572328</v>
      </c>
      <c r="N88" s="103">
        <f t="shared" si="43"/>
        <v>4.1704028558124318</v>
      </c>
      <c r="O88" s="103">
        <f t="shared" si="43"/>
        <v>4.1710560456102899</v>
      </c>
      <c r="P88" s="103" t="str">
        <f t="shared" si="43"/>
        <v/>
      </c>
      <c r="Q88" s="103" t="str">
        <f t="shared" si="43"/>
        <v/>
      </c>
      <c r="R88" s="103" t="str">
        <f t="shared" si="43"/>
        <v/>
      </c>
      <c r="S88" s="103" t="str">
        <f t="shared" si="43"/>
        <v/>
      </c>
      <c r="T88" s="103" t="str">
        <f t="shared" si="43"/>
        <v/>
      </c>
      <c r="U88" s="103" t="str">
        <f t="shared" si="43"/>
        <v/>
      </c>
      <c r="V88" s="103" t="str">
        <f t="shared" si="43"/>
        <v/>
      </c>
      <c r="W88" s="103" t="str">
        <f t="shared" si="43"/>
        <v/>
      </c>
      <c r="X88" s="103" t="str">
        <f t="shared" si="43"/>
        <v/>
      </c>
      <c r="Y88" s="103" t="str">
        <f t="shared" si="43"/>
        <v/>
      </c>
      <c r="Z88" s="103" t="str">
        <f t="shared" si="43"/>
        <v/>
      </c>
      <c r="AA88" s="103" t="str">
        <f t="shared" si="43"/>
        <v/>
      </c>
      <c r="AB88" s="103" t="str">
        <f t="shared" si="43"/>
        <v/>
      </c>
    </row>
    <row r="89" spans="1:30" ht="18" customHeight="1" outlineLevel="2" x14ac:dyDescent="0.25">
      <c r="A89" s="9" t="str">
        <f t="shared" si="41"/>
        <v>Ethane [Nl/h]</v>
      </c>
      <c r="B89" s="219"/>
      <c r="C89" s="103">
        <f t="shared" si="42"/>
        <v>1.9021291497328886E-2</v>
      </c>
      <c r="D89" s="103">
        <f t="shared" ref="D89:AB89" si="44">IF(D$86="","",D21/100*D$86)</f>
        <v>4.8118847455810307E-3</v>
      </c>
      <c r="E89" s="103">
        <f t="shared" si="44"/>
        <v>3.4048915624224226E-3</v>
      </c>
      <c r="F89" s="103">
        <f t="shared" si="44"/>
        <v>4.20500913877028E-3</v>
      </c>
      <c r="G89" s="103">
        <f t="shared" si="44"/>
        <v>4.0884251406197942E-3</v>
      </c>
      <c r="H89" s="103">
        <f t="shared" si="44"/>
        <v>0.18620061545703218</v>
      </c>
      <c r="I89" s="103">
        <f t="shared" si="44"/>
        <v>4.1283511673836596E-3</v>
      </c>
      <c r="J89" s="103">
        <f t="shared" si="44"/>
        <v>3.0806922250998367E-3</v>
      </c>
      <c r="K89" s="103">
        <f t="shared" si="44"/>
        <v>6.3226855983256891E-3</v>
      </c>
      <c r="L89" s="103">
        <f t="shared" si="44"/>
        <v>3.0311839519126436E-3</v>
      </c>
      <c r="M89" s="103">
        <f t="shared" si="44"/>
        <v>2.9449437341026951E-3</v>
      </c>
      <c r="N89" s="103">
        <f t="shared" si="44"/>
        <v>2.9481378162438043E-3</v>
      </c>
      <c r="O89" s="103">
        <f t="shared" si="44"/>
        <v>3.0886774304526099E-3</v>
      </c>
      <c r="P89" s="103" t="str">
        <f t="shared" si="44"/>
        <v/>
      </c>
      <c r="Q89" s="103" t="str">
        <f t="shared" si="44"/>
        <v/>
      </c>
      <c r="R89" s="103" t="str">
        <f t="shared" si="44"/>
        <v/>
      </c>
      <c r="S89" s="103" t="str">
        <f t="shared" si="44"/>
        <v/>
      </c>
      <c r="T89" s="103" t="str">
        <f t="shared" si="44"/>
        <v/>
      </c>
      <c r="U89" s="103" t="str">
        <f t="shared" si="44"/>
        <v/>
      </c>
      <c r="V89" s="103" t="str">
        <f t="shared" si="44"/>
        <v/>
      </c>
      <c r="W89" s="103" t="str">
        <f t="shared" si="44"/>
        <v/>
      </c>
      <c r="X89" s="103" t="str">
        <f t="shared" si="44"/>
        <v/>
      </c>
      <c r="Y89" s="103" t="str">
        <f t="shared" si="44"/>
        <v/>
      </c>
      <c r="Z89" s="103" t="str">
        <f t="shared" si="44"/>
        <v/>
      </c>
      <c r="AA89" s="103" t="str">
        <f t="shared" si="44"/>
        <v/>
      </c>
      <c r="AB89" s="103" t="str">
        <f t="shared" si="44"/>
        <v/>
      </c>
    </row>
    <row r="90" spans="1:30" ht="18" customHeight="1" outlineLevel="2" x14ac:dyDescent="0.25">
      <c r="A90" s="9" t="str">
        <f t="shared" si="41"/>
        <v>Ethylene [Nl/h]</v>
      </c>
      <c r="B90" s="219"/>
      <c r="C90" s="103">
        <f t="shared" si="42"/>
        <v>2.8385080003482925</v>
      </c>
      <c r="D90" s="103">
        <f t="shared" ref="D90:AB90" si="45">IF(D$86="","",D22/100*D$86)</f>
        <v>2.6111238213710894</v>
      </c>
      <c r="E90" s="103">
        <f t="shared" si="45"/>
        <v>2.6056842994847798</v>
      </c>
      <c r="F90" s="103">
        <f t="shared" si="45"/>
        <v>2.6254796235543045</v>
      </c>
      <c r="G90" s="103">
        <f t="shared" si="45"/>
        <v>2.6683649674219074</v>
      </c>
      <c r="H90" s="103">
        <f t="shared" si="45"/>
        <v>5.0733267569951019</v>
      </c>
      <c r="I90" s="103">
        <f t="shared" si="45"/>
        <v>2.6734898722173166</v>
      </c>
      <c r="J90" s="103">
        <f t="shared" si="45"/>
        <v>2.6422820926576089</v>
      </c>
      <c r="K90" s="103">
        <f t="shared" si="45"/>
        <v>2.6557068198966918</v>
      </c>
      <c r="L90" s="103">
        <f t="shared" si="45"/>
        <v>2.6274040580443225</v>
      </c>
      <c r="M90" s="103">
        <f t="shared" si="45"/>
        <v>2.6197111112074611</v>
      </c>
      <c r="N90" s="103">
        <f t="shared" si="45"/>
        <v>2.6279310815976058</v>
      </c>
      <c r="O90" s="103">
        <f t="shared" si="45"/>
        <v>2.631591499731317</v>
      </c>
      <c r="P90" s="103" t="str">
        <f t="shared" si="45"/>
        <v/>
      </c>
      <c r="Q90" s="103" t="str">
        <f t="shared" si="45"/>
        <v/>
      </c>
      <c r="R90" s="103" t="str">
        <f t="shared" si="45"/>
        <v/>
      </c>
      <c r="S90" s="103" t="str">
        <f t="shared" si="45"/>
        <v/>
      </c>
      <c r="T90" s="103" t="str">
        <f t="shared" si="45"/>
        <v/>
      </c>
      <c r="U90" s="103" t="str">
        <f t="shared" si="45"/>
        <v/>
      </c>
      <c r="V90" s="103" t="str">
        <f t="shared" si="45"/>
        <v/>
      </c>
      <c r="W90" s="103" t="str">
        <f t="shared" si="45"/>
        <v/>
      </c>
      <c r="X90" s="103" t="str">
        <f t="shared" si="45"/>
        <v/>
      </c>
      <c r="Y90" s="103" t="str">
        <f t="shared" si="45"/>
        <v/>
      </c>
      <c r="Z90" s="103" t="str">
        <f t="shared" si="45"/>
        <v/>
      </c>
      <c r="AA90" s="103" t="str">
        <f t="shared" si="45"/>
        <v/>
      </c>
      <c r="AB90" s="103" t="str">
        <f t="shared" si="45"/>
        <v/>
      </c>
    </row>
    <row r="91" spans="1:30" ht="18" customHeight="1" outlineLevel="2" x14ac:dyDescent="0.25">
      <c r="A91" s="9" t="str">
        <f t="shared" si="41"/>
        <v>Propane [Nl/h]</v>
      </c>
      <c r="B91" s="219"/>
      <c r="C91" s="103">
        <f t="shared" si="42"/>
        <v>4.2601070557044142E-4</v>
      </c>
      <c r="D91" s="103">
        <f t="shared" ref="D91:AB91" si="46">IF(D$86="","",D23/100*D$86)</f>
        <v>0</v>
      </c>
      <c r="E91" s="103">
        <f t="shared" si="46"/>
        <v>0</v>
      </c>
      <c r="F91" s="103">
        <f t="shared" si="46"/>
        <v>0</v>
      </c>
      <c r="G91" s="103">
        <f t="shared" si="46"/>
        <v>0</v>
      </c>
      <c r="H91" s="103">
        <f t="shared" si="46"/>
        <v>5.1121284668452973E-3</v>
      </c>
      <c r="I91" s="103">
        <f t="shared" si="46"/>
        <v>0</v>
      </c>
      <c r="J91" s="103">
        <f t="shared" si="46"/>
        <v>0</v>
      </c>
      <c r="K91" s="103">
        <f t="shared" si="46"/>
        <v>0</v>
      </c>
      <c r="L91" s="103">
        <f t="shared" si="46"/>
        <v>0</v>
      </c>
      <c r="M91" s="103">
        <f t="shared" si="46"/>
        <v>0</v>
      </c>
      <c r="N91" s="103">
        <f t="shared" si="46"/>
        <v>0</v>
      </c>
      <c r="O91" s="103">
        <f t="shared" si="46"/>
        <v>0</v>
      </c>
      <c r="P91" s="103" t="str">
        <f t="shared" si="46"/>
        <v/>
      </c>
      <c r="Q91" s="103" t="str">
        <f t="shared" si="46"/>
        <v/>
      </c>
      <c r="R91" s="103" t="str">
        <f t="shared" si="46"/>
        <v/>
      </c>
      <c r="S91" s="103" t="str">
        <f t="shared" si="46"/>
        <v/>
      </c>
      <c r="T91" s="103" t="str">
        <f t="shared" si="46"/>
        <v/>
      </c>
      <c r="U91" s="103" t="str">
        <f t="shared" si="46"/>
        <v/>
      </c>
      <c r="V91" s="103" t="str">
        <f t="shared" si="46"/>
        <v/>
      </c>
      <c r="W91" s="103" t="str">
        <f t="shared" si="46"/>
        <v/>
      </c>
      <c r="X91" s="103" t="str">
        <f t="shared" si="46"/>
        <v/>
      </c>
      <c r="Y91" s="103" t="str">
        <f t="shared" si="46"/>
        <v/>
      </c>
      <c r="Z91" s="103" t="str">
        <f t="shared" si="46"/>
        <v/>
      </c>
      <c r="AA91" s="103" t="str">
        <f t="shared" si="46"/>
        <v/>
      </c>
      <c r="AB91" s="103" t="str">
        <f t="shared" si="46"/>
        <v/>
      </c>
    </row>
    <row r="92" spans="1:30" ht="18" customHeight="1" outlineLevel="2" x14ac:dyDescent="0.25">
      <c r="A92" s="9" t="str">
        <f t="shared" si="41"/>
        <v>Propylene [Nl/h]</v>
      </c>
      <c r="B92" s="219"/>
      <c r="C92" s="103">
        <f t="shared" si="42"/>
        <v>1.0874518822918077E-3</v>
      </c>
      <c r="D92" s="103">
        <f t="shared" ref="D92:AB92" si="47">IF(D$86="","",D24/100*D$86)</f>
        <v>5.4778508720023018E-4</v>
      </c>
      <c r="E92" s="103">
        <f t="shared" si="47"/>
        <v>0</v>
      </c>
      <c r="F92" s="103">
        <f t="shared" si="47"/>
        <v>0</v>
      </c>
      <c r="G92" s="103">
        <f t="shared" si="47"/>
        <v>0</v>
      </c>
      <c r="H92" s="103">
        <f t="shared" si="47"/>
        <v>1.2501637500301463E-2</v>
      </c>
      <c r="I92" s="103">
        <f t="shared" si="47"/>
        <v>0</v>
      </c>
      <c r="J92" s="103">
        <f t="shared" si="47"/>
        <v>0</v>
      </c>
      <c r="K92" s="103">
        <f t="shared" si="47"/>
        <v>0</v>
      </c>
      <c r="L92" s="103">
        <f t="shared" si="47"/>
        <v>0</v>
      </c>
      <c r="M92" s="103">
        <f t="shared" si="47"/>
        <v>0</v>
      </c>
      <c r="N92" s="103">
        <f t="shared" si="47"/>
        <v>0</v>
      </c>
      <c r="O92" s="103">
        <f t="shared" si="47"/>
        <v>0</v>
      </c>
      <c r="P92" s="103" t="str">
        <f t="shared" si="47"/>
        <v/>
      </c>
      <c r="Q92" s="103" t="str">
        <f t="shared" si="47"/>
        <v/>
      </c>
      <c r="R92" s="103" t="str">
        <f t="shared" si="47"/>
        <v/>
      </c>
      <c r="S92" s="103" t="str">
        <f t="shared" si="47"/>
        <v/>
      </c>
      <c r="T92" s="103" t="str">
        <f t="shared" si="47"/>
        <v/>
      </c>
      <c r="U92" s="103" t="str">
        <f t="shared" si="47"/>
        <v/>
      </c>
      <c r="V92" s="103" t="str">
        <f t="shared" si="47"/>
        <v/>
      </c>
      <c r="W92" s="103" t="str">
        <f t="shared" si="47"/>
        <v/>
      </c>
      <c r="X92" s="103" t="str">
        <f t="shared" si="47"/>
        <v/>
      </c>
      <c r="Y92" s="103" t="str">
        <f t="shared" si="47"/>
        <v/>
      </c>
      <c r="Z92" s="103" t="str">
        <f t="shared" si="47"/>
        <v/>
      </c>
      <c r="AA92" s="103" t="str">
        <f t="shared" si="47"/>
        <v/>
      </c>
      <c r="AB92" s="103" t="str">
        <f t="shared" si="47"/>
        <v/>
      </c>
    </row>
    <row r="93" spans="1:30" ht="18" customHeight="1" outlineLevel="2" x14ac:dyDescent="0.25">
      <c r="A93" s="9" t="str">
        <f t="shared" si="41"/>
        <v>Butane [Nl/h]</v>
      </c>
      <c r="B93" s="219"/>
      <c r="C93" s="103">
        <f t="shared" si="42"/>
        <v>5.7426935162026077E-4</v>
      </c>
      <c r="D93" s="103">
        <f t="shared" ref="D93:AB93" si="48">IF(D$86="","",D25/100*D$86)</f>
        <v>3.705135283686688E-4</v>
      </c>
      <c r="E93" s="103">
        <f t="shared" si="48"/>
        <v>0</v>
      </c>
      <c r="F93" s="103">
        <f t="shared" si="48"/>
        <v>0</v>
      </c>
      <c r="G93" s="103">
        <f t="shared" si="48"/>
        <v>0</v>
      </c>
      <c r="H93" s="103">
        <f t="shared" si="48"/>
        <v>5.2878029846063039E-3</v>
      </c>
      <c r="I93" s="103">
        <f t="shared" si="48"/>
        <v>0</v>
      </c>
      <c r="J93" s="103">
        <f t="shared" si="48"/>
        <v>0</v>
      </c>
      <c r="K93" s="103">
        <f t="shared" si="48"/>
        <v>0</v>
      </c>
      <c r="L93" s="103">
        <f t="shared" si="48"/>
        <v>0</v>
      </c>
      <c r="M93" s="103">
        <f t="shared" si="48"/>
        <v>3.5454311766312276E-4</v>
      </c>
      <c r="N93" s="103">
        <f t="shared" si="48"/>
        <v>4.3599221226140773E-4</v>
      </c>
      <c r="O93" s="103">
        <f t="shared" si="48"/>
        <v>4.4238037654362617E-4</v>
      </c>
      <c r="P93" s="103" t="str">
        <f t="shared" si="48"/>
        <v/>
      </c>
      <c r="Q93" s="103" t="str">
        <f t="shared" si="48"/>
        <v/>
      </c>
      <c r="R93" s="103" t="str">
        <f t="shared" si="48"/>
        <v/>
      </c>
      <c r="S93" s="103" t="str">
        <f t="shared" si="48"/>
        <v/>
      </c>
      <c r="T93" s="103" t="str">
        <f t="shared" si="48"/>
        <v/>
      </c>
      <c r="U93" s="103" t="str">
        <f t="shared" si="48"/>
        <v/>
      </c>
      <c r="V93" s="103" t="str">
        <f t="shared" si="48"/>
        <v/>
      </c>
      <c r="W93" s="103" t="str">
        <f t="shared" si="48"/>
        <v/>
      </c>
      <c r="X93" s="103" t="str">
        <f t="shared" si="48"/>
        <v/>
      </c>
      <c r="Y93" s="103" t="str">
        <f t="shared" si="48"/>
        <v/>
      </c>
      <c r="Z93" s="103" t="str">
        <f t="shared" si="48"/>
        <v/>
      </c>
      <c r="AA93" s="103" t="str">
        <f t="shared" si="48"/>
        <v/>
      </c>
      <c r="AB93" s="103" t="str">
        <f t="shared" si="48"/>
        <v/>
      </c>
    </row>
    <row r="94" spans="1:30" ht="18" customHeight="1" outlineLevel="2" x14ac:dyDescent="0.25">
      <c r="A94" s="9" t="str">
        <f t="shared" si="41"/>
        <v>Pentane [Nl/h]</v>
      </c>
      <c r="B94" s="219"/>
      <c r="C94" s="103">
        <f t="shared" si="42"/>
        <v>0</v>
      </c>
      <c r="D94" s="103">
        <f t="shared" ref="D94:AB94" si="49">IF(D$86="","",D26/100*D$86)</f>
        <v>0</v>
      </c>
      <c r="E94" s="103">
        <f t="shared" si="49"/>
        <v>0</v>
      </c>
      <c r="F94" s="103">
        <f t="shared" si="49"/>
        <v>0</v>
      </c>
      <c r="G94" s="103">
        <f t="shared" si="49"/>
        <v>0</v>
      </c>
      <c r="H94" s="103">
        <f t="shared" si="49"/>
        <v>0</v>
      </c>
      <c r="I94" s="103">
        <f t="shared" si="49"/>
        <v>0</v>
      </c>
      <c r="J94" s="103">
        <f t="shared" si="49"/>
        <v>0</v>
      </c>
      <c r="K94" s="103">
        <f t="shared" si="49"/>
        <v>0</v>
      </c>
      <c r="L94" s="103">
        <f t="shared" si="49"/>
        <v>0</v>
      </c>
      <c r="M94" s="103">
        <f t="shared" si="49"/>
        <v>0</v>
      </c>
      <c r="N94" s="103">
        <f t="shared" si="49"/>
        <v>0</v>
      </c>
      <c r="O94" s="103">
        <f t="shared" si="49"/>
        <v>0</v>
      </c>
      <c r="P94" s="103" t="str">
        <f t="shared" si="49"/>
        <v/>
      </c>
      <c r="Q94" s="103" t="str">
        <f t="shared" si="49"/>
        <v/>
      </c>
      <c r="R94" s="103" t="str">
        <f t="shared" si="49"/>
        <v/>
      </c>
      <c r="S94" s="103" t="str">
        <f t="shared" si="49"/>
        <v/>
      </c>
      <c r="T94" s="103" t="str">
        <f t="shared" si="49"/>
        <v/>
      </c>
      <c r="U94" s="103" t="str">
        <f t="shared" si="49"/>
        <v/>
      </c>
      <c r="V94" s="103" t="str">
        <f t="shared" si="49"/>
        <v/>
      </c>
      <c r="W94" s="103" t="str">
        <f t="shared" si="49"/>
        <v/>
      </c>
      <c r="X94" s="103" t="str">
        <f t="shared" si="49"/>
        <v/>
      </c>
      <c r="Y94" s="103" t="str">
        <f t="shared" si="49"/>
        <v/>
      </c>
      <c r="Z94" s="103" t="str">
        <f t="shared" si="49"/>
        <v/>
      </c>
      <c r="AA94" s="103" t="str">
        <f t="shared" si="49"/>
        <v/>
      </c>
      <c r="AB94" s="103" t="str">
        <f t="shared" si="49"/>
        <v/>
      </c>
    </row>
    <row r="95" spans="1:30" ht="18" customHeight="1" outlineLevel="2" x14ac:dyDescent="0.25">
      <c r="A95" s="9" t="str">
        <f t="shared" si="41"/>
        <v>C6s (Isomers of hexane?) [Nl/h]</v>
      </c>
      <c r="B95" s="219"/>
      <c r="C95" s="103">
        <f t="shared" si="42"/>
        <v>0</v>
      </c>
      <c r="D95" s="103">
        <f t="shared" ref="D95:AB95" si="50">IF(D$86="","",D27/100*D$86)</f>
        <v>0</v>
      </c>
      <c r="E95" s="103">
        <f t="shared" si="50"/>
        <v>0</v>
      </c>
      <c r="F95" s="103">
        <f t="shared" si="50"/>
        <v>0</v>
      </c>
      <c r="G95" s="103">
        <f t="shared" si="50"/>
        <v>0</v>
      </c>
      <c r="H95" s="103">
        <f t="shared" si="50"/>
        <v>0</v>
      </c>
      <c r="I95" s="103">
        <f t="shared" si="50"/>
        <v>0</v>
      </c>
      <c r="J95" s="103">
        <f t="shared" si="50"/>
        <v>0</v>
      </c>
      <c r="K95" s="103">
        <f t="shared" si="50"/>
        <v>0</v>
      </c>
      <c r="L95" s="103">
        <f t="shared" si="50"/>
        <v>0</v>
      </c>
      <c r="M95" s="103">
        <f t="shared" si="50"/>
        <v>0</v>
      </c>
      <c r="N95" s="103">
        <f t="shared" si="50"/>
        <v>0</v>
      </c>
      <c r="O95" s="103">
        <f t="shared" si="50"/>
        <v>0</v>
      </c>
      <c r="P95" s="103" t="str">
        <f t="shared" si="50"/>
        <v/>
      </c>
      <c r="Q95" s="103" t="str">
        <f t="shared" si="50"/>
        <v/>
      </c>
      <c r="R95" s="103" t="str">
        <f t="shared" si="50"/>
        <v/>
      </c>
      <c r="S95" s="103" t="str">
        <f t="shared" si="50"/>
        <v/>
      </c>
      <c r="T95" s="103" t="str">
        <f t="shared" si="50"/>
        <v/>
      </c>
      <c r="U95" s="103" t="str">
        <f t="shared" si="50"/>
        <v/>
      </c>
      <c r="V95" s="103" t="str">
        <f t="shared" si="50"/>
        <v/>
      </c>
      <c r="W95" s="103" t="str">
        <f t="shared" si="50"/>
        <v/>
      </c>
      <c r="X95" s="103" t="str">
        <f t="shared" si="50"/>
        <v/>
      </c>
      <c r="Y95" s="103" t="str">
        <f t="shared" si="50"/>
        <v/>
      </c>
      <c r="Z95" s="103" t="str">
        <f t="shared" si="50"/>
        <v/>
      </c>
      <c r="AA95" s="103" t="str">
        <f t="shared" si="50"/>
        <v/>
      </c>
      <c r="AB95" s="103" t="str">
        <f t="shared" si="50"/>
        <v/>
      </c>
    </row>
    <row r="96" spans="1:30" ht="18" customHeight="1" outlineLevel="2" x14ac:dyDescent="0.25">
      <c r="A96" s="9" t="str">
        <f t="shared" si="41"/>
        <v>Hexane [Nl/h]</v>
      </c>
      <c r="B96" s="219"/>
      <c r="C96" s="103">
        <f t="shared" si="42"/>
        <v>0</v>
      </c>
      <c r="D96" s="103">
        <f t="shared" ref="D96:AB96" si="51">IF(D$86="","",D28/100*D$86)</f>
        <v>0</v>
      </c>
      <c r="E96" s="103">
        <f t="shared" si="51"/>
        <v>0</v>
      </c>
      <c r="F96" s="103">
        <f t="shared" si="51"/>
        <v>0</v>
      </c>
      <c r="G96" s="103">
        <f t="shared" si="51"/>
        <v>0</v>
      </c>
      <c r="H96" s="103">
        <f t="shared" si="51"/>
        <v>0</v>
      </c>
      <c r="I96" s="103">
        <f t="shared" si="51"/>
        <v>0</v>
      </c>
      <c r="J96" s="103">
        <f t="shared" si="51"/>
        <v>0</v>
      </c>
      <c r="K96" s="103">
        <f t="shared" si="51"/>
        <v>0</v>
      </c>
      <c r="L96" s="103">
        <f t="shared" si="51"/>
        <v>0</v>
      </c>
      <c r="M96" s="103">
        <f t="shared" si="51"/>
        <v>0</v>
      </c>
      <c r="N96" s="103">
        <f t="shared" si="51"/>
        <v>0</v>
      </c>
      <c r="O96" s="103">
        <f t="shared" si="51"/>
        <v>0</v>
      </c>
      <c r="P96" s="103" t="str">
        <f t="shared" si="51"/>
        <v/>
      </c>
      <c r="Q96" s="103" t="str">
        <f t="shared" si="51"/>
        <v/>
      </c>
      <c r="R96" s="103" t="str">
        <f t="shared" si="51"/>
        <v/>
      </c>
      <c r="S96" s="103" t="str">
        <f t="shared" si="51"/>
        <v/>
      </c>
      <c r="T96" s="103" t="str">
        <f t="shared" si="51"/>
        <v/>
      </c>
      <c r="U96" s="103" t="str">
        <f t="shared" si="51"/>
        <v/>
      </c>
      <c r="V96" s="103" t="str">
        <f t="shared" si="51"/>
        <v/>
      </c>
      <c r="W96" s="103" t="str">
        <f t="shared" si="51"/>
        <v/>
      </c>
      <c r="X96" s="103" t="str">
        <f t="shared" si="51"/>
        <v/>
      </c>
      <c r="Y96" s="103" t="str">
        <f t="shared" si="51"/>
        <v/>
      </c>
      <c r="Z96" s="103" t="str">
        <f t="shared" si="51"/>
        <v/>
      </c>
      <c r="AA96" s="103" t="str">
        <f t="shared" si="51"/>
        <v/>
      </c>
      <c r="AB96" s="103" t="str">
        <f t="shared" si="51"/>
        <v/>
      </c>
    </row>
    <row r="97" spans="1:28" ht="18" customHeight="1" outlineLevel="2" x14ac:dyDescent="0.25">
      <c r="A97" s="9" t="str">
        <f t="shared" si="41"/>
        <v>C4 [Nl/h]</v>
      </c>
      <c r="B97" s="219"/>
      <c r="C97" s="103">
        <f t="shared" si="42"/>
        <v>7.3177752720370887E-2</v>
      </c>
      <c r="D97" s="103">
        <f t="shared" ref="D97:AB97" si="52">IF(D$86="","",D29/100*D$86)</f>
        <v>6.5574506356972165E-3</v>
      </c>
      <c r="E97" s="103">
        <f t="shared" si="52"/>
        <v>1.6781707569387811E-2</v>
      </c>
      <c r="F97" s="103">
        <f t="shared" si="52"/>
        <v>2.7103384008382234E-2</v>
      </c>
      <c r="G97" s="103">
        <f t="shared" si="52"/>
        <v>2.7708662574122432E-2</v>
      </c>
      <c r="H97" s="103">
        <f t="shared" si="52"/>
        <v>0.70092056433249983</v>
      </c>
      <c r="I97" s="103">
        <f t="shared" si="52"/>
        <v>3.5938215210690315E-2</v>
      </c>
      <c r="J97" s="103">
        <f t="shared" si="52"/>
        <v>1.6903082690749961E-2</v>
      </c>
      <c r="K97" s="103">
        <f t="shared" si="52"/>
        <v>1.2886524398305123E-2</v>
      </c>
      <c r="L97" s="103">
        <f t="shared" si="52"/>
        <v>8.1736561990984787E-3</v>
      </c>
      <c r="M97" s="103">
        <f t="shared" si="52"/>
        <v>7.9548615724324978E-3</v>
      </c>
      <c r="N97" s="103">
        <f t="shared" si="52"/>
        <v>8.5761105488782394E-3</v>
      </c>
      <c r="O97" s="103">
        <f t="shared" si="52"/>
        <v>8.6288129042065408E-3</v>
      </c>
      <c r="P97" s="103" t="str">
        <f t="shared" si="52"/>
        <v/>
      </c>
      <c r="Q97" s="103" t="str">
        <f t="shared" si="52"/>
        <v/>
      </c>
      <c r="R97" s="103" t="str">
        <f t="shared" si="52"/>
        <v/>
      </c>
      <c r="S97" s="103" t="str">
        <f t="shared" si="52"/>
        <v/>
      </c>
      <c r="T97" s="103" t="str">
        <f t="shared" si="52"/>
        <v/>
      </c>
      <c r="U97" s="103" t="str">
        <f t="shared" si="52"/>
        <v/>
      </c>
      <c r="V97" s="103" t="str">
        <f t="shared" si="52"/>
        <v/>
      </c>
      <c r="W97" s="103" t="str">
        <f t="shared" si="52"/>
        <v/>
      </c>
      <c r="X97" s="103" t="str">
        <f t="shared" si="52"/>
        <v/>
      </c>
      <c r="Y97" s="103" t="str">
        <f t="shared" si="52"/>
        <v/>
      </c>
      <c r="Z97" s="103" t="str">
        <f t="shared" si="52"/>
        <v/>
      </c>
      <c r="AA97" s="103" t="str">
        <f t="shared" si="52"/>
        <v/>
      </c>
      <c r="AB97" s="103" t="str">
        <f t="shared" si="52"/>
        <v/>
      </c>
    </row>
    <row r="98" spans="1:28" ht="18" customHeight="1" outlineLevel="2" x14ac:dyDescent="0.25">
      <c r="A98" s="9" t="str">
        <f t="shared" si="41"/>
        <v>C5 [Nl/h]</v>
      </c>
      <c r="B98" s="219"/>
      <c r="C98" s="103">
        <f t="shared" si="42"/>
        <v>2.184871425460847E-4</v>
      </c>
      <c r="D98" s="103">
        <f t="shared" ref="D98:AB98" si="53">IF(D$86="","",D30/100*D$86)</f>
        <v>2.6218457105530164E-3</v>
      </c>
      <c r="E98" s="103">
        <f t="shared" si="53"/>
        <v>0</v>
      </c>
      <c r="F98" s="103">
        <f t="shared" si="53"/>
        <v>0</v>
      </c>
      <c r="G98" s="103">
        <f t="shared" si="53"/>
        <v>0</v>
      </c>
      <c r="H98" s="103">
        <f t="shared" si="53"/>
        <v>0</v>
      </c>
      <c r="I98" s="103">
        <f t="shared" si="53"/>
        <v>0</v>
      </c>
      <c r="J98" s="103">
        <f t="shared" si="53"/>
        <v>0</v>
      </c>
      <c r="K98" s="103">
        <f t="shared" si="53"/>
        <v>0</v>
      </c>
      <c r="L98" s="103">
        <f t="shared" si="53"/>
        <v>0</v>
      </c>
      <c r="M98" s="103">
        <f t="shared" si="53"/>
        <v>0</v>
      </c>
      <c r="N98" s="103">
        <f t="shared" si="53"/>
        <v>0</v>
      </c>
      <c r="O98" s="103">
        <f t="shared" si="53"/>
        <v>0</v>
      </c>
      <c r="P98" s="103" t="str">
        <f t="shared" si="53"/>
        <v/>
      </c>
      <c r="Q98" s="103" t="str">
        <f t="shared" si="53"/>
        <v/>
      </c>
      <c r="R98" s="103" t="str">
        <f t="shared" si="53"/>
        <v/>
      </c>
      <c r="S98" s="103" t="str">
        <f t="shared" si="53"/>
        <v/>
      </c>
      <c r="T98" s="103" t="str">
        <f t="shared" si="53"/>
        <v/>
      </c>
      <c r="U98" s="103" t="str">
        <f t="shared" si="53"/>
        <v/>
      </c>
      <c r="V98" s="103" t="str">
        <f t="shared" si="53"/>
        <v/>
      </c>
      <c r="W98" s="103" t="str">
        <f t="shared" si="53"/>
        <v/>
      </c>
      <c r="X98" s="103" t="str">
        <f t="shared" si="53"/>
        <v/>
      </c>
      <c r="Y98" s="103" t="str">
        <f t="shared" si="53"/>
        <v/>
      </c>
      <c r="Z98" s="103" t="str">
        <f t="shared" si="53"/>
        <v/>
      </c>
      <c r="AA98" s="103" t="str">
        <f t="shared" si="53"/>
        <v/>
      </c>
      <c r="AB98" s="103" t="str">
        <f t="shared" si="53"/>
        <v/>
      </c>
    </row>
    <row r="99" spans="1:28" ht="18" customHeight="1" outlineLevel="2" x14ac:dyDescent="0.25">
      <c r="A99" s="9" t="str">
        <f t="shared" si="41"/>
        <v>C6 [Nl/h]</v>
      </c>
      <c r="B99" s="219"/>
      <c r="C99" s="103">
        <f t="shared" si="42"/>
        <v>1.0048050068906069E-4</v>
      </c>
      <c r="D99" s="103">
        <f t="shared" ref="D99:AB99" si="54">IF(D$86="","",D31/100*D$86)</f>
        <v>3.449608712397951E-4</v>
      </c>
      <c r="E99" s="103">
        <f t="shared" si="54"/>
        <v>0</v>
      </c>
      <c r="F99" s="103">
        <f t="shared" si="54"/>
        <v>0</v>
      </c>
      <c r="G99" s="103">
        <f t="shared" si="54"/>
        <v>0</v>
      </c>
      <c r="H99" s="103">
        <f t="shared" si="54"/>
        <v>8.608051370289332E-4</v>
      </c>
      <c r="I99" s="103">
        <f t="shared" si="54"/>
        <v>0</v>
      </c>
      <c r="J99" s="103">
        <f t="shared" si="54"/>
        <v>0</v>
      </c>
      <c r="K99" s="103">
        <f t="shared" si="54"/>
        <v>0</v>
      </c>
      <c r="L99" s="103">
        <f t="shared" si="54"/>
        <v>0</v>
      </c>
      <c r="M99" s="103">
        <f t="shared" si="54"/>
        <v>0</v>
      </c>
      <c r="N99" s="103">
        <f t="shared" si="54"/>
        <v>0</v>
      </c>
      <c r="O99" s="103">
        <f t="shared" si="54"/>
        <v>0</v>
      </c>
      <c r="P99" s="103" t="str">
        <f t="shared" si="54"/>
        <v/>
      </c>
      <c r="Q99" s="103" t="str">
        <f t="shared" si="54"/>
        <v/>
      </c>
      <c r="R99" s="103" t="str">
        <f t="shared" si="54"/>
        <v/>
      </c>
      <c r="S99" s="103" t="str">
        <f t="shared" si="54"/>
        <v/>
      </c>
      <c r="T99" s="103" t="str">
        <f t="shared" si="54"/>
        <v/>
      </c>
      <c r="U99" s="103" t="str">
        <f t="shared" si="54"/>
        <v/>
      </c>
      <c r="V99" s="103" t="str">
        <f t="shared" si="54"/>
        <v/>
      </c>
      <c r="W99" s="103" t="str">
        <f t="shared" si="54"/>
        <v/>
      </c>
      <c r="X99" s="103" t="str">
        <f t="shared" si="54"/>
        <v/>
      </c>
      <c r="Y99" s="103" t="str">
        <f t="shared" si="54"/>
        <v/>
      </c>
      <c r="Z99" s="103" t="str">
        <f t="shared" si="54"/>
        <v/>
      </c>
      <c r="AA99" s="103" t="str">
        <f t="shared" si="54"/>
        <v/>
      </c>
      <c r="AB99" s="103" t="str">
        <f t="shared" si="54"/>
        <v/>
      </c>
    </row>
    <row r="100" spans="1:28" ht="18" customHeight="1" outlineLevel="2" x14ac:dyDescent="0.25">
      <c r="A100" s="9" t="str">
        <f t="shared" si="41"/>
        <v>C6 Above [Nl/h]</v>
      </c>
      <c r="B100" s="219"/>
      <c r="C100" s="103">
        <f t="shared" si="42"/>
        <v>4.9155060937088491E-2</v>
      </c>
      <c r="D100" s="103">
        <f t="shared" ref="D100:AB100" si="55">IF(D$86="","",D32/100*D$86)</f>
        <v>1.8613513677313943E-2</v>
      </c>
      <c r="E100" s="103">
        <f t="shared" si="55"/>
        <v>5.0380257611715627E-2</v>
      </c>
      <c r="F100" s="103">
        <f t="shared" si="55"/>
        <v>5.9342852099668081E-2</v>
      </c>
      <c r="G100" s="103">
        <f t="shared" si="55"/>
        <v>5.5655284267757489E-2</v>
      </c>
      <c r="H100" s="103">
        <f t="shared" si="55"/>
        <v>0.11698325841812496</v>
      </c>
      <c r="I100" s="103">
        <f t="shared" si="55"/>
        <v>0.17763568419564782</v>
      </c>
      <c r="J100" s="103">
        <f t="shared" si="55"/>
        <v>5.4867943019974073E-2</v>
      </c>
      <c r="K100" s="103">
        <f t="shared" si="55"/>
        <v>1.1902747098843487E-2</v>
      </c>
      <c r="L100" s="103">
        <f t="shared" si="55"/>
        <v>1.0569217804930389E-2</v>
      </c>
      <c r="M100" s="103">
        <f t="shared" si="55"/>
        <v>1.0594770462059264E-2</v>
      </c>
      <c r="N100" s="103">
        <f t="shared" si="55"/>
        <v>1.1417246613394884E-2</v>
      </c>
      <c r="O100" s="103">
        <f t="shared" si="55"/>
        <v>1.1897955975631822E-2</v>
      </c>
      <c r="P100" s="103" t="str">
        <f t="shared" si="55"/>
        <v/>
      </c>
      <c r="Q100" s="103" t="str">
        <f t="shared" si="55"/>
        <v/>
      </c>
      <c r="R100" s="103" t="str">
        <f t="shared" si="55"/>
        <v/>
      </c>
      <c r="S100" s="103" t="str">
        <f t="shared" si="55"/>
        <v/>
      </c>
      <c r="T100" s="103" t="str">
        <f t="shared" si="55"/>
        <v/>
      </c>
      <c r="U100" s="103" t="str">
        <f t="shared" si="55"/>
        <v/>
      </c>
      <c r="V100" s="103" t="str">
        <f t="shared" si="55"/>
        <v/>
      </c>
      <c r="W100" s="103" t="str">
        <f t="shared" si="55"/>
        <v/>
      </c>
      <c r="X100" s="103" t="str">
        <f t="shared" si="55"/>
        <v/>
      </c>
      <c r="Y100" s="103" t="str">
        <f t="shared" si="55"/>
        <v/>
      </c>
      <c r="Z100" s="103" t="str">
        <f t="shared" si="55"/>
        <v/>
      </c>
      <c r="AA100" s="103" t="str">
        <f t="shared" si="55"/>
        <v/>
      </c>
      <c r="AB100" s="103" t="str">
        <f t="shared" si="55"/>
        <v/>
      </c>
    </row>
    <row r="101" spans="1:28" ht="18" customHeight="1" outlineLevel="2" x14ac:dyDescent="0.25">
      <c r="A101" s="9" t="str">
        <f t="shared" si="41"/>
        <v>Benzene [Nl/h]</v>
      </c>
      <c r="B101" s="219"/>
      <c r="C101" s="103">
        <f t="shared" si="42"/>
        <v>0</v>
      </c>
      <c r="D101" s="103">
        <f t="shared" ref="D101:AB101" si="56">IF(D$86="","",D33/100*D$86)</f>
        <v>0</v>
      </c>
      <c r="E101" s="103">
        <f t="shared" si="56"/>
        <v>0</v>
      </c>
      <c r="F101" s="103">
        <f t="shared" si="56"/>
        <v>0</v>
      </c>
      <c r="G101" s="103">
        <f t="shared" si="56"/>
        <v>0</v>
      </c>
      <c r="H101" s="103">
        <f t="shared" si="56"/>
        <v>0</v>
      </c>
      <c r="I101" s="103">
        <f t="shared" si="56"/>
        <v>0</v>
      </c>
      <c r="J101" s="103">
        <f t="shared" si="56"/>
        <v>0</v>
      </c>
      <c r="K101" s="103">
        <f t="shared" si="56"/>
        <v>0</v>
      </c>
      <c r="L101" s="103">
        <f t="shared" si="56"/>
        <v>0</v>
      </c>
      <c r="M101" s="103">
        <f t="shared" si="56"/>
        <v>0</v>
      </c>
      <c r="N101" s="103">
        <f t="shared" si="56"/>
        <v>0</v>
      </c>
      <c r="O101" s="103">
        <f t="shared" si="56"/>
        <v>0</v>
      </c>
      <c r="P101" s="103" t="str">
        <f t="shared" si="56"/>
        <v/>
      </c>
      <c r="Q101" s="103" t="str">
        <f t="shared" si="56"/>
        <v/>
      </c>
      <c r="R101" s="103" t="str">
        <f t="shared" si="56"/>
        <v/>
      </c>
      <c r="S101" s="103" t="str">
        <f t="shared" si="56"/>
        <v/>
      </c>
      <c r="T101" s="103" t="str">
        <f t="shared" si="56"/>
        <v/>
      </c>
      <c r="U101" s="103" t="str">
        <f t="shared" si="56"/>
        <v/>
      </c>
      <c r="V101" s="103" t="str">
        <f t="shared" si="56"/>
        <v/>
      </c>
      <c r="W101" s="103" t="str">
        <f t="shared" si="56"/>
        <v/>
      </c>
      <c r="X101" s="103" t="str">
        <f t="shared" si="56"/>
        <v/>
      </c>
      <c r="Y101" s="103" t="str">
        <f t="shared" si="56"/>
        <v/>
      </c>
      <c r="Z101" s="103" t="str">
        <f t="shared" si="56"/>
        <v/>
      </c>
      <c r="AA101" s="103" t="str">
        <f t="shared" si="56"/>
        <v/>
      </c>
      <c r="AB101" s="103" t="str">
        <f t="shared" si="56"/>
        <v/>
      </c>
    </row>
    <row r="102" spans="1:28" ht="18" customHeight="1" outlineLevel="2" x14ac:dyDescent="0.25">
      <c r="A102" s="9" t="str">
        <f t="shared" si="41"/>
        <v>Toluene [Nl/h]</v>
      </c>
      <c r="B102" s="219"/>
      <c r="C102" s="103">
        <f t="shared" si="42"/>
        <v>0</v>
      </c>
      <c r="D102" s="103">
        <f t="shared" ref="D102:AB102" si="57">IF(D$86="","",D34/100*D$86)</f>
        <v>0</v>
      </c>
      <c r="E102" s="103">
        <f t="shared" si="57"/>
        <v>0</v>
      </c>
      <c r="F102" s="103">
        <f t="shared" si="57"/>
        <v>0</v>
      </c>
      <c r="G102" s="103">
        <f t="shared" si="57"/>
        <v>0</v>
      </c>
      <c r="H102" s="103">
        <f t="shared" si="57"/>
        <v>0</v>
      </c>
      <c r="I102" s="103">
        <f t="shared" si="57"/>
        <v>0</v>
      </c>
      <c r="J102" s="103">
        <f t="shared" si="57"/>
        <v>0</v>
      </c>
      <c r="K102" s="103">
        <f t="shared" si="57"/>
        <v>0</v>
      </c>
      <c r="L102" s="103">
        <f t="shared" si="57"/>
        <v>0</v>
      </c>
      <c r="M102" s="103">
        <f t="shared" si="57"/>
        <v>0</v>
      </c>
      <c r="N102" s="103">
        <f t="shared" si="57"/>
        <v>0</v>
      </c>
      <c r="O102" s="103">
        <f t="shared" si="57"/>
        <v>0</v>
      </c>
      <c r="P102" s="103" t="str">
        <f t="shared" si="57"/>
        <v/>
      </c>
      <c r="Q102" s="103" t="str">
        <f t="shared" si="57"/>
        <v/>
      </c>
      <c r="R102" s="103" t="str">
        <f t="shared" si="57"/>
        <v/>
      </c>
      <c r="S102" s="103" t="str">
        <f t="shared" si="57"/>
        <v/>
      </c>
      <c r="T102" s="103" t="str">
        <f t="shared" si="57"/>
        <v/>
      </c>
      <c r="U102" s="103" t="str">
        <f t="shared" si="57"/>
        <v/>
      </c>
      <c r="V102" s="103" t="str">
        <f t="shared" si="57"/>
        <v/>
      </c>
      <c r="W102" s="103" t="str">
        <f t="shared" si="57"/>
        <v/>
      </c>
      <c r="X102" s="103" t="str">
        <f t="shared" si="57"/>
        <v/>
      </c>
      <c r="Y102" s="103" t="str">
        <f t="shared" si="57"/>
        <v/>
      </c>
      <c r="Z102" s="103" t="str">
        <f t="shared" si="57"/>
        <v/>
      </c>
      <c r="AA102" s="103" t="str">
        <f t="shared" si="57"/>
        <v/>
      </c>
      <c r="AB102" s="103" t="str">
        <f t="shared" si="57"/>
        <v/>
      </c>
    </row>
    <row r="103" spans="1:28" ht="18" customHeight="1" outlineLevel="2" x14ac:dyDescent="0.25">
      <c r="A103" s="9" t="str">
        <f t="shared" si="41"/>
        <v>Ethylbenzene [Nl/h]</v>
      </c>
      <c r="B103" s="219"/>
      <c r="C103" s="103">
        <f t="shared" si="42"/>
        <v>0</v>
      </c>
      <c r="D103" s="103">
        <f t="shared" ref="D103:AB103" si="58">IF(D$86="","",D35/100*D$86)</f>
        <v>0</v>
      </c>
      <c r="E103" s="103">
        <f t="shared" si="58"/>
        <v>0</v>
      </c>
      <c r="F103" s="103">
        <f t="shared" si="58"/>
        <v>0</v>
      </c>
      <c r="G103" s="103">
        <f t="shared" si="58"/>
        <v>0</v>
      </c>
      <c r="H103" s="103">
        <f t="shared" si="58"/>
        <v>0</v>
      </c>
      <c r="I103" s="103">
        <f t="shared" si="58"/>
        <v>0</v>
      </c>
      <c r="J103" s="103">
        <f t="shared" si="58"/>
        <v>0</v>
      </c>
      <c r="K103" s="103">
        <f t="shared" si="58"/>
        <v>0</v>
      </c>
      <c r="L103" s="103">
        <f t="shared" si="58"/>
        <v>0</v>
      </c>
      <c r="M103" s="103">
        <f t="shared" si="58"/>
        <v>0</v>
      </c>
      <c r="N103" s="103">
        <f t="shared" si="58"/>
        <v>0</v>
      </c>
      <c r="O103" s="103">
        <f t="shared" si="58"/>
        <v>0</v>
      </c>
      <c r="P103" s="103" t="str">
        <f t="shared" si="58"/>
        <v/>
      </c>
      <c r="Q103" s="103" t="str">
        <f t="shared" si="58"/>
        <v/>
      </c>
      <c r="R103" s="103" t="str">
        <f t="shared" si="58"/>
        <v/>
      </c>
      <c r="S103" s="103" t="str">
        <f t="shared" si="58"/>
        <v/>
      </c>
      <c r="T103" s="103" t="str">
        <f t="shared" si="58"/>
        <v/>
      </c>
      <c r="U103" s="103" t="str">
        <f t="shared" si="58"/>
        <v/>
      </c>
      <c r="V103" s="103" t="str">
        <f t="shared" si="58"/>
        <v/>
      </c>
      <c r="W103" s="103" t="str">
        <f t="shared" si="58"/>
        <v/>
      </c>
      <c r="X103" s="103" t="str">
        <f t="shared" si="58"/>
        <v/>
      </c>
      <c r="Y103" s="103" t="str">
        <f t="shared" si="58"/>
        <v/>
      </c>
      <c r="Z103" s="103" t="str">
        <f t="shared" si="58"/>
        <v/>
      </c>
      <c r="AA103" s="103" t="str">
        <f t="shared" si="58"/>
        <v/>
      </c>
      <c r="AB103" s="103" t="str">
        <f t="shared" si="58"/>
        <v/>
      </c>
    </row>
    <row r="104" spans="1:28" ht="18" customHeight="1" outlineLevel="2" x14ac:dyDescent="0.25">
      <c r="A104" s="9" t="str">
        <f t="shared" si="41"/>
        <v>p-Xylene [Nl/h]</v>
      </c>
      <c r="B104" s="219"/>
      <c r="C104" s="103">
        <f t="shared" si="42"/>
        <v>0</v>
      </c>
      <c r="D104" s="103">
        <f t="shared" ref="D104:AB104" si="59">IF(D$86="","",D36/100*D$86)</f>
        <v>0</v>
      </c>
      <c r="E104" s="103">
        <f t="shared" si="59"/>
        <v>0</v>
      </c>
      <c r="F104" s="103">
        <f t="shared" si="59"/>
        <v>0</v>
      </c>
      <c r="G104" s="103">
        <f t="shared" si="59"/>
        <v>0</v>
      </c>
      <c r="H104" s="103">
        <f t="shared" si="59"/>
        <v>0</v>
      </c>
      <c r="I104" s="103">
        <f t="shared" si="59"/>
        <v>0</v>
      </c>
      <c r="J104" s="103">
        <f t="shared" si="59"/>
        <v>0</v>
      </c>
      <c r="K104" s="103">
        <f t="shared" si="59"/>
        <v>0</v>
      </c>
      <c r="L104" s="103">
        <f t="shared" si="59"/>
        <v>0</v>
      </c>
      <c r="M104" s="103">
        <f t="shared" si="59"/>
        <v>0</v>
      </c>
      <c r="N104" s="103">
        <f t="shared" si="59"/>
        <v>0</v>
      </c>
      <c r="O104" s="103">
        <f t="shared" si="59"/>
        <v>0</v>
      </c>
      <c r="P104" s="103" t="str">
        <f t="shared" si="59"/>
        <v/>
      </c>
      <c r="Q104" s="103" t="str">
        <f t="shared" si="59"/>
        <v/>
      </c>
      <c r="R104" s="103" t="str">
        <f t="shared" si="59"/>
        <v/>
      </c>
      <c r="S104" s="103" t="str">
        <f t="shared" si="59"/>
        <v/>
      </c>
      <c r="T104" s="103" t="str">
        <f t="shared" si="59"/>
        <v/>
      </c>
      <c r="U104" s="103" t="str">
        <f t="shared" si="59"/>
        <v/>
      </c>
      <c r="V104" s="103" t="str">
        <f t="shared" si="59"/>
        <v/>
      </c>
      <c r="W104" s="103" t="str">
        <f t="shared" si="59"/>
        <v/>
      </c>
      <c r="X104" s="103" t="str">
        <f t="shared" si="59"/>
        <v/>
      </c>
      <c r="Y104" s="103" t="str">
        <f t="shared" si="59"/>
        <v/>
      </c>
      <c r="Z104" s="103" t="str">
        <f t="shared" si="59"/>
        <v/>
      </c>
      <c r="AA104" s="103" t="str">
        <f t="shared" si="59"/>
        <v/>
      </c>
      <c r="AB104" s="103" t="str">
        <f t="shared" si="59"/>
        <v/>
      </c>
    </row>
    <row r="105" spans="1:28" ht="18" customHeight="1" outlineLevel="2" x14ac:dyDescent="0.25">
      <c r="A105" s="9" t="str">
        <f t="shared" si="41"/>
        <v>m-Xylene [Nl/h]</v>
      </c>
      <c r="B105" s="219"/>
      <c r="C105" s="103">
        <f t="shared" si="42"/>
        <v>4.0925508300520604E-3</v>
      </c>
      <c r="D105" s="103">
        <f t="shared" ref="D105:AB105" si="60">IF(D$86="","",D37/100*D$86)</f>
        <v>4.762376472393838E-3</v>
      </c>
      <c r="E105" s="103">
        <f t="shared" si="60"/>
        <v>7.5188693601710901E-3</v>
      </c>
      <c r="F105" s="103">
        <f t="shared" si="60"/>
        <v>3.2579637839313985E-3</v>
      </c>
      <c r="G105" s="103">
        <f t="shared" si="60"/>
        <v>2.7101786967311677E-3</v>
      </c>
      <c r="H105" s="103">
        <f t="shared" si="60"/>
        <v>6.257206914432949E-3</v>
      </c>
      <c r="I105" s="103">
        <f t="shared" si="60"/>
        <v>1.2516010869936454E-2</v>
      </c>
      <c r="J105" s="103">
        <f t="shared" si="60"/>
        <v>6.3610145840189997E-3</v>
      </c>
      <c r="K105" s="103">
        <f t="shared" si="60"/>
        <v>1.2153482546920558E-3</v>
      </c>
      <c r="L105" s="103">
        <f t="shared" si="60"/>
        <v>1.1243169136704433E-3</v>
      </c>
      <c r="M105" s="103">
        <f t="shared" si="60"/>
        <v>1.0748086404832504E-3</v>
      </c>
      <c r="N105" s="103">
        <f t="shared" si="60"/>
        <v>1.1402873243759894E-3</v>
      </c>
      <c r="O105" s="103">
        <f t="shared" si="60"/>
        <v>1.1722281457870814E-3</v>
      </c>
      <c r="P105" s="103" t="str">
        <f t="shared" si="60"/>
        <v/>
      </c>
      <c r="Q105" s="103" t="str">
        <f t="shared" si="60"/>
        <v/>
      </c>
      <c r="R105" s="103" t="str">
        <f t="shared" si="60"/>
        <v/>
      </c>
      <c r="S105" s="103" t="str">
        <f t="shared" si="60"/>
        <v/>
      </c>
      <c r="T105" s="103" t="str">
        <f t="shared" si="60"/>
        <v/>
      </c>
      <c r="U105" s="103" t="str">
        <f t="shared" si="60"/>
        <v/>
      </c>
      <c r="V105" s="103" t="str">
        <f t="shared" si="60"/>
        <v/>
      </c>
      <c r="W105" s="103" t="str">
        <f t="shared" si="60"/>
        <v/>
      </c>
      <c r="X105" s="103" t="str">
        <f t="shared" si="60"/>
        <v/>
      </c>
      <c r="Y105" s="103" t="str">
        <f t="shared" si="60"/>
        <v/>
      </c>
      <c r="Z105" s="103" t="str">
        <f t="shared" si="60"/>
        <v/>
      </c>
      <c r="AA105" s="103" t="str">
        <f t="shared" si="60"/>
        <v/>
      </c>
      <c r="AB105" s="103" t="str">
        <f t="shared" si="60"/>
        <v/>
      </c>
    </row>
    <row r="106" spans="1:28" ht="18" customHeight="1" outlineLevel="2" x14ac:dyDescent="0.25">
      <c r="A106" s="9" t="str">
        <f t="shared" si="41"/>
        <v>o-Xylene [Nl/h]</v>
      </c>
      <c r="B106" s="219"/>
      <c r="C106" s="103">
        <f t="shared" si="42"/>
        <v>0</v>
      </c>
      <c r="D106" s="103">
        <f t="shared" ref="D106:AB106" si="61">IF(D$86="","",D38/100*D$86)</f>
        <v>0</v>
      </c>
      <c r="E106" s="103">
        <f t="shared" si="61"/>
        <v>0</v>
      </c>
      <c r="F106" s="103">
        <f t="shared" si="61"/>
        <v>0</v>
      </c>
      <c r="G106" s="103">
        <f t="shared" si="61"/>
        <v>0</v>
      </c>
      <c r="H106" s="103">
        <f t="shared" si="61"/>
        <v>0</v>
      </c>
      <c r="I106" s="103">
        <f t="shared" si="61"/>
        <v>0</v>
      </c>
      <c r="J106" s="103">
        <f t="shared" si="61"/>
        <v>0</v>
      </c>
      <c r="K106" s="103">
        <f t="shared" si="61"/>
        <v>0</v>
      </c>
      <c r="L106" s="103">
        <f t="shared" si="61"/>
        <v>0</v>
      </c>
      <c r="M106" s="103">
        <f t="shared" si="61"/>
        <v>0</v>
      </c>
      <c r="N106" s="103">
        <f t="shared" si="61"/>
        <v>0</v>
      </c>
      <c r="O106" s="103">
        <f t="shared" si="61"/>
        <v>0</v>
      </c>
      <c r="P106" s="103" t="str">
        <f t="shared" si="61"/>
        <v/>
      </c>
      <c r="Q106" s="103" t="str">
        <f t="shared" si="61"/>
        <v/>
      </c>
      <c r="R106" s="103" t="str">
        <f t="shared" si="61"/>
        <v/>
      </c>
      <c r="S106" s="103" t="str">
        <f t="shared" si="61"/>
        <v/>
      </c>
      <c r="T106" s="103" t="str">
        <f t="shared" si="61"/>
        <v/>
      </c>
      <c r="U106" s="103" t="str">
        <f t="shared" si="61"/>
        <v/>
      </c>
      <c r="V106" s="103" t="str">
        <f t="shared" si="61"/>
        <v/>
      </c>
      <c r="W106" s="103" t="str">
        <f t="shared" si="61"/>
        <v/>
      </c>
      <c r="X106" s="103" t="str">
        <f t="shared" si="61"/>
        <v/>
      </c>
      <c r="Y106" s="103" t="str">
        <f t="shared" si="61"/>
        <v/>
      </c>
      <c r="Z106" s="103" t="str">
        <f t="shared" si="61"/>
        <v/>
      </c>
      <c r="AA106" s="103" t="str">
        <f t="shared" si="61"/>
        <v/>
      </c>
      <c r="AB106" s="103" t="str">
        <f t="shared" si="61"/>
        <v/>
      </c>
    </row>
    <row r="107" spans="1:28" ht="18" customHeight="1" outlineLevel="2" x14ac:dyDescent="0.25">
      <c r="A107" s="9" t="str">
        <f t="shared" si="41"/>
        <v>C6 Unknowns [Nl/h]</v>
      </c>
      <c r="B107" s="219"/>
      <c r="C107" s="103">
        <f t="shared" si="42"/>
        <v>7.3177752720370887E-2</v>
      </c>
      <c r="D107" s="103">
        <f t="shared" ref="D107:AB107" si="62">IF(D$86="","",D39/100*D$86)</f>
        <v>6.5574506356972165E-3</v>
      </c>
      <c r="E107" s="103">
        <f t="shared" si="62"/>
        <v>1.6781707569387811E-2</v>
      </c>
      <c r="F107" s="103">
        <f t="shared" si="62"/>
        <v>2.7103384008382234E-2</v>
      </c>
      <c r="G107" s="103">
        <f t="shared" si="62"/>
        <v>2.7708662574122432E-2</v>
      </c>
      <c r="H107" s="103">
        <f t="shared" si="62"/>
        <v>0.70092056433249983</v>
      </c>
      <c r="I107" s="103">
        <f t="shared" si="62"/>
        <v>3.5938215210690315E-2</v>
      </c>
      <c r="J107" s="103">
        <f t="shared" si="62"/>
        <v>1.6903082690749961E-2</v>
      </c>
      <c r="K107" s="103">
        <f t="shared" si="62"/>
        <v>1.2886524398305123E-2</v>
      </c>
      <c r="L107" s="103">
        <f t="shared" si="62"/>
        <v>8.1736561990984787E-3</v>
      </c>
      <c r="M107" s="103">
        <f t="shared" si="62"/>
        <v>7.9548615724324978E-3</v>
      </c>
      <c r="N107" s="103">
        <f t="shared" si="62"/>
        <v>8.5761105488782394E-3</v>
      </c>
      <c r="O107" s="103">
        <f t="shared" si="62"/>
        <v>8.6288129042065408E-3</v>
      </c>
      <c r="P107" s="103" t="str">
        <f t="shared" si="62"/>
        <v/>
      </c>
      <c r="Q107" s="103" t="str">
        <f t="shared" si="62"/>
        <v/>
      </c>
      <c r="R107" s="103" t="str">
        <f t="shared" si="62"/>
        <v/>
      </c>
      <c r="S107" s="103" t="str">
        <f t="shared" si="62"/>
        <v/>
      </c>
      <c r="T107" s="103" t="str">
        <f t="shared" si="62"/>
        <v/>
      </c>
      <c r="U107" s="103" t="str">
        <f t="shared" si="62"/>
        <v/>
      </c>
      <c r="V107" s="103" t="str">
        <f t="shared" si="62"/>
        <v/>
      </c>
      <c r="W107" s="103" t="str">
        <f t="shared" si="62"/>
        <v/>
      </c>
      <c r="X107" s="103" t="str">
        <f t="shared" si="62"/>
        <v/>
      </c>
      <c r="Y107" s="103" t="str">
        <f t="shared" si="62"/>
        <v/>
      </c>
      <c r="Z107" s="103" t="str">
        <f t="shared" si="62"/>
        <v/>
      </c>
      <c r="AA107" s="103" t="str">
        <f t="shared" si="62"/>
        <v/>
      </c>
      <c r="AB107" s="103" t="str">
        <f t="shared" si="62"/>
        <v/>
      </c>
    </row>
    <row r="108" spans="1:28" ht="18" customHeight="1" outlineLevel="2" x14ac:dyDescent="0.25">
      <c r="A108" s="9" t="str">
        <f t="shared" si="41"/>
        <v>C8 Unknowns [Nl/h]</v>
      </c>
      <c r="B108" s="219"/>
      <c r="C108" s="103">
        <f t="shared" si="42"/>
        <v>2.1852845315422202E-4</v>
      </c>
      <c r="D108" s="103">
        <f t="shared" ref="D108:AB108" si="63">IF(D$86="","",D40/100*D$86)</f>
        <v>2.6223414378506644E-3</v>
      </c>
      <c r="E108" s="103">
        <f t="shared" si="63"/>
        <v>0</v>
      </c>
      <c r="F108" s="103">
        <f t="shared" si="63"/>
        <v>0</v>
      </c>
      <c r="G108" s="103">
        <f t="shared" si="63"/>
        <v>0</v>
      </c>
      <c r="H108" s="103">
        <f t="shared" si="63"/>
        <v>0</v>
      </c>
      <c r="I108" s="103">
        <f t="shared" si="63"/>
        <v>0</v>
      </c>
      <c r="J108" s="103">
        <f t="shared" si="63"/>
        <v>0</v>
      </c>
      <c r="K108" s="103">
        <f t="shared" si="63"/>
        <v>0</v>
      </c>
      <c r="L108" s="103">
        <f t="shared" si="63"/>
        <v>0</v>
      </c>
      <c r="M108" s="103">
        <f t="shared" si="63"/>
        <v>0</v>
      </c>
      <c r="N108" s="103">
        <f t="shared" si="63"/>
        <v>0</v>
      </c>
      <c r="O108" s="103">
        <f t="shared" si="63"/>
        <v>0</v>
      </c>
      <c r="P108" s="103" t="str">
        <f t="shared" si="63"/>
        <v/>
      </c>
      <c r="Q108" s="103" t="str">
        <f t="shared" si="63"/>
        <v/>
      </c>
      <c r="R108" s="103" t="str">
        <f t="shared" si="63"/>
        <v/>
      </c>
      <c r="S108" s="103" t="str">
        <f t="shared" si="63"/>
        <v/>
      </c>
      <c r="T108" s="103" t="str">
        <f t="shared" si="63"/>
        <v/>
      </c>
      <c r="U108" s="103" t="str">
        <f t="shared" si="63"/>
        <v/>
      </c>
      <c r="V108" s="103" t="str">
        <f t="shared" si="63"/>
        <v/>
      </c>
      <c r="W108" s="103" t="str">
        <f t="shared" si="63"/>
        <v/>
      </c>
      <c r="X108" s="103" t="str">
        <f t="shared" si="63"/>
        <v/>
      </c>
      <c r="Y108" s="103" t="str">
        <f t="shared" si="63"/>
        <v/>
      </c>
      <c r="Z108" s="103" t="str">
        <f t="shared" si="63"/>
        <v/>
      </c>
      <c r="AA108" s="103" t="str">
        <f t="shared" si="63"/>
        <v/>
      </c>
      <c r="AB108" s="103" t="str">
        <f t="shared" si="63"/>
        <v/>
      </c>
    </row>
    <row r="109" spans="1:28" ht="18" customHeight="1" outlineLevel="2" x14ac:dyDescent="0.25">
      <c r="A109" s="9" t="str">
        <f t="shared" si="41"/>
        <v>C7 Unknowns [Nl/h]</v>
      </c>
      <c r="B109" s="219"/>
      <c r="C109" s="103">
        <f t="shared" si="42"/>
        <v>0</v>
      </c>
      <c r="D109" s="103">
        <f t="shared" ref="D109:AB109" si="64">IF(D$86="","",D41/100*D$86)</f>
        <v>0</v>
      </c>
      <c r="E109" s="103">
        <f t="shared" si="64"/>
        <v>0</v>
      </c>
      <c r="F109" s="103">
        <f t="shared" si="64"/>
        <v>0</v>
      </c>
      <c r="G109" s="103">
        <f t="shared" si="64"/>
        <v>0</v>
      </c>
      <c r="H109" s="103">
        <f t="shared" si="64"/>
        <v>0</v>
      </c>
      <c r="I109" s="103">
        <f t="shared" si="64"/>
        <v>0</v>
      </c>
      <c r="J109" s="103">
        <f t="shared" si="64"/>
        <v>0</v>
      </c>
      <c r="K109" s="103">
        <f t="shared" si="64"/>
        <v>0</v>
      </c>
      <c r="L109" s="103">
        <f t="shared" si="64"/>
        <v>0</v>
      </c>
      <c r="M109" s="103">
        <f t="shared" si="64"/>
        <v>0</v>
      </c>
      <c r="N109" s="103">
        <f t="shared" si="64"/>
        <v>0</v>
      </c>
      <c r="O109" s="103">
        <f t="shared" si="64"/>
        <v>0</v>
      </c>
      <c r="P109" s="103" t="str">
        <f t="shared" si="64"/>
        <v/>
      </c>
      <c r="Q109" s="103" t="str">
        <f t="shared" si="64"/>
        <v/>
      </c>
      <c r="R109" s="103" t="str">
        <f t="shared" si="64"/>
        <v/>
      </c>
      <c r="S109" s="103" t="str">
        <f t="shared" si="64"/>
        <v/>
      </c>
      <c r="T109" s="103" t="str">
        <f t="shared" si="64"/>
        <v/>
      </c>
      <c r="U109" s="103" t="str">
        <f t="shared" si="64"/>
        <v/>
      </c>
      <c r="V109" s="103" t="str">
        <f t="shared" si="64"/>
        <v/>
      </c>
      <c r="W109" s="103" t="str">
        <f t="shared" si="64"/>
        <v/>
      </c>
      <c r="X109" s="103" t="str">
        <f t="shared" si="64"/>
        <v/>
      </c>
      <c r="Y109" s="103" t="str">
        <f t="shared" si="64"/>
        <v/>
      </c>
      <c r="Z109" s="103" t="str">
        <f t="shared" si="64"/>
        <v/>
      </c>
      <c r="AA109" s="103" t="str">
        <f t="shared" si="64"/>
        <v/>
      </c>
      <c r="AB109" s="103" t="str">
        <f t="shared" si="64"/>
        <v/>
      </c>
    </row>
    <row r="110" spans="1:28" ht="18" customHeight="1" outlineLevel="2" x14ac:dyDescent="0.25">
      <c r="A110" s="9" t="str">
        <f t="shared" si="41"/>
        <v>CO2 [Nl/h]</v>
      </c>
      <c r="B110" s="219"/>
      <c r="C110" s="103">
        <f t="shared" si="42"/>
        <v>0</v>
      </c>
      <c r="D110" s="103">
        <f t="shared" ref="D110:AB110" si="65">IF(D$86="","",D42/100*D$86)</f>
        <v>0</v>
      </c>
      <c r="E110" s="103">
        <f t="shared" si="65"/>
        <v>0</v>
      </c>
      <c r="F110" s="103">
        <f t="shared" si="65"/>
        <v>0</v>
      </c>
      <c r="G110" s="103">
        <f t="shared" si="65"/>
        <v>0</v>
      </c>
      <c r="H110" s="103">
        <f t="shared" si="65"/>
        <v>0</v>
      </c>
      <c r="I110" s="103">
        <f t="shared" si="65"/>
        <v>0</v>
      </c>
      <c r="J110" s="103">
        <f t="shared" si="65"/>
        <v>0</v>
      </c>
      <c r="K110" s="103">
        <f t="shared" si="65"/>
        <v>0</v>
      </c>
      <c r="L110" s="103">
        <f t="shared" si="65"/>
        <v>0</v>
      </c>
      <c r="M110" s="103">
        <f t="shared" si="65"/>
        <v>0</v>
      </c>
      <c r="N110" s="103">
        <f t="shared" si="65"/>
        <v>0</v>
      </c>
      <c r="O110" s="103">
        <f t="shared" si="65"/>
        <v>0</v>
      </c>
      <c r="P110" s="103" t="str">
        <f t="shared" si="65"/>
        <v/>
      </c>
      <c r="Q110" s="103" t="str">
        <f t="shared" si="65"/>
        <v/>
      </c>
      <c r="R110" s="103" t="str">
        <f t="shared" si="65"/>
        <v/>
      </c>
      <c r="S110" s="103" t="str">
        <f t="shared" si="65"/>
        <v/>
      </c>
      <c r="T110" s="103" t="str">
        <f t="shared" si="65"/>
        <v/>
      </c>
      <c r="U110" s="103" t="str">
        <f t="shared" si="65"/>
        <v/>
      </c>
      <c r="V110" s="103" t="str">
        <f t="shared" si="65"/>
        <v/>
      </c>
      <c r="W110" s="103" t="str">
        <f t="shared" si="65"/>
        <v/>
      </c>
      <c r="X110" s="103" t="str">
        <f t="shared" si="65"/>
        <v/>
      </c>
      <c r="Y110" s="103" t="str">
        <f t="shared" si="65"/>
        <v/>
      </c>
      <c r="Z110" s="103" t="str">
        <f t="shared" si="65"/>
        <v/>
      </c>
      <c r="AA110" s="103" t="str">
        <f t="shared" si="65"/>
        <v/>
      </c>
      <c r="AB110" s="103" t="str">
        <f t="shared" si="65"/>
        <v/>
      </c>
    </row>
    <row r="111" spans="1:28" ht="18" customHeight="1" outlineLevel="2" x14ac:dyDescent="0.25">
      <c r="A111" s="9" t="str">
        <f t="shared" si="41"/>
        <v>Argon [Nl/h]</v>
      </c>
      <c r="B111" s="219"/>
      <c r="C111" s="103">
        <f t="shared" si="42"/>
        <v>6.8526398550599312</v>
      </c>
      <c r="D111" s="103">
        <f t="shared" ref="D111:AB111" si="66">IF(D$86="","",D43/100*D$86)</f>
        <v>6.998277091279193</v>
      </c>
      <c r="E111" s="103">
        <f t="shared" si="66"/>
        <v>6.8744553029969531</v>
      </c>
      <c r="F111" s="103">
        <f t="shared" si="66"/>
        <v>6.8940014886594714</v>
      </c>
      <c r="G111" s="103">
        <f t="shared" si="66"/>
        <v>6.8937683206631704</v>
      </c>
      <c r="H111" s="103">
        <f t="shared" si="66"/>
        <v>6.52463463577946</v>
      </c>
      <c r="I111" s="103">
        <f t="shared" si="66"/>
        <v>6.9051200885926711</v>
      </c>
      <c r="J111" s="103">
        <f t="shared" si="66"/>
        <v>6.8422653431788545</v>
      </c>
      <c r="K111" s="103">
        <f t="shared" si="66"/>
        <v>6.844529947416901</v>
      </c>
      <c r="L111" s="103">
        <f t="shared" si="66"/>
        <v>6.8404622838101989</v>
      </c>
      <c r="M111" s="103">
        <f t="shared" si="66"/>
        <v>6.8554792609966233</v>
      </c>
      <c r="N111" s="103">
        <f t="shared" si="66"/>
        <v>6.8899801392438142</v>
      </c>
      <c r="O111" s="103">
        <f t="shared" si="66"/>
        <v>6.8687043581018861</v>
      </c>
      <c r="P111" s="103" t="str">
        <f t="shared" si="66"/>
        <v/>
      </c>
      <c r="Q111" s="103" t="str">
        <f t="shared" si="66"/>
        <v/>
      </c>
      <c r="R111" s="103" t="str">
        <f t="shared" si="66"/>
        <v/>
      </c>
      <c r="S111" s="103" t="str">
        <f t="shared" si="66"/>
        <v/>
      </c>
      <c r="T111" s="103" t="str">
        <f t="shared" si="66"/>
        <v/>
      </c>
      <c r="U111" s="103" t="str">
        <f t="shared" si="66"/>
        <v/>
      </c>
      <c r="V111" s="103" t="str">
        <f t="shared" si="66"/>
        <v/>
      </c>
      <c r="W111" s="103" t="str">
        <f t="shared" si="66"/>
        <v/>
      </c>
      <c r="X111" s="103" t="str">
        <f t="shared" si="66"/>
        <v/>
      </c>
      <c r="Y111" s="103" t="str">
        <f t="shared" si="66"/>
        <v/>
      </c>
      <c r="Z111" s="103" t="str">
        <f t="shared" si="66"/>
        <v/>
      </c>
      <c r="AA111" s="103" t="str">
        <f t="shared" si="66"/>
        <v/>
      </c>
      <c r="AB111" s="103" t="str">
        <f t="shared" si="66"/>
        <v/>
      </c>
    </row>
    <row r="112" spans="1:28" ht="18" customHeight="1" outlineLevel="2" x14ac:dyDescent="0.25">
      <c r="A112" s="9" t="str">
        <f t="shared" si="41"/>
        <v>CO [Nl/h]</v>
      </c>
      <c r="B112" s="219"/>
      <c r="C112" s="103">
        <f t="shared" si="42"/>
        <v>0</v>
      </c>
      <c r="D112" s="103">
        <f t="shared" ref="D112:AB112" si="67">IF(D$86="","",D44/100*D$86)</f>
        <v>0</v>
      </c>
      <c r="E112" s="103">
        <f t="shared" si="67"/>
        <v>0</v>
      </c>
      <c r="F112" s="103">
        <f t="shared" si="67"/>
        <v>0</v>
      </c>
      <c r="G112" s="103">
        <f t="shared" si="67"/>
        <v>0</v>
      </c>
      <c r="H112" s="103">
        <f t="shared" si="67"/>
        <v>0</v>
      </c>
      <c r="I112" s="103">
        <f t="shared" si="67"/>
        <v>0</v>
      </c>
      <c r="J112" s="103">
        <f t="shared" si="67"/>
        <v>0</v>
      </c>
      <c r="K112" s="103">
        <f t="shared" si="67"/>
        <v>0</v>
      </c>
      <c r="L112" s="103">
        <f t="shared" si="67"/>
        <v>0</v>
      </c>
      <c r="M112" s="103">
        <f t="shared" si="67"/>
        <v>0</v>
      </c>
      <c r="N112" s="103">
        <f t="shared" si="67"/>
        <v>0</v>
      </c>
      <c r="O112" s="103">
        <f t="shared" si="67"/>
        <v>0</v>
      </c>
      <c r="P112" s="103" t="str">
        <f t="shared" si="67"/>
        <v/>
      </c>
      <c r="Q112" s="103" t="str">
        <f t="shared" si="67"/>
        <v/>
      </c>
      <c r="R112" s="103" t="str">
        <f t="shared" si="67"/>
        <v/>
      </c>
      <c r="S112" s="103" t="str">
        <f t="shared" si="67"/>
        <v/>
      </c>
      <c r="T112" s="103" t="str">
        <f t="shared" si="67"/>
        <v/>
      </c>
      <c r="U112" s="103" t="str">
        <f t="shared" si="67"/>
        <v/>
      </c>
      <c r="V112" s="103" t="str">
        <f t="shared" si="67"/>
        <v/>
      </c>
      <c r="W112" s="103" t="str">
        <f t="shared" si="67"/>
        <v/>
      </c>
      <c r="X112" s="103" t="str">
        <f t="shared" si="67"/>
        <v/>
      </c>
      <c r="Y112" s="103" t="str">
        <f t="shared" si="67"/>
        <v/>
      </c>
      <c r="Z112" s="103" t="str">
        <f t="shared" si="67"/>
        <v/>
      </c>
      <c r="AA112" s="103" t="str">
        <f t="shared" si="67"/>
        <v/>
      </c>
      <c r="AB112" s="103" t="str">
        <f t="shared" si="67"/>
        <v/>
      </c>
    </row>
    <row r="113" spans="1:28" ht="18" customHeight="1" outlineLevel="2" x14ac:dyDescent="0.25">
      <c r="A113" s="9" t="str">
        <f t="shared" si="41"/>
        <v>H2 [Nl/h]</v>
      </c>
      <c r="B113" s="219"/>
      <c r="C113" s="103">
        <f t="shared" si="42"/>
        <v>34.0018242065238</v>
      </c>
      <c r="D113" s="103">
        <f t="shared" ref="D113:AB113" si="68">IF(D$86="","",D45/100*D$86)</f>
        <v>34.406777393231955</v>
      </c>
      <c r="E113" s="103">
        <f t="shared" si="68"/>
        <v>34.559770733708952</v>
      </c>
      <c r="F113" s="103">
        <f t="shared" si="68"/>
        <v>34.724872839582879</v>
      </c>
      <c r="G113" s="103">
        <f t="shared" si="68"/>
        <v>34.793360348852545</v>
      </c>
      <c r="H113" s="103">
        <f t="shared" si="68"/>
        <v>27.167278427532985</v>
      </c>
      <c r="I113" s="103">
        <f t="shared" si="68"/>
        <v>35.002595087670187</v>
      </c>
      <c r="J113" s="103">
        <f t="shared" si="68"/>
        <v>34.689032043877496</v>
      </c>
      <c r="K113" s="103">
        <f t="shared" si="68"/>
        <v>34.567195377645952</v>
      </c>
      <c r="L113" s="103">
        <f t="shared" si="68"/>
        <v>34.441867579634184</v>
      </c>
      <c r="M113" s="103">
        <f t="shared" si="68"/>
        <v>34.535142763359922</v>
      </c>
      <c r="N113" s="103">
        <f t="shared" si="68"/>
        <v>34.592008604759158</v>
      </c>
      <c r="O113" s="103">
        <f t="shared" si="68"/>
        <v>34.541989278429391</v>
      </c>
      <c r="P113" s="103" t="str">
        <f t="shared" si="68"/>
        <v/>
      </c>
      <c r="Q113" s="103" t="str">
        <f t="shared" si="68"/>
        <v/>
      </c>
      <c r="R113" s="103" t="str">
        <f t="shared" si="68"/>
        <v/>
      </c>
      <c r="S113" s="103" t="str">
        <f t="shared" si="68"/>
        <v/>
      </c>
      <c r="T113" s="103" t="str">
        <f t="shared" si="68"/>
        <v/>
      </c>
      <c r="U113" s="103" t="str">
        <f t="shared" si="68"/>
        <v/>
      </c>
      <c r="V113" s="103" t="str">
        <f t="shared" si="68"/>
        <v/>
      </c>
      <c r="W113" s="103" t="str">
        <f t="shared" si="68"/>
        <v/>
      </c>
      <c r="X113" s="103" t="str">
        <f t="shared" si="68"/>
        <v/>
      </c>
      <c r="Y113" s="103" t="str">
        <f t="shared" si="68"/>
        <v/>
      </c>
      <c r="Z113" s="103" t="str">
        <f t="shared" si="68"/>
        <v/>
      </c>
      <c r="AA113" s="103" t="str">
        <f t="shared" si="68"/>
        <v/>
      </c>
      <c r="AB113" s="103" t="str">
        <f t="shared" si="68"/>
        <v/>
      </c>
    </row>
    <row r="114" spans="1:28" ht="18" customHeight="1" outlineLevel="2" x14ac:dyDescent="0.25">
      <c r="A114" s="9" t="str">
        <f t="shared" si="41"/>
        <v>Acetylene [Nl/h]</v>
      </c>
      <c r="B114" s="219"/>
      <c r="C114" s="103">
        <f t="shared" si="42"/>
        <v>12.705456007415073</v>
      </c>
      <c r="D114" s="103">
        <f t="shared" ref="D114:AB114" si="69">IF(D$86="","",D46/100*D$86)</f>
        <v>13.350789028638561</v>
      </c>
      <c r="E114" s="103">
        <f t="shared" si="69"/>
        <v>13.33912903178244</v>
      </c>
      <c r="F114" s="103">
        <f t="shared" si="69"/>
        <v>13.358036401016737</v>
      </c>
      <c r="G114" s="103">
        <f t="shared" si="69"/>
        <v>13.623266593850163</v>
      </c>
      <c r="H114" s="103">
        <f t="shared" si="69"/>
        <v>8.0587139591685215</v>
      </c>
      <c r="I114" s="103">
        <f t="shared" si="69"/>
        <v>13.584932817033641</v>
      </c>
      <c r="J114" s="103">
        <f t="shared" si="69"/>
        <v>13.561940216740867</v>
      </c>
      <c r="K114" s="103">
        <f t="shared" si="69"/>
        <v>13.090495289754218</v>
      </c>
      <c r="L114" s="103">
        <f t="shared" si="69"/>
        <v>12.625900071919176</v>
      </c>
      <c r="M114" s="103">
        <f t="shared" si="69"/>
        <v>12.596937732104669</v>
      </c>
      <c r="N114" s="103">
        <f t="shared" si="69"/>
        <v>12.629510981779701</v>
      </c>
      <c r="O114" s="103">
        <f t="shared" si="69"/>
        <v>12.645819965192205</v>
      </c>
      <c r="P114" s="103" t="str">
        <f t="shared" si="69"/>
        <v/>
      </c>
      <c r="Q114" s="103" t="str">
        <f t="shared" si="69"/>
        <v/>
      </c>
      <c r="R114" s="103" t="str">
        <f t="shared" si="69"/>
        <v/>
      </c>
      <c r="S114" s="103" t="str">
        <f t="shared" si="69"/>
        <v/>
      </c>
      <c r="T114" s="103" t="str">
        <f t="shared" si="69"/>
        <v/>
      </c>
      <c r="U114" s="103" t="str">
        <f t="shared" si="69"/>
        <v/>
      </c>
      <c r="V114" s="103" t="str">
        <f t="shared" si="69"/>
        <v/>
      </c>
      <c r="W114" s="103" t="str">
        <f t="shared" si="69"/>
        <v/>
      </c>
      <c r="X114" s="103" t="str">
        <f t="shared" si="69"/>
        <v/>
      </c>
      <c r="Y114" s="103" t="str">
        <f t="shared" si="69"/>
        <v/>
      </c>
      <c r="Z114" s="103" t="str">
        <f t="shared" si="69"/>
        <v/>
      </c>
      <c r="AA114" s="103" t="str">
        <f t="shared" si="69"/>
        <v/>
      </c>
      <c r="AB114" s="103" t="str">
        <f t="shared" si="69"/>
        <v/>
      </c>
    </row>
    <row r="115" spans="1:28" ht="18" customHeight="1" outlineLevel="2" x14ac:dyDescent="0.25">
      <c r="A115" s="9" t="str">
        <f t="shared" si="41"/>
        <v>Isobutane [Nl/h]</v>
      </c>
      <c r="B115" s="219"/>
      <c r="C115" s="103">
        <f t="shared" si="42"/>
        <v>0</v>
      </c>
      <c r="D115" s="103">
        <f t="shared" ref="D115:AB115" si="70">IF(D$86="","",D47/100*D$86)</f>
        <v>0</v>
      </c>
      <c r="E115" s="103">
        <f t="shared" si="70"/>
        <v>0</v>
      </c>
      <c r="F115" s="103">
        <f t="shared" si="70"/>
        <v>0</v>
      </c>
      <c r="G115" s="103">
        <f t="shared" si="70"/>
        <v>0</v>
      </c>
      <c r="H115" s="103">
        <f t="shared" si="70"/>
        <v>0</v>
      </c>
      <c r="I115" s="103">
        <f t="shared" si="70"/>
        <v>0</v>
      </c>
      <c r="J115" s="103">
        <f t="shared" si="70"/>
        <v>0</v>
      </c>
      <c r="K115" s="103">
        <f t="shared" si="70"/>
        <v>0</v>
      </c>
      <c r="L115" s="103">
        <f t="shared" si="70"/>
        <v>0</v>
      </c>
      <c r="M115" s="103">
        <f t="shared" si="70"/>
        <v>0</v>
      </c>
      <c r="N115" s="103">
        <f t="shared" si="70"/>
        <v>0</v>
      </c>
      <c r="O115" s="103">
        <f t="shared" si="70"/>
        <v>0</v>
      </c>
      <c r="P115" s="103" t="str">
        <f t="shared" si="70"/>
        <v/>
      </c>
      <c r="Q115" s="103" t="str">
        <f t="shared" si="70"/>
        <v/>
      </c>
      <c r="R115" s="103" t="str">
        <f t="shared" si="70"/>
        <v/>
      </c>
      <c r="S115" s="103" t="str">
        <f t="shared" si="70"/>
        <v/>
      </c>
      <c r="T115" s="103" t="str">
        <f t="shared" si="70"/>
        <v/>
      </c>
      <c r="U115" s="103" t="str">
        <f t="shared" si="70"/>
        <v/>
      </c>
      <c r="V115" s="103" t="str">
        <f t="shared" si="70"/>
        <v/>
      </c>
      <c r="W115" s="103" t="str">
        <f t="shared" si="70"/>
        <v/>
      </c>
      <c r="X115" s="103" t="str">
        <f t="shared" si="70"/>
        <v/>
      </c>
      <c r="Y115" s="103" t="str">
        <f t="shared" si="70"/>
        <v/>
      </c>
      <c r="Z115" s="103" t="str">
        <f t="shared" si="70"/>
        <v/>
      </c>
      <c r="AA115" s="103" t="str">
        <f t="shared" si="70"/>
        <v/>
      </c>
      <c r="AB115" s="103" t="str">
        <f t="shared" si="70"/>
        <v/>
      </c>
    </row>
    <row r="116" spans="1:28" ht="18" customHeight="1" outlineLevel="2" x14ac:dyDescent="0.25">
      <c r="A116" s="9" t="str">
        <f t="shared" si="41"/>
        <v>N2 [Nl/h]</v>
      </c>
      <c r="B116" s="219"/>
      <c r="C116" s="103">
        <f t="shared" si="42"/>
        <v>94.665958424481929</v>
      </c>
      <c r="D116" s="103">
        <f t="shared" ref="D116:AB116" si="71">IF(D$86="","",D48/100*D$86)</f>
        <v>93.356752598420385</v>
      </c>
      <c r="E116" s="103">
        <f t="shared" si="71"/>
        <v>93.629690111460306</v>
      </c>
      <c r="F116" s="103">
        <f t="shared" si="71"/>
        <v>93.898270896459778</v>
      </c>
      <c r="G116" s="103">
        <f t="shared" si="71"/>
        <v>93.814662602334096</v>
      </c>
      <c r="H116" s="103">
        <f t="shared" si="71"/>
        <v>100.46080651092564</v>
      </c>
      <c r="I116" s="103">
        <f t="shared" si="71"/>
        <v>93.80390173960069</v>
      </c>
      <c r="J116" s="103">
        <f t="shared" si="71"/>
        <v>93.479272798230127</v>
      </c>
      <c r="K116" s="103">
        <f t="shared" si="71"/>
        <v>94.134276834743133</v>
      </c>
      <c r="L116" s="103">
        <f t="shared" si="71"/>
        <v>94.787297346246476</v>
      </c>
      <c r="M116" s="103">
        <f t="shared" si="71"/>
        <v>94.844779645498946</v>
      </c>
      <c r="N116" s="103">
        <f t="shared" si="71"/>
        <v>94.936481743770187</v>
      </c>
      <c r="O116" s="103">
        <f t="shared" si="71"/>
        <v>94.845308266093298</v>
      </c>
      <c r="P116" s="103" t="str">
        <f t="shared" si="71"/>
        <v/>
      </c>
      <c r="Q116" s="103" t="str">
        <f t="shared" si="71"/>
        <v/>
      </c>
      <c r="R116" s="103" t="str">
        <f t="shared" si="71"/>
        <v/>
      </c>
      <c r="S116" s="103" t="str">
        <f t="shared" si="71"/>
        <v/>
      </c>
      <c r="T116" s="103" t="str">
        <f t="shared" si="71"/>
        <v/>
      </c>
      <c r="U116" s="103" t="str">
        <f t="shared" si="71"/>
        <v/>
      </c>
      <c r="V116" s="103" t="str">
        <f t="shared" si="71"/>
        <v/>
      </c>
      <c r="W116" s="103" t="str">
        <f t="shared" si="71"/>
        <v/>
      </c>
      <c r="X116" s="103" t="str">
        <f t="shared" si="71"/>
        <v/>
      </c>
      <c r="Y116" s="103" t="str">
        <f t="shared" si="71"/>
        <v/>
      </c>
      <c r="Z116" s="103" t="str">
        <f t="shared" si="71"/>
        <v/>
      </c>
      <c r="AA116" s="103" t="str">
        <f t="shared" si="71"/>
        <v/>
      </c>
      <c r="AB116" s="103" t="str">
        <f t="shared" si="71"/>
        <v/>
      </c>
    </row>
    <row r="117" spans="1:28" ht="18" customHeight="1" outlineLevel="2" x14ac:dyDescent="0.25">
      <c r="A117" s="9" t="str">
        <f t="shared" si="41"/>
        <v/>
      </c>
      <c r="B117" s="219"/>
      <c r="C117" s="103" t="str">
        <f t="shared" si="42"/>
        <v/>
      </c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</row>
    <row r="118" spans="1:28" ht="18" customHeight="1" outlineLevel="2" x14ac:dyDescent="0.25">
      <c r="A118" s="9" t="str">
        <f t="shared" si="41"/>
        <v/>
      </c>
      <c r="B118" s="219"/>
      <c r="C118" s="103" t="str">
        <f t="shared" si="42"/>
        <v/>
      </c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</row>
    <row r="120" spans="1:28" ht="18" customHeight="1" x14ac:dyDescent="0.25">
      <c r="A120" s="11" t="s">
        <v>255</v>
      </c>
      <c r="B120" s="244"/>
      <c r="C120" s="217" t="s">
        <v>256</v>
      </c>
      <c r="D120" s="233" t="s">
        <v>257</v>
      </c>
      <c r="E120" s="249" t="str">
        <f t="shared" ref="E120:AB120" si="72">E$17</f>
        <v/>
      </c>
      <c r="F120" s="249" t="str">
        <f t="shared" si="72"/>
        <v/>
      </c>
      <c r="G120" s="249" t="str">
        <f t="shared" si="72"/>
        <v/>
      </c>
      <c r="H120" s="249" t="str">
        <f t="shared" si="72"/>
        <v/>
      </c>
      <c r="I120" s="249" t="str">
        <f t="shared" si="72"/>
        <v/>
      </c>
      <c r="J120" s="249" t="str">
        <f t="shared" si="72"/>
        <v/>
      </c>
      <c r="K120" s="249" t="str">
        <f t="shared" si="72"/>
        <v/>
      </c>
      <c r="L120" s="249" t="str">
        <f t="shared" si="72"/>
        <v/>
      </c>
      <c r="M120" s="249" t="str">
        <f t="shared" si="72"/>
        <v/>
      </c>
      <c r="N120" s="249" t="str">
        <f t="shared" si="72"/>
        <v/>
      </c>
      <c r="O120" s="249" t="str">
        <f t="shared" si="72"/>
        <v/>
      </c>
      <c r="P120" s="249" t="str">
        <f t="shared" si="72"/>
        <v/>
      </c>
      <c r="Q120" s="249" t="str">
        <f t="shared" si="72"/>
        <v/>
      </c>
      <c r="R120" s="249" t="str">
        <f t="shared" si="72"/>
        <v/>
      </c>
      <c r="S120" s="249" t="str">
        <f t="shared" si="72"/>
        <v/>
      </c>
      <c r="T120" s="249" t="str">
        <f t="shared" si="72"/>
        <v/>
      </c>
      <c r="U120" s="249" t="str">
        <f t="shared" si="72"/>
        <v/>
      </c>
      <c r="V120" s="249" t="str">
        <f t="shared" si="72"/>
        <v/>
      </c>
      <c r="W120" s="249" t="str">
        <f t="shared" si="72"/>
        <v/>
      </c>
      <c r="X120" s="249" t="str">
        <f t="shared" si="72"/>
        <v/>
      </c>
      <c r="Y120" s="249" t="str">
        <f t="shared" si="72"/>
        <v/>
      </c>
      <c r="Z120" s="249" t="str">
        <f t="shared" si="72"/>
        <v/>
      </c>
      <c r="AA120" s="249" t="str">
        <f t="shared" si="72"/>
        <v/>
      </c>
      <c r="AB120" s="249" t="str">
        <f t="shared" si="72"/>
        <v/>
      </c>
    </row>
    <row r="121" spans="1:28" ht="18" customHeight="1" x14ac:dyDescent="0.25">
      <c r="A121" s="11" t="s">
        <v>258</v>
      </c>
      <c r="B121" s="244"/>
      <c r="C121" s="233">
        <f t="shared" ref="C121:C149" si="73">IFERROR(AVERAGE(D121:AB121), "")</f>
        <v>4.1625707506528893E-2</v>
      </c>
      <c r="D121" s="233">
        <f t="shared" ref="D121:AB121" si="74">IFERROR((12.011*$AD52/$B20)*D52,"")</f>
        <v>4.0735747945081703E-2</v>
      </c>
      <c r="E121" s="233">
        <f t="shared" si="74"/>
        <v>4.1455260551513273E-2</v>
      </c>
      <c r="F121" s="233">
        <f t="shared" si="74"/>
        <v>4.1466837694124473E-2</v>
      </c>
      <c r="G121" s="233">
        <f t="shared" si="74"/>
        <v>4.2160942502450852E-2</v>
      </c>
      <c r="H121" s="233">
        <f t="shared" si="74"/>
        <v>4.0072347131135139E-2</v>
      </c>
      <c r="I121" s="233">
        <f t="shared" si="74"/>
        <v>4.2001932729728859E-2</v>
      </c>
      <c r="J121" s="233">
        <f t="shared" si="74"/>
        <v>4.2209265662144668E-2</v>
      </c>
      <c r="K121" s="233">
        <f t="shared" si="74"/>
        <v>4.2198383500030377E-2</v>
      </c>
      <c r="L121" s="233">
        <f t="shared" si="74"/>
        <v>4.198710755402453E-2</v>
      </c>
      <c r="M121" s="233">
        <f t="shared" si="74"/>
        <v>4.1767348277522133E-2</v>
      </c>
      <c r="N121" s="233">
        <f t="shared" si="74"/>
        <v>4.1658866670802014E-2</v>
      </c>
      <c r="O121" s="233">
        <f t="shared" si="74"/>
        <v>4.1794449859788696E-2</v>
      </c>
      <c r="P121" s="233" t="str">
        <f t="shared" si="74"/>
        <v/>
      </c>
      <c r="Q121" s="233" t="str">
        <f t="shared" si="74"/>
        <v/>
      </c>
      <c r="R121" s="233" t="str">
        <f t="shared" si="74"/>
        <v/>
      </c>
      <c r="S121" s="233" t="str">
        <f t="shared" si="74"/>
        <v/>
      </c>
      <c r="T121" s="233" t="str">
        <f t="shared" si="74"/>
        <v/>
      </c>
      <c r="U121" s="233" t="str">
        <f t="shared" si="74"/>
        <v/>
      </c>
      <c r="V121" s="233" t="str">
        <f t="shared" si="74"/>
        <v/>
      </c>
      <c r="W121" s="233" t="str">
        <f t="shared" si="74"/>
        <v/>
      </c>
      <c r="X121" s="233" t="str">
        <f t="shared" si="74"/>
        <v/>
      </c>
      <c r="Y121" s="233" t="str">
        <f t="shared" si="74"/>
        <v/>
      </c>
      <c r="Z121" s="233" t="str">
        <f t="shared" si="74"/>
        <v/>
      </c>
      <c r="AA121" s="233" t="str">
        <f t="shared" si="74"/>
        <v/>
      </c>
      <c r="AB121" s="233" t="str">
        <f t="shared" si="74"/>
        <v/>
      </c>
    </row>
    <row r="122" spans="1:28" ht="18" customHeight="1" x14ac:dyDescent="0.25">
      <c r="A122" s="11" t="s">
        <v>259</v>
      </c>
      <c r="B122" s="244"/>
      <c r="C122" s="233">
        <f t="shared" si="73"/>
        <v>3.974208859973966E-4</v>
      </c>
      <c r="D122" s="233">
        <f t="shared" ref="D122:AB122" si="75">IFERROR((12.011*$AD53/$B21)*D53,"")</f>
        <v>9.4645831209669914E-5</v>
      </c>
      <c r="E122" s="233">
        <f t="shared" si="75"/>
        <v>6.8177708443492449E-5</v>
      </c>
      <c r="F122" s="233">
        <f t="shared" si="75"/>
        <v>8.3960106019722097E-5</v>
      </c>
      <c r="G122" s="233">
        <f t="shared" si="75"/>
        <v>8.1635070739197852E-5</v>
      </c>
      <c r="H122" s="233">
        <f t="shared" si="75"/>
        <v>3.9282789709000733E-3</v>
      </c>
      <c r="I122" s="233">
        <f t="shared" si="75"/>
        <v>8.2296772523487901E-5</v>
      </c>
      <c r="J122" s="233">
        <f t="shared" si="75"/>
        <v>6.1976323173223809E-5</v>
      </c>
      <c r="K122" s="233">
        <f t="shared" si="75"/>
        <v>1.2715556319126128E-4</v>
      </c>
      <c r="L122" s="233">
        <f t="shared" si="75"/>
        <v>6.0996406139583746E-5</v>
      </c>
      <c r="M122" s="233">
        <f t="shared" si="75"/>
        <v>5.9131185678542176E-5</v>
      </c>
      <c r="N122" s="233">
        <f t="shared" si="75"/>
        <v>5.8898904715105442E-5</v>
      </c>
      <c r="O122" s="233">
        <f t="shared" si="75"/>
        <v>6.189778923539963E-5</v>
      </c>
      <c r="P122" s="233" t="str">
        <f t="shared" si="75"/>
        <v/>
      </c>
      <c r="Q122" s="233" t="str">
        <f t="shared" si="75"/>
        <v/>
      </c>
      <c r="R122" s="233" t="str">
        <f t="shared" si="75"/>
        <v/>
      </c>
      <c r="S122" s="233" t="str">
        <f t="shared" si="75"/>
        <v/>
      </c>
      <c r="T122" s="233" t="str">
        <f t="shared" si="75"/>
        <v/>
      </c>
      <c r="U122" s="233" t="str">
        <f t="shared" si="75"/>
        <v/>
      </c>
      <c r="V122" s="233" t="str">
        <f t="shared" si="75"/>
        <v/>
      </c>
      <c r="W122" s="233" t="str">
        <f t="shared" si="75"/>
        <v/>
      </c>
      <c r="X122" s="233" t="str">
        <f t="shared" si="75"/>
        <v/>
      </c>
      <c r="Y122" s="233" t="str">
        <f t="shared" si="75"/>
        <v/>
      </c>
      <c r="Z122" s="233" t="str">
        <f t="shared" si="75"/>
        <v/>
      </c>
      <c r="AA122" s="233" t="str">
        <f t="shared" si="75"/>
        <v/>
      </c>
      <c r="AB122" s="233" t="str">
        <f t="shared" si="75"/>
        <v/>
      </c>
    </row>
    <row r="123" spans="1:28" ht="18" customHeight="1" x14ac:dyDescent="0.25">
      <c r="A123" s="11" t="s">
        <v>260</v>
      </c>
      <c r="B123" s="244"/>
      <c r="C123" s="233">
        <f t="shared" si="73"/>
        <v>5.723663386962876E-2</v>
      </c>
      <c r="D123" s="233">
        <f t="shared" ref="D123:AB123" si="76">IFERROR((12.011*$AD54/$B22)*D54,"")</f>
        <v>5.1358666620597834E-2</v>
      </c>
      <c r="E123" s="233">
        <f t="shared" si="76"/>
        <v>5.2174814148756535E-2</v>
      </c>
      <c r="F123" s="233">
        <f t="shared" si="76"/>
        <v>5.2422132811512499E-2</v>
      </c>
      <c r="G123" s="233">
        <f t="shared" si="76"/>
        <v>5.3280213133720722E-2</v>
      </c>
      <c r="H123" s="233">
        <f t="shared" si="76"/>
        <v>0.10703209956149402</v>
      </c>
      <c r="I123" s="233">
        <f t="shared" si="76"/>
        <v>5.3294784996973647E-2</v>
      </c>
      <c r="J123" s="233">
        <f t="shared" si="76"/>
        <v>5.3156536558618128E-2</v>
      </c>
      <c r="K123" s="233">
        <f t="shared" si="76"/>
        <v>5.3408933767679433E-2</v>
      </c>
      <c r="L123" s="233">
        <f t="shared" si="76"/>
        <v>5.2871157791706536E-2</v>
      </c>
      <c r="M123" s="233">
        <f t="shared" si="76"/>
        <v>5.26008773434673E-2</v>
      </c>
      <c r="N123" s="233">
        <f t="shared" si="76"/>
        <v>5.2501705150978337E-2</v>
      </c>
      <c r="O123" s="233">
        <f t="shared" si="76"/>
        <v>5.2737684550040145E-2</v>
      </c>
      <c r="P123" s="233" t="str">
        <f t="shared" si="76"/>
        <v/>
      </c>
      <c r="Q123" s="233" t="str">
        <f t="shared" si="76"/>
        <v/>
      </c>
      <c r="R123" s="233" t="str">
        <f t="shared" si="76"/>
        <v/>
      </c>
      <c r="S123" s="233" t="str">
        <f t="shared" si="76"/>
        <v/>
      </c>
      <c r="T123" s="233" t="str">
        <f t="shared" si="76"/>
        <v/>
      </c>
      <c r="U123" s="233" t="str">
        <f t="shared" si="76"/>
        <v/>
      </c>
      <c r="V123" s="233" t="str">
        <f t="shared" si="76"/>
        <v/>
      </c>
      <c r="W123" s="233" t="str">
        <f t="shared" si="76"/>
        <v/>
      </c>
      <c r="X123" s="233" t="str">
        <f t="shared" si="76"/>
        <v/>
      </c>
      <c r="Y123" s="233" t="str">
        <f t="shared" si="76"/>
        <v/>
      </c>
      <c r="Z123" s="233" t="str">
        <f t="shared" si="76"/>
        <v/>
      </c>
      <c r="AA123" s="233" t="str">
        <f t="shared" si="76"/>
        <v/>
      </c>
      <c r="AB123" s="233" t="str">
        <f t="shared" si="76"/>
        <v/>
      </c>
    </row>
    <row r="124" spans="1:28" ht="18" customHeight="1" x14ac:dyDescent="0.25">
      <c r="A124" s="11" t="s">
        <v>261</v>
      </c>
      <c r="B124" s="244"/>
      <c r="C124" s="233">
        <f t="shared" si="73"/>
        <v>1.3481337523748761E-5</v>
      </c>
      <c r="D124" s="233">
        <f t="shared" ref="D124:AB124" si="77">IFERROR((12.011*$AD55/$B23)*D55,"")</f>
        <v>0</v>
      </c>
      <c r="E124" s="233">
        <f t="shared" si="77"/>
        <v>0</v>
      </c>
      <c r="F124" s="233">
        <f t="shared" si="77"/>
        <v>0</v>
      </c>
      <c r="G124" s="233">
        <f t="shared" si="77"/>
        <v>0</v>
      </c>
      <c r="H124" s="233">
        <f t="shared" si="77"/>
        <v>1.6177605028498514E-4</v>
      </c>
      <c r="I124" s="233">
        <f t="shared" si="77"/>
        <v>0</v>
      </c>
      <c r="J124" s="233">
        <f t="shared" si="77"/>
        <v>0</v>
      </c>
      <c r="K124" s="233">
        <f t="shared" si="77"/>
        <v>0</v>
      </c>
      <c r="L124" s="233">
        <f t="shared" si="77"/>
        <v>0</v>
      </c>
      <c r="M124" s="233">
        <f t="shared" si="77"/>
        <v>0</v>
      </c>
      <c r="N124" s="233">
        <f t="shared" si="77"/>
        <v>0</v>
      </c>
      <c r="O124" s="233">
        <f t="shared" si="77"/>
        <v>0</v>
      </c>
      <c r="P124" s="233" t="str">
        <f t="shared" si="77"/>
        <v/>
      </c>
      <c r="Q124" s="233" t="str">
        <f t="shared" si="77"/>
        <v/>
      </c>
      <c r="R124" s="233" t="str">
        <f t="shared" si="77"/>
        <v/>
      </c>
      <c r="S124" s="233" t="str">
        <f t="shared" si="77"/>
        <v/>
      </c>
      <c r="T124" s="233" t="str">
        <f t="shared" si="77"/>
        <v/>
      </c>
      <c r="U124" s="233" t="str">
        <f t="shared" si="77"/>
        <v/>
      </c>
      <c r="V124" s="233" t="str">
        <f t="shared" si="77"/>
        <v/>
      </c>
      <c r="W124" s="233" t="str">
        <f t="shared" si="77"/>
        <v/>
      </c>
      <c r="X124" s="233" t="str">
        <f t="shared" si="77"/>
        <v/>
      </c>
      <c r="Y124" s="233" t="str">
        <f t="shared" si="77"/>
        <v/>
      </c>
      <c r="Z124" s="233" t="str">
        <f t="shared" si="77"/>
        <v/>
      </c>
      <c r="AA124" s="233" t="str">
        <f t="shared" si="77"/>
        <v/>
      </c>
      <c r="AB124" s="233" t="str">
        <f t="shared" si="77"/>
        <v/>
      </c>
    </row>
    <row r="125" spans="1:28" ht="18" customHeight="1" x14ac:dyDescent="0.25">
      <c r="A125" s="11" t="s">
        <v>262</v>
      </c>
      <c r="B125" s="244"/>
      <c r="C125" s="233">
        <f t="shared" si="73"/>
        <v>3.43152297786819E-5</v>
      </c>
      <c r="D125" s="233">
        <f t="shared" ref="D125:AB125" si="78">IFERROR((12.011*$AD56/$B24)*D56,"")</f>
        <v>1.6161725906861988E-5</v>
      </c>
      <c r="E125" s="233">
        <f t="shared" si="78"/>
        <v>0</v>
      </c>
      <c r="F125" s="233">
        <f t="shared" si="78"/>
        <v>0</v>
      </c>
      <c r="G125" s="233">
        <f t="shared" si="78"/>
        <v>0</v>
      </c>
      <c r="H125" s="233">
        <f t="shared" si="78"/>
        <v>3.9562103143732076E-4</v>
      </c>
      <c r="I125" s="233">
        <f t="shared" si="78"/>
        <v>0</v>
      </c>
      <c r="J125" s="233">
        <f t="shared" si="78"/>
        <v>0</v>
      </c>
      <c r="K125" s="233">
        <f t="shared" si="78"/>
        <v>0</v>
      </c>
      <c r="L125" s="233">
        <f t="shared" si="78"/>
        <v>0</v>
      </c>
      <c r="M125" s="233">
        <f t="shared" si="78"/>
        <v>0</v>
      </c>
      <c r="N125" s="233">
        <f t="shared" si="78"/>
        <v>0</v>
      </c>
      <c r="O125" s="233">
        <f t="shared" si="78"/>
        <v>0</v>
      </c>
      <c r="P125" s="233" t="str">
        <f t="shared" si="78"/>
        <v/>
      </c>
      <c r="Q125" s="233" t="str">
        <f t="shared" si="78"/>
        <v/>
      </c>
      <c r="R125" s="233" t="str">
        <f t="shared" si="78"/>
        <v/>
      </c>
      <c r="S125" s="233" t="str">
        <f t="shared" si="78"/>
        <v/>
      </c>
      <c r="T125" s="233" t="str">
        <f t="shared" si="78"/>
        <v/>
      </c>
      <c r="U125" s="233" t="str">
        <f t="shared" si="78"/>
        <v/>
      </c>
      <c r="V125" s="233" t="str">
        <f t="shared" si="78"/>
        <v/>
      </c>
      <c r="W125" s="233" t="str">
        <f t="shared" si="78"/>
        <v/>
      </c>
      <c r="X125" s="233" t="str">
        <f t="shared" si="78"/>
        <v/>
      </c>
      <c r="Y125" s="233" t="str">
        <f t="shared" si="78"/>
        <v/>
      </c>
      <c r="Z125" s="233" t="str">
        <f t="shared" si="78"/>
        <v/>
      </c>
      <c r="AA125" s="233" t="str">
        <f t="shared" si="78"/>
        <v/>
      </c>
      <c r="AB125" s="233" t="str">
        <f t="shared" si="78"/>
        <v/>
      </c>
    </row>
    <row r="126" spans="1:28" ht="18" customHeight="1" x14ac:dyDescent="0.25">
      <c r="A126" s="11" t="s">
        <v>263</v>
      </c>
      <c r="B126" s="244"/>
      <c r="C126" s="233">
        <f t="shared" si="73"/>
        <v>2.3923206878052874E-5</v>
      </c>
      <c r="D126" s="233">
        <f t="shared" ref="D126:AB126" si="79">IFERROR((12.011*$AD57/$B25)*D57,"")</f>
        <v>1.4575395181309937E-5</v>
      </c>
      <c r="E126" s="233">
        <f t="shared" si="79"/>
        <v>0</v>
      </c>
      <c r="F126" s="233">
        <f t="shared" si="79"/>
        <v>0</v>
      </c>
      <c r="G126" s="233">
        <f t="shared" si="79"/>
        <v>0</v>
      </c>
      <c r="H126" s="233">
        <f t="shared" si="79"/>
        <v>2.231138196370242E-4</v>
      </c>
      <c r="I126" s="233">
        <f t="shared" si="79"/>
        <v>0</v>
      </c>
      <c r="J126" s="233">
        <f t="shared" si="79"/>
        <v>0</v>
      </c>
      <c r="K126" s="233">
        <f t="shared" si="79"/>
        <v>0</v>
      </c>
      <c r="L126" s="233">
        <f t="shared" si="79"/>
        <v>0</v>
      </c>
      <c r="M126" s="233">
        <f t="shared" si="79"/>
        <v>1.4237660759909291E-5</v>
      </c>
      <c r="N126" s="233">
        <f t="shared" si="79"/>
        <v>1.7420802803059364E-5</v>
      </c>
      <c r="O126" s="233">
        <f t="shared" si="79"/>
        <v>1.7730804155331647E-5</v>
      </c>
      <c r="P126" s="233" t="str">
        <f t="shared" si="79"/>
        <v/>
      </c>
      <c r="Q126" s="233" t="str">
        <f t="shared" si="79"/>
        <v/>
      </c>
      <c r="R126" s="233" t="str">
        <f t="shared" si="79"/>
        <v/>
      </c>
      <c r="S126" s="233" t="str">
        <f t="shared" si="79"/>
        <v/>
      </c>
      <c r="T126" s="233" t="str">
        <f t="shared" si="79"/>
        <v/>
      </c>
      <c r="U126" s="233" t="str">
        <f t="shared" si="79"/>
        <v/>
      </c>
      <c r="V126" s="233" t="str">
        <f t="shared" si="79"/>
        <v/>
      </c>
      <c r="W126" s="233" t="str">
        <f t="shared" si="79"/>
        <v/>
      </c>
      <c r="X126" s="233" t="str">
        <f t="shared" si="79"/>
        <v/>
      </c>
      <c r="Y126" s="233" t="str">
        <f t="shared" si="79"/>
        <v/>
      </c>
      <c r="Z126" s="233" t="str">
        <f t="shared" si="79"/>
        <v/>
      </c>
      <c r="AA126" s="233" t="str">
        <f t="shared" si="79"/>
        <v/>
      </c>
      <c r="AB126" s="233" t="str">
        <f t="shared" si="79"/>
        <v/>
      </c>
    </row>
    <row r="127" spans="1:28" ht="18" customHeight="1" x14ac:dyDescent="0.25">
      <c r="A127" s="11" t="s">
        <v>264</v>
      </c>
      <c r="B127" s="244"/>
      <c r="C127" s="233">
        <f t="shared" si="73"/>
        <v>0</v>
      </c>
      <c r="D127" s="233">
        <f t="shared" ref="D127:AB127" si="80">IFERROR((12.011*$AD58/$B26)*D58,"")</f>
        <v>0</v>
      </c>
      <c r="E127" s="233">
        <f t="shared" si="80"/>
        <v>0</v>
      </c>
      <c r="F127" s="233">
        <f t="shared" si="80"/>
        <v>0</v>
      </c>
      <c r="G127" s="233">
        <f t="shared" si="80"/>
        <v>0</v>
      </c>
      <c r="H127" s="233">
        <f t="shared" si="80"/>
        <v>0</v>
      </c>
      <c r="I127" s="233">
        <f t="shared" si="80"/>
        <v>0</v>
      </c>
      <c r="J127" s="233">
        <f t="shared" si="80"/>
        <v>0</v>
      </c>
      <c r="K127" s="233">
        <f t="shared" si="80"/>
        <v>0</v>
      </c>
      <c r="L127" s="233">
        <f t="shared" si="80"/>
        <v>0</v>
      </c>
      <c r="M127" s="233">
        <f t="shared" si="80"/>
        <v>0</v>
      </c>
      <c r="N127" s="233">
        <f t="shared" si="80"/>
        <v>0</v>
      </c>
      <c r="O127" s="233">
        <f t="shared" si="80"/>
        <v>0</v>
      </c>
      <c r="P127" s="233" t="str">
        <f t="shared" si="80"/>
        <v/>
      </c>
      <c r="Q127" s="233" t="str">
        <f t="shared" si="80"/>
        <v/>
      </c>
      <c r="R127" s="233" t="str">
        <f t="shared" si="80"/>
        <v/>
      </c>
      <c r="S127" s="233" t="str">
        <f t="shared" si="80"/>
        <v/>
      </c>
      <c r="T127" s="233" t="str">
        <f t="shared" si="80"/>
        <v/>
      </c>
      <c r="U127" s="233" t="str">
        <f t="shared" si="80"/>
        <v/>
      </c>
      <c r="V127" s="233" t="str">
        <f t="shared" si="80"/>
        <v/>
      </c>
      <c r="W127" s="233" t="str">
        <f t="shared" si="80"/>
        <v/>
      </c>
      <c r="X127" s="233" t="str">
        <f t="shared" si="80"/>
        <v/>
      </c>
      <c r="Y127" s="233" t="str">
        <f t="shared" si="80"/>
        <v/>
      </c>
      <c r="Z127" s="233" t="str">
        <f t="shared" si="80"/>
        <v/>
      </c>
      <c r="AA127" s="233" t="str">
        <f t="shared" si="80"/>
        <v/>
      </c>
      <c r="AB127" s="233" t="str">
        <f t="shared" si="80"/>
        <v/>
      </c>
    </row>
    <row r="128" spans="1:28" ht="18" customHeight="1" x14ac:dyDescent="0.25">
      <c r="A128" s="11" t="s">
        <v>265</v>
      </c>
      <c r="B128" s="244"/>
      <c r="C128" s="233">
        <f t="shared" si="73"/>
        <v>0</v>
      </c>
      <c r="D128" s="233">
        <f t="shared" ref="D128:AB128" si="81">IFERROR((12.011*$AD59/$B27)*D59,"")</f>
        <v>0</v>
      </c>
      <c r="E128" s="233">
        <f t="shared" si="81"/>
        <v>0</v>
      </c>
      <c r="F128" s="233">
        <f t="shared" si="81"/>
        <v>0</v>
      </c>
      <c r="G128" s="233">
        <f t="shared" si="81"/>
        <v>0</v>
      </c>
      <c r="H128" s="233">
        <f t="shared" si="81"/>
        <v>0</v>
      </c>
      <c r="I128" s="233">
        <f t="shared" si="81"/>
        <v>0</v>
      </c>
      <c r="J128" s="233">
        <f t="shared" si="81"/>
        <v>0</v>
      </c>
      <c r="K128" s="233">
        <f t="shared" si="81"/>
        <v>0</v>
      </c>
      <c r="L128" s="233">
        <f t="shared" si="81"/>
        <v>0</v>
      </c>
      <c r="M128" s="233">
        <f t="shared" si="81"/>
        <v>0</v>
      </c>
      <c r="N128" s="233">
        <f t="shared" si="81"/>
        <v>0</v>
      </c>
      <c r="O128" s="233">
        <f t="shared" si="81"/>
        <v>0</v>
      </c>
      <c r="P128" s="233" t="str">
        <f t="shared" si="81"/>
        <v/>
      </c>
      <c r="Q128" s="233" t="str">
        <f t="shared" si="81"/>
        <v/>
      </c>
      <c r="R128" s="233" t="str">
        <f t="shared" si="81"/>
        <v/>
      </c>
      <c r="S128" s="233" t="str">
        <f t="shared" si="81"/>
        <v/>
      </c>
      <c r="T128" s="233" t="str">
        <f t="shared" si="81"/>
        <v/>
      </c>
      <c r="U128" s="233" t="str">
        <f t="shared" si="81"/>
        <v/>
      </c>
      <c r="V128" s="233" t="str">
        <f t="shared" si="81"/>
        <v/>
      </c>
      <c r="W128" s="233" t="str">
        <f t="shared" si="81"/>
        <v/>
      </c>
      <c r="X128" s="233" t="str">
        <f t="shared" si="81"/>
        <v/>
      </c>
      <c r="Y128" s="233" t="str">
        <f t="shared" si="81"/>
        <v/>
      </c>
      <c r="Z128" s="233" t="str">
        <f t="shared" si="81"/>
        <v/>
      </c>
      <c r="AA128" s="233" t="str">
        <f t="shared" si="81"/>
        <v/>
      </c>
      <c r="AB128" s="233" t="str">
        <f t="shared" si="81"/>
        <v/>
      </c>
    </row>
    <row r="129" spans="1:28" ht="18" customHeight="1" x14ac:dyDescent="0.25">
      <c r="A129" s="11" t="s">
        <v>266</v>
      </c>
      <c r="B129" s="244"/>
      <c r="C129" s="233">
        <f t="shared" si="73"/>
        <v>0</v>
      </c>
      <c r="D129" s="233">
        <f t="shared" ref="D129:AB129" si="82">IFERROR((12.011*$AD60/$B28)*D60,"")</f>
        <v>0</v>
      </c>
      <c r="E129" s="233">
        <f t="shared" si="82"/>
        <v>0</v>
      </c>
      <c r="F129" s="233">
        <f t="shared" si="82"/>
        <v>0</v>
      </c>
      <c r="G129" s="233">
        <f t="shared" si="82"/>
        <v>0</v>
      </c>
      <c r="H129" s="233">
        <f t="shared" si="82"/>
        <v>0</v>
      </c>
      <c r="I129" s="233">
        <f t="shared" si="82"/>
        <v>0</v>
      </c>
      <c r="J129" s="233">
        <f t="shared" si="82"/>
        <v>0</v>
      </c>
      <c r="K129" s="233">
        <f t="shared" si="82"/>
        <v>0</v>
      </c>
      <c r="L129" s="233">
        <f t="shared" si="82"/>
        <v>0</v>
      </c>
      <c r="M129" s="233">
        <f t="shared" si="82"/>
        <v>0</v>
      </c>
      <c r="N129" s="233">
        <f t="shared" si="82"/>
        <v>0</v>
      </c>
      <c r="O129" s="233">
        <f t="shared" si="82"/>
        <v>0</v>
      </c>
      <c r="P129" s="233" t="str">
        <f t="shared" si="82"/>
        <v/>
      </c>
      <c r="Q129" s="233" t="str">
        <f t="shared" si="82"/>
        <v/>
      </c>
      <c r="R129" s="233" t="str">
        <f t="shared" si="82"/>
        <v/>
      </c>
      <c r="S129" s="233" t="str">
        <f t="shared" si="82"/>
        <v/>
      </c>
      <c r="T129" s="233" t="str">
        <f t="shared" si="82"/>
        <v/>
      </c>
      <c r="U129" s="233" t="str">
        <f t="shared" si="82"/>
        <v/>
      </c>
      <c r="V129" s="233" t="str">
        <f t="shared" si="82"/>
        <v/>
      </c>
      <c r="W129" s="233" t="str">
        <f t="shared" si="82"/>
        <v/>
      </c>
      <c r="X129" s="233" t="str">
        <f t="shared" si="82"/>
        <v/>
      </c>
      <c r="Y129" s="233" t="str">
        <f t="shared" si="82"/>
        <v/>
      </c>
      <c r="Z129" s="233" t="str">
        <f t="shared" si="82"/>
        <v/>
      </c>
      <c r="AA129" s="233" t="str">
        <f t="shared" si="82"/>
        <v/>
      </c>
      <c r="AB129" s="233" t="str">
        <f t="shared" si="82"/>
        <v/>
      </c>
    </row>
    <row r="130" spans="1:28" ht="18" customHeight="1" x14ac:dyDescent="0.25">
      <c r="A130" s="11" t="s">
        <v>267</v>
      </c>
      <c r="B130" s="244"/>
      <c r="C130" s="233">
        <f t="shared" si="73"/>
        <v>3.0551442679741651E-3</v>
      </c>
      <c r="D130" s="233">
        <f t="shared" ref="D130:AB130" si="83">IFERROR((12.011*$AD61/$B29)*D61,"")</f>
        <v>2.5795936471749393E-4</v>
      </c>
      <c r="E130" s="233">
        <f t="shared" si="83"/>
        <v>6.7205568510714687E-4</v>
      </c>
      <c r="F130" s="233">
        <f t="shared" si="83"/>
        <v>1.0823296310373746E-3</v>
      </c>
      <c r="G130" s="233">
        <f t="shared" si="83"/>
        <v>1.106537872910221E-3</v>
      </c>
      <c r="H130" s="233">
        <f t="shared" si="83"/>
        <v>2.9574676822420612E-2</v>
      </c>
      <c r="I130" s="233">
        <f t="shared" si="83"/>
        <v>1.4328234213509075E-3</v>
      </c>
      <c r="J130" s="233">
        <f t="shared" si="83"/>
        <v>6.8010098959606102E-4</v>
      </c>
      <c r="K130" s="233">
        <f t="shared" si="83"/>
        <v>5.1832191936867253E-4</v>
      </c>
      <c r="L130" s="233">
        <f t="shared" si="83"/>
        <v>3.2895638210999966E-4</v>
      </c>
      <c r="M130" s="233">
        <f t="shared" si="83"/>
        <v>3.194494965995864E-4</v>
      </c>
      <c r="N130" s="233">
        <f t="shared" si="83"/>
        <v>3.4267293425798074E-4</v>
      </c>
      <c r="O130" s="233">
        <f t="shared" si="83"/>
        <v>3.4584669621392377E-4</v>
      </c>
      <c r="P130" s="233" t="str">
        <f t="shared" si="83"/>
        <v/>
      </c>
      <c r="Q130" s="233" t="str">
        <f t="shared" si="83"/>
        <v/>
      </c>
      <c r="R130" s="233" t="str">
        <f t="shared" si="83"/>
        <v/>
      </c>
      <c r="S130" s="233" t="str">
        <f t="shared" si="83"/>
        <v/>
      </c>
      <c r="T130" s="233" t="str">
        <f t="shared" si="83"/>
        <v/>
      </c>
      <c r="U130" s="233" t="str">
        <f t="shared" si="83"/>
        <v/>
      </c>
      <c r="V130" s="233" t="str">
        <f t="shared" si="83"/>
        <v/>
      </c>
      <c r="W130" s="233" t="str">
        <f t="shared" si="83"/>
        <v/>
      </c>
      <c r="X130" s="233" t="str">
        <f t="shared" si="83"/>
        <v/>
      </c>
      <c r="Y130" s="233" t="str">
        <f t="shared" si="83"/>
        <v/>
      </c>
      <c r="Z130" s="233" t="str">
        <f t="shared" si="83"/>
        <v/>
      </c>
      <c r="AA130" s="233" t="str">
        <f t="shared" si="83"/>
        <v/>
      </c>
      <c r="AB130" s="233" t="str">
        <f t="shared" si="83"/>
        <v/>
      </c>
    </row>
    <row r="131" spans="1:28" ht="18" customHeight="1" x14ac:dyDescent="0.25">
      <c r="A131" s="11" t="s">
        <v>268</v>
      </c>
      <c r="B131" s="244"/>
      <c r="C131" s="233">
        <f t="shared" si="73"/>
        <v>1.0743657791206541E-5</v>
      </c>
      <c r="D131" s="233">
        <f t="shared" ref="D131:AB131" si="84">IFERROR((12.011*$AD62/$B30)*D62,"")</f>
        <v>1.2892389349447849E-4</v>
      </c>
      <c r="E131" s="233">
        <f t="shared" si="84"/>
        <v>0</v>
      </c>
      <c r="F131" s="233">
        <f t="shared" si="84"/>
        <v>0</v>
      </c>
      <c r="G131" s="233">
        <f t="shared" si="84"/>
        <v>0</v>
      </c>
      <c r="H131" s="233">
        <f t="shared" si="84"/>
        <v>0</v>
      </c>
      <c r="I131" s="233">
        <f t="shared" si="84"/>
        <v>0</v>
      </c>
      <c r="J131" s="233">
        <f t="shared" si="84"/>
        <v>0</v>
      </c>
      <c r="K131" s="233">
        <f t="shared" si="84"/>
        <v>0</v>
      </c>
      <c r="L131" s="233">
        <f t="shared" si="84"/>
        <v>0</v>
      </c>
      <c r="M131" s="233">
        <f t="shared" si="84"/>
        <v>0</v>
      </c>
      <c r="N131" s="233">
        <f t="shared" si="84"/>
        <v>0</v>
      </c>
      <c r="O131" s="233">
        <f t="shared" si="84"/>
        <v>0</v>
      </c>
      <c r="P131" s="233" t="str">
        <f t="shared" si="84"/>
        <v/>
      </c>
      <c r="Q131" s="233" t="str">
        <f t="shared" si="84"/>
        <v/>
      </c>
      <c r="R131" s="233" t="str">
        <f t="shared" si="84"/>
        <v/>
      </c>
      <c r="S131" s="233" t="str">
        <f t="shared" si="84"/>
        <v/>
      </c>
      <c r="T131" s="233" t="str">
        <f t="shared" si="84"/>
        <v/>
      </c>
      <c r="U131" s="233" t="str">
        <f t="shared" si="84"/>
        <v/>
      </c>
      <c r="V131" s="233" t="str">
        <f t="shared" si="84"/>
        <v/>
      </c>
      <c r="W131" s="233" t="str">
        <f t="shared" si="84"/>
        <v/>
      </c>
      <c r="X131" s="233" t="str">
        <f t="shared" si="84"/>
        <v/>
      </c>
      <c r="Y131" s="233" t="str">
        <f t="shared" si="84"/>
        <v/>
      </c>
      <c r="Z131" s="233" t="str">
        <f t="shared" si="84"/>
        <v/>
      </c>
      <c r="AA131" s="233" t="str">
        <f t="shared" si="84"/>
        <v/>
      </c>
      <c r="AB131" s="233" t="str">
        <f t="shared" si="84"/>
        <v/>
      </c>
    </row>
    <row r="132" spans="1:28" ht="18" customHeight="1" x14ac:dyDescent="0.25">
      <c r="A132" s="11" t="s">
        <v>269</v>
      </c>
      <c r="B132" s="244"/>
      <c r="C132" s="233">
        <f t="shared" si="73"/>
        <v>6.2363812341436208E-6</v>
      </c>
      <c r="D132" s="233">
        <f t="shared" ref="D132:AB132" si="85">IFERROR((12.011*$AD63/$B31)*D63,"")</f>
        <v>2.0355293270450087E-5</v>
      </c>
      <c r="E132" s="233">
        <f t="shared" si="85"/>
        <v>0</v>
      </c>
      <c r="F132" s="233">
        <f t="shared" si="85"/>
        <v>0</v>
      </c>
      <c r="G132" s="233">
        <f t="shared" si="85"/>
        <v>0</v>
      </c>
      <c r="H132" s="233">
        <f t="shared" si="85"/>
        <v>5.4481281539273356E-5</v>
      </c>
      <c r="I132" s="233">
        <f t="shared" si="85"/>
        <v>0</v>
      </c>
      <c r="J132" s="233">
        <f t="shared" si="85"/>
        <v>0</v>
      </c>
      <c r="K132" s="233">
        <f t="shared" si="85"/>
        <v>0</v>
      </c>
      <c r="L132" s="233">
        <f t="shared" si="85"/>
        <v>0</v>
      </c>
      <c r="M132" s="233">
        <f t="shared" si="85"/>
        <v>0</v>
      </c>
      <c r="N132" s="233">
        <f t="shared" si="85"/>
        <v>0</v>
      </c>
      <c r="O132" s="233">
        <f t="shared" si="85"/>
        <v>0</v>
      </c>
      <c r="P132" s="233" t="str">
        <f t="shared" si="85"/>
        <v/>
      </c>
      <c r="Q132" s="233" t="str">
        <f t="shared" si="85"/>
        <v/>
      </c>
      <c r="R132" s="233" t="str">
        <f t="shared" si="85"/>
        <v/>
      </c>
      <c r="S132" s="233" t="str">
        <f t="shared" si="85"/>
        <v/>
      </c>
      <c r="T132" s="233" t="str">
        <f t="shared" si="85"/>
        <v/>
      </c>
      <c r="U132" s="233" t="str">
        <f t="shared" si="85"/>
        <v/>
      </c>
      <c r="V132" s="233" t="str">
        <f t="shared" si="85"/>
        <v/>
      </c>
      <c r="W132" s="233" t="str">
        <f t="shared" si="85"/>
        <v/>
      </c>
      <c r="X132" s="233" t="str">
        <f t="shared" si="85"/>
        <v/>
      </c>
      <c r="Y132" s="233" t="str">
        <f t="shared" si="85"/>
        <v/>
      </c>
      <c r="Z132" s="233" t="str">
        <f t="shared" si="85"/>
        <v/>
      </c>
      <c r="AA132" s="233" t="str">
        <f t="shared" si="85"/>
        <v/>
      </c>
      <c r="AB132" s="233" t="str">
        <f t="shared" si="85"/>
        <v/>
      </c>
    </row>
    <row r="133" spans="1:28" ht="18" customHeight="1" x14ac:dyDescent="0.25">
      <c r="A133" s="11" t="s">
        <v>270</v>
      </c>
      <c r="B133" s="244"/>
      <c r="C133" s="233">
        <f t="shared" si="73"/>
        <v>2.9788236292382412E-3</v>
      </c>
      <c r="D133" s="233">
        <f t="shared" ref="D133:AB133" si="86">IFERROR((12.011*$AD64/$B32)*D64,"")</f>
        <v>1.0983376993847025E-3</v>
      </c>
      <c r="E133" s="233">
        <f t="shared" si="86"/>
        <v>3.0263611499414807E-3</v>
      </c>
      <c r="F133" s="233">
        <f t="shared" si="86"/>
        <v>3.5546406602516142E-3</v>
      </c>
      <c r="G133" s="233">
        <f t="shared" si="86"/>
        <v>3.3338678674105149E-3</v>
      </c>
      <c r="H133" s="233">
        <f t="shared" si="86"/>
        <v>7.4039960533428062E-3</v>
      </c>
      <c r="I133" s="233">
        <f t="shared" si="86"/>
        <v>1.0623255799894598E-2</v>
      </c>
      <c r="J133" s="233">
        <f t="shared" si="86"/>
        <v>3.3114441041046305E-3</v>
      </c>
      <c r="K133" s="233">
        <f t="shared" si="86"/>
        <v>7.181286277831299E-4</v>
      </c>
      <c r="L133" s="233">
        <f t="shared" si="86"/>
        <v>6.3805197444430763E-4</v>
      </c>
      <c r="M133" s="233">
        <f t="shared" si="86"/>
        <v>6.3819352352187993E-4</v>
      </c>
      <c r="N133" s="233">
        <f t="shared" si="86"/>
        <v>6.8429296285204037E-4</v>
      </c>
      <c r="O133" s="233">
        <f t="shared" si="86"/>
        <v>7.1531312792718824E-4</v>
      </c>
      <c r="P133" s="233" t="str">
        <f t="shared" si="86"/>
        <v/>
      </c>
      <c r="Q133" s="233" t="str">
        <f t="shared" si="86"/>
        <v/>
      </c>
      <c r="R133" s="233" t="str">
        <f t="shared" si="86"/>
        <v/>
      </c>
      <c r="S133" s="233" t="str">
        <f t="shared" si="86"/>
        <v/>
      </c>
      <c r="T133" s="233" t="str">
        <f t="shared" si="86"/>
        <v/>
      </c>
      <c r="U133" s="233" t="str">
        <f t="shared" si="86"/>
        <v/>
      </c>
      <c r="V133" s="233" t="str">
        <f t="shared" si="86"/>
        <v/>
      </c>
      <c r="W133" s="233" t="str">
        <f t="shared" si="86"/>
        <v/>
      </c>
      <c r="X133" s="233" t="str">
        <f t="shared" si="86"/>
        <v/>
      </c>
      <c r="Y133" s="233" t="str">
        <f t="shared" si="86"/>
        <v/>
      </c>
      <c r="Z133" s="233" t="str">
        <f t="shared" si="86"/>
        <v/>
      </c>
      <c r="AA133" s="233" t="str">
        <f t="shared" si="86"/>
        <v/>
      </c>
      <c r="AB133" s="233" t="str">
        <f t="shared" si="86"/>
        <v/>
      </c>
    </row>
    <row r="134" spans="1:28" ht="18" customHeight="1" x14ac:dyDescent="0.25">
      <c r="A134" s="11" t="s">
        <v>271</v>
      </c>
      <c r="B134" s="244"/>
      <c r="C134" s="233">
        <f t="shared" si="73"/>
        <v>0</v>
      </c>
      <c r="D134" s="233">
        <f t="shared" ref="D134:AB134" si="87">IFERROR((12.011*$AD65/$B33)*D65,"")</f>
        <v>0</v>
      </c>
      <c r="E134" s="233">
        <f t="shared" si="87"/>
        <v>0</v>
      </c>
      <c r="F134" s="233">
        <f t="shared" si="87"/>
        <v>0</v>
      </c>
      <c r="G134" s="233">
        <f t="shared" si="87"/>
        <v>0</v>
      </c>
      <c r="H134" s="233">
        <f t="shared" si="87"/>
        <v>0</v>
      </c>
      <c r="I134" s="233">
        <f t="shared" si="87"/>
        <v>0</v>
      </c>
      <c r="J134" s="233">
        <f t="shared" si="87"/>
        <v>0</v>
      </c>
      <c r="K134" s="233">
        <f t="shared" si="87"/>
        <v>0</v>
      </c>
      <c r="L134" s="233">
        <f t="shared" si="87"/>
        <v>0</v>
      </c>
      <c r="M134" s="233">
        <f t="shared" si="87"/>
        <v>0</v>
      </c>
      <c r="N134" s="233">
        <f t="shared" si="87"/>
        <v>0</v>
      </c>
      <c r="O134" s="233">
        <f t="shared" si="87"/>
        <v>0</v>
      </c>
      <c r="P134" s="233" t="str">
        <f t="shared" si="87"/>
        <v/>
      </c>
      <c r="Q134" s="233" t="str">
        <f t="shared" si="87"/>
        <v/>
      </c>
      <c r="R134" s="233" t="str">
        <f t="shared" si="87"/>
        <v/>
      </c>
      <c r="S134" s="233" t="str">
        <f t="shared" si="87"/>
        <v/>
      </c>
      <c r="T134" s="233" t="str">
        <f t="shared" si="87"/>
        <v/>
      </c>
      <c r="U134" s="233" t="str">
        <f t="shared" si="87"/>
        <v/>
      </c>
      <c r="V134" s="233" t="str">
        <f t="shared" si="87"/>
        <v/>
      </c>
      <c r="W134" s="233" t="str">
        <f t="shared" si="87"/>
        <v/>
      </c>
      <c r="X134" s="233" t="str">
        <f t="shared" si="87"/>
        <v/>
      </c>
      <c r="Y134" s="233" t="str">
        <f t="shared" si="87"/>
        <v/>
      </c>
      <c r="Z134" s="233" t="str">
        <f t="shared" si="87"/>
        <v/>
      </c>
      <c r="AA134" s="233" t="str">
        <f t="shared" si="87"/>
        <v/>
      </c>
      <c r="AB134" s="233" t="str">
        <f t="shared" si="87"/>
        <v/>
      </c>
    </row>
    <row r="135" spans="1:28" ht="18" customHeight="1" x14ac:dyDescent="0.25">
      <c r="A135" s="11" t="s">
        <v>272</v>
      </c>
      <c r="B135" s="244"/>
      <c r="C135" s="233">
        <f t="shared" si="73"/>
        <v>0</v>
      </c>
      <c r="D135" s="233">
        <f t="shared" ref="D135:AB135" si="88">IFERROR((12.011*$AD66/$B34)*D66,"")</f>
        <v>0</v>
      </c>
      <c r="E135" s="233">
        <f t="shared" si="88"/>
        <v>0</v>
      </c>
      <c r="F135" s="233">
        <f t="shared" si="88"/>
        <v>0</v>
      </c>
      <c r="G135" s="233">
        <f t="shared" si="88"/>
        <v>0</v>
      </c>
      <c r="H135" s="233">
        <f t="shared" si="88"/>
        <v>0</v>
      </c>
      <c r="I135" s="233">
        <f t="shared" si="88"/>
        <v>0</v>
      </c>
      <c r="J135" s="233">
        <f t="shared" si="88"/>
        <v>0</v>
      </c>
      <c r="K135" s="233">
        <f t="shared" si="88"/>
        <v>0</v>
      </c>
      <c r="L135" s="233">
        <f t="shared" si="88"/>
        <v>0</v>
      </c>
      <c r="M135" s="233">
        <f t="shared" si="88"/>
        <v>0</v>
      </c>
      <c r="N135" s="233">
        <f t="shared" si="88"/>
        <v>0</v>
      </c>
      <c r="O135" s="233">
        <f t="shared" si="88"/>
        <v>0</v>
      </c>
      <c r="P135" s="233" t="str">
        <f t="shared" si="88"/>
        <v/>
      </c>
      <c r="Q135" s="233" t="str">
        <f t="shared" si="88"/>
        <v/>
      </c>
      <c r="R135" s="233" t="str">
        <f t="shared" si="88"/>
        <v/>
      </c>
      <c r="S135" s="233" t="str">
        <f t="shared" si="88"/>
        <v/>
      </c>
      <c r="T135" s="233" t="str">
        <f t="shared" si="88"/>
        <v/>
      </c>
      <c r="U135" s="233" t="str">
        <f t="shared" si="88"/>
        <v/>
      </c>
      <c r="V135" s="233" t="str">
        <f t="shared" si="88"/>
        <v/>
      </c>
      <c r="W135" s="233" t="str">
        <f t="shared" si="88"/>
        <v/>
      </c>
      <c r="X135" s="233" t="str">
        <f t="shared" si="88"/>
        <v/>
      </c>
      <c r="Y135" s="233" t="str">
        <f t="shared" si="88"/>
        <v/>
      </c>
      <c r="Z135" s="233" t="str">
        <f t="shared" si="88"/>
        <v/>
      </c>
      <c r="AA135" s="233" t="str">
        <f t="shared" si="88"/>
        <v/>
      </c>
      <c r="AB135" s="233" t="str">
        <f t="shared" si="88"/>
        <v/>
      </c>
    </row>
    <row r="136" spans="1:28" ht="18" customHeight="1" x14ac:dyDescent="0.25">
      <c r="A136" s="11" t="s">
        <v>273</v>
      </c>
      <c r="B136" s="244"/>
      <c r="C136" s="233">
        <f t="shared" si="73"/>
        <v>0</v>
      </c>
      <c r="D136" s="233">
        <f t="shared" ref="D136:AB136" si="89">IFERROR((12.011*$AD67/$B35)*D67,"")</f>
        <v>0</v>
      </c>
      <c r="E136" s="233">
        <f t="shared" si="89"/>
        <v>0</v>
      </c>
      <c r="F136" s="233">
        <f t="shared" si="89"/>
        <v>0</v>
      </c>
      <c r="G136" s="233">
        <f t="shared" si="89"/>
        <v>0</v>
      </c>
      <c r="H136" s="233">
        <f t="shared" si="89"/>
        <v>0</v>
      </c>
      <c r="I136" s="233">
        <f t="shared" si="89"/>
        <v>0</v>
      </c>
      <c r="J136" s="233">
        <f t="shared" si="89"/>
        <v>0</v>
      </c>
      <c r="K136" s="233">
        <f t="shared" si="89"/>
        <v>0</v>
      </c>
      <c r="L136" s="233">
        <f t="shared" si="89"/>
        <v>0</v>
      </c>
      <c r="M136" s="233">
        <f t="shared" si="89"/>
        <v>0</v>
      </c>
      <c r="N136" s="233">
        <f t="shared" si="89"/>
        <v>0</v>
      </c>
      <c r="O136" s="233">
        <f t="shared" si="89"/>
        <v>0</v>
      </c>
      <c r="P136" s="233" t="str">
        <f t="shared" si="89"/>
        <v/>
      </c>
      <c r="Q136" s="233" t="str">
        <f t="shared" si="89"/>
        <v/>
      </c>
      <c r="R136" s="233" t="str">
        <f t="shared" si="89"/>
        <v/>
      </c>
      <c r="S136" s="233" t="str">
        <f t="shared" si="89"/>
        <v/>
      </c>
      <c r="T136" s="233" t="str">
        <f t="shared" si="89"/>
        <v/>
      </c>
      <c r="U136" s="233" t="str">
        <f t="shared" si="89"/>
        <v/>
      </c>
      <c r="V136" s="233" t="str">
        <f t="shared" si="89"/>
        <v/>
      </c>
      <c r="W136" s="233" t="str">
        <f t="shared" si="89"/>
        <v/>
      </c>
      <c r="X136" s="233" t="str">
        <f t="shared" si="89"/>
        <v/>
      </c>
      <c r="Y136" s="233" t="str">
        <f t="shared" si="89"/>
        <v/>
      </c>
      <c r="Z136" s="233" t="str">
        <f t="shared" si="89"/>
        <v/>
      </c>
      <c r="AA136" s="233" t="str">
        <f t="shared" si="89"/>
        <v/>
      </c>
      <c r="AB136" s="233" t="str">
        <f t="shared" si="89"/>
        <v/>
      </c>
    </row>
    <row r="137" spans="1:28" ht="18" customHeight="1" x14ac:dyDescent="0.25">
      <c r="A137" s="11" t="s">
        <v>274</v>
      </c>
      <c r="B137" s="244"/>
      <c r="C137" s="233">
        <f t="shared" si="73"/>
        <v>0</v>
      </c>
      <c r="D137" s="233">
        <f t="shared" ref="D137:AB137" si="90">IFERROR((12.011*$AD68/$B36)*D68,"")</f>
        <v>0</v>
      </c>
      <c r="E137" s="233">
        <f t="shared" si="90"/>
        <v>0</v>
      </c>
      <c r="F137" s="233">
        <f t="shared" si="90"/>
        <v>0</v>
      </c>
      <c r="G137" s="233">
        <f t="shared" si="90"/>
        <v>0</v>
      </c>
      <c r="H137" s="233">
        <f t="shared" si="90"/>
        <v>0</v>
      </c>
      <c r="I137" s="233">
        <f t="shared" si="90"/>
        <v>0</v>
      </c>
      <c r="J137" s="233">
        <f t="shared" si="90"/>
        <v>0</v>
      </c>
      <c r="K137" s="233">
        <f t="shared" si="90"/>
        <v>0</v>
      </c>
      <c r="L137" s="233">
        <f t="shared" si="90"/>
        <v>0</v>
      </c>
      <c r="M137" s="233">
        <f t="shared" si="90"/>
        <v>0</v>
      </c>
      <c r="N137" s="233">
        <f t="shared" si="90"/>
        <v>0</v>
      </c>
      <c r="O137" s="233">
        <f t="shared" si="90"/>
        <v>0</v>
      </c>
      <c r="P137" s="233" t="str">
        <f t="shared" si="90"/>
        <v/>
      </c>
      <c r="Q137" s="233" t="str">
        <f t="shared" si="90"/>
        <v/>
      </c>
      <c r="R137" s="233" t="str">
        <f t="shared" si="90"/>
        <v/>
      </c>
      <c r="S137" s="233" t="str">
        <f t="shared" si="90"/>
        <v/>
      </c>
      <c r="T137" s="233" t="str">
        <f t="shared" si="90"/>
        <v/>
      </c>
      <c r="U137" s="233" t="str">
        <f t="shared" si="90"/>
        <v/>
      </c>
      <c r="V137" s="233" t="str">
        <f t="shared" si="90"/>
        <v/>
      </c>
      <c r="W137" s="233" t="str">
        <f t="shared" si="90"/>
        <v/>
      </c>
      <c r="X137" s="233" t="str">
        <f t="shared" si="90"/>
        <v/>
      </c>
      <c r="Y137" s="233" t="str">
        <f t="shared" si="90"/>
        <v/>
      </c>
      <c r="Z137" s="233" t="str">
        <f t="shared" si="90"/>
        <v/>
      </c>
      <c r="AA137" s="233" t="str">
        <f t="shared" si="90"/>
        <v/>
      </c>
      <c r="AB137" s="233" t="str">
        <f t="shared" si="90"/>
        <v/>
      </c>
    </row>
    <row r="138" spans="1:28" ht="18" customHeight="1" x14ac:dyDescent="0.25">
      <c r="A138" s="11" t="s">
        <v>275</v>
      </c>
      <c r="B138" s="244"/>
      <c r="C138" s="233">
        <f t="shared" si="73"/>
        <v>3.2926331887772365E-4</v>
      </c>
      <c r="D138" s="233">
        <f t="shared" ref="D138:AB138" si="91">IFERROR((12.011*$AD69/$B37)*D69,"")</f>
        <v>3.7468817612643302E-4</v>
      </c>
      <c r="E138" s="233">
        <f t="shared" si="91"/>
        <v>6.0221510572600826E-4</v>
      </c>
      <c r="F138" s="233">
        <f t="shared" si="91"/>
        <v>2.6020298713290251E-4</v>
      </c>
      <c r="G138" s="233">
        <f t="shared" si="91"/>
        <v>2.1646049225690426E-4</v>
      </c>
      <c r="H138" s="233">
        <f t="shared" si="91"/>
        <v>5.2803379361997021E-4</v>
      </c>
      <c r="I138" s="233">
        <f t="shared" si="91"/>
        <v>9.9800356869102474E-4</v>
      </c>
      <c r="J138" s="233">
        <f t="shared" si="91"/>
        <v>5.1187495116423109E-4</v>
      </c>
      <c r="K138" s="233">
        <f t="shared" si="91"/>
        <v>9.7767500468350424E-5</v>
      </c>
      <c r="L138" s="233">
        <f t="shared" si="91"/>
        <v>9.0498356000562606E-5</v>
      </c>
      <c r="M138" s="233">
        <f t="shared" si="91"/>
        <v>8.6323835057828394E-5</v>
      </c>
      <c r="N138" s="233">
        <f t="shared" si="91"/>
        <v>9.1124199277541263E-5</v>
      </c>
      <c r="O138" s="233">
        <f t="shared" si="91"/>
        <v>9.3966861010927257E-5</v>
      </c>
      <c r="P138" s="233" t="str">
        <f t="shared" si="91"/>
        <v/>
      </c>
      <c r="Q138" s="233" t="str">
        <f t="shared" si="91"/>
        <v/>
      </c>
      <c r="R138" s="233" t="str">
        <f t="shared" si="91"/>
        <v/>
      </c>
      <c r="S138" s="233" t="str">
        <f t="shared" si="91"/>
        <v/>
      </c>
      <c r="T138" s="233" t="str">
        <f t="shared" si="91"/>
        <v/>
      </c>
      <c r="U138" s="233" t="str">
        <f t="shared" si="91"/>
        <v/>
      </c>
      <c r="V138" s="233" t="str">
        <f t="shared" si="91"/>
        <v/>
      </c>
      <c r="W138" s="233" t="str">
        <f t="shared" si="91"/>
        <v/>
      </c>
      <c r="X138" s="233" t="str">
        <f t="shared" si="91"/>
        <v/>
      </c>
      <c r="Y138" s="233" t="str">
        <f t="shared" si="91"/>
        <v/>
      </c>
      <c r="Z138" s="233" t="str">
        <f t="shared" si="91"/>
        <v/>
      </c>
      <c r="AA138" s="233" t="str">
        <f t="shared" si="91"/>
        <v/>
      </c>
      <c r="AB138" s="233" t="str">
        <f t="shared" si="91"/>
        <v/>
      </c>
    </row>
    <row r="139" spans="1:28" ht="18" customHeight="1" x14ac:dyDescent="0.25">
      <c r="A139" s="11" t="s">
        <v>276</v>
      </c>
      <c r="B139" s="244"/>
      <c r="C139" s="233">
        <f t="shared" si="73"/>
        <v>0</v>
      </c>
      <c r="D139" s="233">
        <f t="shared" ref="D139:AB139" si="92">IFERROR((12.011*$AD70/$B38)*D70,"")</f>
        <v>0</v>
      </c>
      <c r="E139" s="233">
        <f t="shared" si="92"/>
        <v>0</v>
      </c>
      <c r="F139" s="233">
        <f t="shared" si="92"/>
        <v>0</v>
      </c>
      <c r="G139" s="233">
        <f t="shared" si="92"/>
        <v>0</v>
      </c>
      <c r="H139" s="233">
        <f t="shared" si="92"/>
        <v>0</v>
      </c>
      <c r="I139" s="233">
        <f t="shared" si="92"/>
        <v>0</v>
      </c>
      <c r="J139" s="233">
        <f t="shared" si="92"/>
        <v>0</v>
      </c>
      <c r="K139" s="233">
        <f t="shared" si="92"/>
        <v>0</v>
      </c>
      <c r="L139" s="233">
        <f t="shared" si="92"/>
        <v>0</v>
      </c>
      <c r="M139" s="233">
        <f t="shared" si="92"/>
        <v>0</v>
      </c>
      <c r="N139" s="233">
        <f t="shared" si="92"/>
        <v>0</v>
      </c>
      <c r="O139" s="233">
        <f t="shared" si="92"/>
        <v>0</v>
      </c>
      <c r="P139" s="233" t="str">
        <f t="shared" si="92"/>
        <v/>
      </c>
      <c r="Q139" s="233" t="str">
        <f t="shared" si="92"/>
        <v/>
      </c>
      <c r="R139" s="233" t="str">
        <f t="shared" si="92"/>
        <v/>
      </c>
      <c r="S139" s="233" t="str">
        <f t="shared" si="92"/>
        <v/>
      </c>
      <c r="T139" s="233" t="str">
        <f t="shared" si="92"/>
        <v/>
      </c>
      <c r="U139" s="233" t="str">
        <f t="shared" si="92"/>
        <v/>
      </c>
      <c r="V139" s="233" t="str">
        <f t="shared" si="92"/>
        <v/>
      </c>
      <c r="W139" s="233" t="str">
        <f t="shared" si="92"/>
        <v/>
      </c>
      <c r="X139" s="233" t="str">
        <f t="shared" si="92"/>
        <v/>
      </c>
      <c r="Y139" s="233" t="str">
        <f t="shared" si="92"/>
        <v/>
      </c>
      <c r="Z139" s="233" t="str">
        <f t="shared" si="92"/>
        <v/>
      </c>
      <c r="AA139" s="233" t="str">
        <f t="shared" si="92"/>
        <v/>
      </c>
      <c r="AB139" s="233" t="str">
        <f t="shared" si="92"/>
        <v/>
      </c>
    </row>
    <row r="140" spans="1:28" ht="18" customHeight="1" x14ac:dyDescent="0.25">
      <c r="A140" s="11" t="s">
        <v>277</v>
      </c>
      <c r="B140" s="244"/>
      <c r="C140" s="233">
        <f t="shared" si="73"/>
        <v>4.5827164019612478E-3</v>
      </c>
      <c r="D140" s="233">
        <f t="shared" ref="D140:AB140" si="93">IFERROR((12.011*$AD71/$B39)*D71,"")</f>
        <v>3.8693904707624106E-4</v>
      </c>
      <c r="E140" s="233">
        <f t="shared" si="93"/>
        <v>1.0080835276607204E-3</v>
      </c>
      <c r="F140" s="233">
        <f t="shared" si="93"/>
        <v>1.6234944465560619E-3</v>
      </c>
      <c r="G140" s="233">
        <f t="shared" si="93"/>
        <v>1.6598068093653315E-3</v>
      </c>
      <c r="H140" s="233">
        <f t="shared" si="93"/>
        <v>4.4362015233630925E-2</v>
      </c>
      <c r="I140" s="233">
        <f t="shared" si="93"/>
        <v>2.1492351320263618E-3</v>
      </c>
      <c r="J140" s="233">
        <f t="shared" si="93"/>
        <v>1.0201514843940919E-3</v>
      </c>
      <c r="K140" s="233">
        <f t="shared" si="93"/>
        <v>7.774828790530089E-4</v>
      </c>
      <c r="L140" s="233">
        <f t="shared" si="93"/>
        <v>4.9343457316499957E-4</v>
      </c>
      <c r="M140" s="233">
        <f t="shared" si="93"/>
        <v>4.7917424489937966E-4</v>
      </c>
      <c r="N140" s="233">
        <f t="shared" si="93"/>
        <v>5.1400940138697114E-4</v>
      </c>
      <c r="O140" s="233">
        <f t="shared" si="93"/>
        <v>5.1877004432088572E-4</v>
      </c>
      <c r="P140" s="233" t="str">
        <f t="shared" si="93"/>
        <v/>
      </c>
      <c r="Q140" s="233" t="str">
        <f t="shared" si="93"/>
        <v/>
      </c>
      <c r="R140" s="233" t="str">
        <f t="shared" si="93"/>
        <v/>
      </c>
      <c r="S140" s="233" t="str">
        <f t="shared" si="93"/>
        <v/>
      </c>
      <c r="T140" s="233" t="str">
        <f t="shared" si="93"/>
        <v/>
      </c>
      <c r="U140" s="233" t="str">
        <f t="shared" si="93"/>
        <v/>
      </c>
      <c r="V140" s="233" t="str">
        <f t="shared" si="93"/>
        <v/>
      </c>
      <c r="W140" s="233" t="str">
        <f t="shared" si="93"/>
        <v/>
      </c>
      <c r="X140" s="233" t="str">
        <f t="shared" si="93"/>
        <v/>
      </c>
      <c r="Y140" s="233" t="str">
        <f t="shared" si="93"/>
        <v/>
      </c>
      <c r="Z140" s="233" t="str">
        <f t="shared" si="93"/>
        <v/>
      </c>
      <c r="AA140" s="233" t="str">
        <f t="shared" si="93"/>
        <v/>
      </c>
      <c r="AB140" s="233" t="str">
        <f t="shared" si="93"/>
        <v/>
      </c>
    </row>
    <row r="141" spans="1:28" ht="18" customHeight="1" x14ac:dyDescent="0.25">
      <c r="A141" s="11" t="s">
        <v>278</v>
      </c>
      <c r="B141" s="244"/>
      <c r="C141" s="233">
        <f t="shared" si="73"/>
        <v>1.719310264921761E-5</v>
      </c>
      <c r="D141" s="233">
        <f t="shared" ref="D141:AB141" si="94">IFERROR((12.011*$AD72/$B40)*D72,"")</f>
        <v>2.0631723179061133E-4</v>
      </c>
      <c r="E141" s="233">
        <f t="shared" si="94"/>
        <v>0</v>
      </c>
      <c r="F141" s="233">
        <f t="shared" si="94"/>
        <v>0</v>
      </c>
      <c r="G141" s="233">
        <f t="shared" si="94"/>
        <v>0</v>
      </c>
      <c r="H141" s="233">
        <f t="shared" si="94"/>
        <v>0</v>
      </c>
      <c r="I141" s="233">
        <f t="shared" si="94"/>
        <v>0</v>
      </c>
      <c r="J141" s="233">
        <f t="shared" si="94"/>
        <v>0</v>
      </c>
      <c r="K141" s="233">
        <f t="shared" si="94"/>
        <v>0</v>
      </c>
      <c r="L141" s="233">
        <f t="shared" si="94"/>
        <v>0</v>
      </c>
      <c r="M141" s="233">
        <f t="shared" si="94"/>
        <v>0</v>
      </c>
      <c r="N141" s="233">
        <f t="shared" si="94"/>
        <v>0</v>
      </c>
      <c r="O141" s="233">
        <f t="shared" si="94"/>
        <v>0</v>
      </c>
      <c r="P141" s="233" t="str">
        <f t="shared" si="94"/>
        <v/>
      </c>
      <c r="Q141" s="233" t="str">
        <f t="shared" si="94"/>
        <v/>
      </c>
      <c r="R141" s="233" t="str">
        <f t="shared" si="94"/>
        <v/>
      </c>
      <c r="S141" s="233" t="str">
        <f t="shared" si="94"/>
        <v/>
      </c>
      <c r="T141" s="233" t="str">
        <f t="shared" si="94"/>
        <v/>
      </c>
      <c r="U141" s="233" t="str">
        <f t="shared" si="94"/>
        <v/>
      </c>
      <c r="V141" s="233" t="str">
        <f t="shared" si="94"/>
        <v/>
      </c>
      <c r="W141" s="233" t="str">
        <f t="shared" si="94"/>
        <v/>
      </c>
      <c r="X141" s="233" t="str">
        <f t="shared" si="94"/>
        <v/>
      </c>
      <c r="Y141" s="233" t="str">
        <f t="shared" si="94"/>
        <v/>
      </c>
      <c r="Z141" s="233" t="str">
        <f t="shared" si="94"/>
        <v/>
      </c>
      <c r="AA141" s="233" t="str">
        <f t="shared" si="94"/>
        <v/>
      </c>
      <c r="AB141" s="233" t="str">
        <f t="shared" si="94"/>
        <v/>
      </c>
    </row>
    <row r="142" spans="1:28" ht="18" customHeight="1" x14ac:dyDescent="0.25">
      <c r="A142" s="11" t="s">
        <v>279</v>
      </c>
      <c r="B142" s="244"/>
      <c r="C142" s="233">
        <f t="shared" si="73"/>
        <v>0</v>
      </c>
      <c r="D142" s="233">
        <f t="shared" ref="D142:AB142" si="95">IFERROR((12.011*$AD73/$B41)*D73,"")</f>
        <v>0</v>
      </c>
      <c r="E142" s="233">
        <f t="shared" si="95"/>
        <v>0</v>
      </c>
      <c r="F142" s="233">
        <f t="shared" si="95"/>
        <v>0</v>
      </c>
      <c r="G142" s="233">
        <f t="shared" si="95"/>
        <v>0</v>
      </c>
      <c r="H142" s="233">
        <f t="shared" si="95"/>
        <v>0</v>
      </c>
      <c r="I142" s="233">
        <f t="shared" si="95"/>
        <v>0</v>
      </c>
      <c r="J142" s="233">
        <f t="shared" si="95"/>
        <v>0</v>
      </c>
      <c r="K142" s="233">
        <f t="shared" si="95"/>
        <v>0</v>
      </c>
      <c r="L142" s="233">
        <f t="shared" si="95"/>
        <v>0</v>
      </c>
      <c r="M142" s="233">
        <f t="shared" si="95"/>
        <v>0</v>
      </c>
      <c r="N142" s="233">
        <f t="shared" si="95"/>
        <v>0</v>
      </c>
      <c r="O142" s="233">
        <f t="shared" si="95"/>
        <v>0</v>
      </c>
      <c r="P142" s="233" t="str">
        <f t="shared" si="95"/>
        <v/>
      </c>
      <c r="Q142" s="233" t="str">
        <f t="shared" si="95"/>
        <v/>
      </c>
      <c r="R142" s="233" t="str">
        <f t="shared" si="95"/>
        <v/>
      </c>
      <c r="S142" s="233" t="str">
        <f t="shared" si="95"/>
        <v/>
      </c>
      <c r="T142" s="233" t="str">
        <f t="shared" si="95"/>
        <v/>
      </c>
      <c r="U142" s="233" t="str">
        <f t="shared" si="95"/>
        <v/>
      </c>
      <c r="V142" s="233" t="str">
        <f t="shared" si="95"/>
        <v/>
      </c>
      <c r="W142" s="233" t="str">
        <f t="shared" si="95"/>
        <v/>
      </c>
      <c r="X142" s="233" t="str">
        <f t="shared" si="95"/>
        <v/>
      </c>
      <c r="Y142" s="233" t="str">
        <f t="shared" si="95"/>
        <v/>
      </c>
      <c r="Z142" s="233" t="str">
        <f t="shared" si="95"/>
        <v/>
      </c>
      <c r="AA142" s="233" t="str">
        <f t="shared" si="95"/>
        <v/>
      </c>
      <c r="AB142" s="233" t="str">
        <f t="shared" si="95"/>
        <v/>
      </c>
    </row>
    <row r="143" spans="1:28" ht="18" customHeight="1" x14ac:dyDescent="0.25">
      <c r="A143" s="11" t="s">
        <v>280</v>
      </c>
      <c r="B143" s="244"/>
      <c r="C143" s="233">
        <f t="shared" si="73"/>
        <v>0</v>
      </c>
      <c r="D143" s="233">
        <f t="shared" ref="D143:AB143" si="96">IFERROR((12.011*$AD74/$B42)*D74,"")</f>
        <v>0</v>
      </c>
      <c r="E143" s="233">
        <f t="shared" si="96"/>
        <v>0</v>
      </c>
      <c r="F143" s="233">
        <f t="shared" si="96"/>
        <v>0</v>
      </c>
      <c r="G143" s="233">
        <f t="shared" si="96"/>
        <v>0</v>
      </c>
      <c r="H143" s="233">
        <f t="shared" si="96"/>
        <v>0</v>
      </c>
      <c r="I143" s="233">
        <f t="shared" si="96"/>
        <v>0</v>
      </c>
      <c r="J143" s="233">
        <f t="shared" si="96"/>
        <v>0</v>
      </c>
      <c r="K143" s="233">
        <f t="shared" si="96"/>
        <v>0</v>
      </c>
      <c r="L143" s="233">
        <f t="shared" si="96"/>
        <v>0</v>
      </c>
      <c r="M143" s="233">
        <f t="shared" si="96"/>
        <v>0</v>
      </c>
      <c r="N143" s="233">
        <f t="shared" si="96"/>
        <v>0</v>
      </c>
      <c r="O143" s="233">
        <f t="shared" si="96"/>
        <v>0</v>
      </c>
      <c r="P143" s="233" t="str">
        <f t="shared" si="96"/>
        <v/>
      </c>
      <c r="Q143" s="233" t="str">
        <f t="shared" si="96"/>
        <v/>
      </c>
      <c r="R143" s="233" t="str">
        <f t="shared" si="96"/>
        <v/>
      </c>
      <c r="S143" s="233" t="str">
        <f t="shared" si="96"/>
        <v/>
      </c>
      <c r="T143" s="233" t="str">
        <f t="shared" si="96"/>
        <v/>
      </c>
      <c r="U143" s="233" t="str">
        <f t="shared" si="96"/>
        <v/>
      </c>
      <c r="V143" s="233" t="str">
        <f t="shared" si="96"/>
        <v/>
      </c>
      <c r="W143" s="233" t="str">
        <f t="shared" si="96"/>
        <v/>
      </c>
      <c r="X143" s="233" t="str">
        <f t="shared" si="96"/>
        <v/>
      </c>
      <c r="Y143" s="233" t="str">
        <f t="shared" si="96"/>
        <v/>
      </c>
      <c r="Z143" s="233" t="str">
        <f t="shared" si="96"/>
        <v/>
      </c>
      <c r="AA143" s="233" t="str">
        <f t="shared" si="96"/>
        <v/>
      </c>
      <c r="AB143" s="233" t="str">
        <f t="shared" si="96"/>
        <v/>
      </c>
    </row>
    <row r="144" spans="1:28" ht="18" customHeight="1" x14ac:dyDescent="0.25">
      <c r="A144" s="11" t="s">
        <v>281</v>
      </c>
      <c r="B144" s="244"/>
      <c r="C144" s="233">
        <f t="shared" si="73"/>
        <v>0</v>
      </c>
      <c r="D144" s="233">
        <f t="shared" ref="D144:AB144" si="97">IFERROR((12.011*$AD75/$B43)*D75,"")</f>
        <v>0</v>
      </c>
      <c r="E144" s="233">
        <f t="shared" si="97"/>
        <v>0</v>
      </c>
      <c r="F144" s="233">
        <f t="shared" si="97"/>
        <v>0</v>
      </c>
      <c r="G144" s="233">
        <f t="shared" si="97"/>
        <v>0</v>
      </c>
      <c r="H144" s="233">
        <f t="shared" si="97"/>
        <v>0</v>
      </c>
      <c r="I144" s="233">
        <f t="shared" si="97"/>
        <v>0</v>
      </c>
      <c r="J144" s="233">
        <f t="shared" si="97"/>
        <v>0</v>
      </c>
      <c r="K144" s="233">
        <f t="shared" si="97"/>
        <v>0</v>
      </c>
      <c r="L144" s="233">
        <f t="shared" si="97"/>
        <v>0</v>
      </c>
      <c r="M144" s="233">
        <f t="shared" si="97"/>
        <v>0</v>
      </c>
      <c r="N144" s="233">
        <f t="shared" si="97"/>
        <v>0</v>
      </c>
      <c r="O144" s="233">
        <f t="shared" si="97"/>
        <v>0</v>
      </c>
      <c r="P144" s="233" t="str">
        <f t="shared" si="97"/>
        <v/>
      </c>
      <c r="Q144" s="233" t="str">
        <f t="shared" si="97"/>
        <v/>
      </c>
      <c r="R144" s="233" t="str">
        <f t="shared" si="97"/>
        <v/>
      </c>
      <c r="S144" s="233" t="str">
        <f t="shared" si="97"/>
        <v/>
      </c>
      <c r="T144" s="233" t="str">
        <f t="shared" si="97"/>
        <v/>
      </c>
      <c r="U144" s="233" t="str">
        <f t="shared" si="97"/>
        <v/>
      </c>
      <c r="V144" s="233" t="str">
        <f t="shared" si="97"/>
        <v/>
      </c>
      <c r="W144" s="233" t="str">
        <f t="shared" si="97"/>
        <v/>
      </c>
      <c r="X144" s="233" t="str">
        <f t="shared" si="97"/>
        <v/>
      </c>
      <c r="Y144" s="233" t="str">
        <f t="shared" si="97"/>
        <v/>
      </c>
      <c r="Z144" s="233" t="str">
        <f t="shared" si="97"/>
        <v/>
      </c>
      <c r="AA144" s="233" t="str">
        <f t="shared" si="97"/>
        <v/>
      </c>
      <c r="AB144" s="233" t="str">
        <f t="shared" si="97"/>
        <v/>
      </c>
    </row>
    <row r="145" spans="1:28" ht="18" customHeight="1" x14ac:dyDescent="0.25">
      <c r="A145" s="11" t="s">
        <v>282</v>
      </c>
      <c r="B145" s="244"/>
      <c r="C145" s="233">
        <f t="shared" si="73"/>
        <v>0</v>
      </c>
      <c r="D145" s="233">
        <f t="shared" ref="D145:AB145" si="98">IFERROR((12.011*$AD76/$B44)*D76,"")</f>
        <v>0</v>
      </c>
      <c r="E145" s="233">
        <f t="shared" si="98"/>
        <v>0</v>
      </c>
      <c r="F145" s="233">
        <f t="shared" si="98"/>
        <v>0</v>
      </c>
      <c r="G145" s="233">
        <f t="shared" si="98"/>
        <v>0</v>
      </c>
      <c r="H145" s="233">
        <f t="shared" si="98"/>
        <v>0</v>
      </c>
      <c r="I145" s="233">
        <f t="shared" si="98"/>
        <v>0</v>
      </c>
      <c r="J145" s="233">
        <f t="shared" si="98"/>
        <v>0</v>
      </c>
      <c r="K145" s="233">
        <f t="shared" si="98"/>
        <v>0</v>
      </c>
      <c r="L145" s="233">
        <f t="shared" si="98"/>
        <v>0</v>
      </c>
      <c r="M145" s="233">
        <f t="shared" si="98"/>
        <v>0</v>
      </c>
      <c r="N145" s="233">
        <f t="shared" si="98"/>
        <v>0</v>
      </c>
      <c r="O145" s="233">
        <f t="shared" si="98"/>
        <v>0</v>
      </c>
      <c r="P145" s="233" t="str">
        <f t="shared" si="98"/>
        <v/>
      </c>
      <c r="Q145" s="233" t="str">
        <f t="shared" si="98"/>
        <v/>
      </c>
      <c r="R145" s="233" t="str">
        <f t="shared" si="98"/>
        <v/>
      </c>
      <c r="S145" s="233" t="str">
        <f t="shared" si="98"/>
        <v/>
      </c>
      <c r="T145" s="233" t="str">
        <f t="shared" si="98"/>
        <v/>
      </c>
      <c r="U145" s="233" t="str">
        <f t="shared" si="98"/>
        <v/>
      </c>
      <c r="V145" s="233" t="str">
        <f t="shared" si="98"/>
        <v/>
      </c>
      <c r="W145" s="233" t="str">
        <f t="shared" si="98"/>
        <v/>
      </c>
      <c r="X145" s="233" t="str">
        <f t="shared" si="98"/>
        <v/>
      </c>
      <c r="Y145" s="233" t="str">
        <f t="shared" si="98"/>
        <v/>
      </c>
      <c r="Z145" s="233" t="str">
        <f t="shared" si="98"/>
        <v/>
      </c>
      <c r="AA145" s="233" t="str">
        <f t="shared" si="98"/>
        <v/>
      </c>
      <c r="AB145" s="233" t="str">
        <f t="shared" si="98"/>
        <v/>
      </c>
    </row>
    <row r="146" spans="1:28" ht="18" customHeight="1" x14ac:dyDescent="0.25">
      <c r="A146" s="11" t="s">
        <v>283</v>
      </c>
      <c r="B146" s="244"/>
      <c r="C146" s="233">
        <f t="shared" si="73"/>
        <v>0</v>
      </c>
      <c r="D146" s="233">
        <f t="shared" ref="D146:AB146" si="99">IFERROR((12.011*$AD77/$B45)*D77,"")</f>
        <v>0</v>
      </c>
      <c r="E146" s="233">
        <f t="shared" si="99"/>
        <v>0</v>
      </c>
      <c r="F146" s="233">
        <f t="shared" si="99"/>
        <v>0</v>
      </c>
      <c r="G146" s="233">
        <f t="shared" si="99"/>
        <v>0</v>
      </c>
      <c r="H146" s="233">
        <f t="shared" si="99"/>
        <v>0</v>
      </c>
      <c r="I146" s="233">
        <f t="shared" si="99"/>
        <v>0</v>
      </c>
      <c r="J146" s="233">
        <f t="shared" si="99"/>
        <v>0</v>
      </c>
      <c r="K146" s="233">
        <f t="shared" si="99"/>
        <v>0</v>
      </c>
      <c r="L146" s="233">
        <f t="shared" si="99"/>
        <v>0</v>
      </c>
      <c r="M146" s="233">
        <f t="shared" si="99"/>
        <v>0</v>
      </c>
      <c r="N146" s="233">
        <f t="shared" si="99"/>
        <v>0</v>
      </c>
      <c r="O146" s="233">
        <f t="shared" si="99"/>
        <v>0</v>
      </c>
      <c r="P146" s="233" t="str">
        <f t="shared" si="99"/>
        <v/>
      </c>
      <c r="Q146" s="233" t="str">
        <f t="shared" si="99"/>
        <v/>
      </c>
      <c r="R146" s="233" t="str">
        <f t="shared" si="99"/>
        <v/>
      </c>
      <c r="S146" s="233" t="str">
        <f t="shared" si="99"/>
        <v/>
      </c>
      <c r="T146" s="233" t="str">
        <f t="shared" si="99"/>
        <v/>
      </c>
      <c r="U146" s="233" t="str">
        <f t="shared" si="99"/>
        <v/>
      </c>
      <c r="V146" s="233" t="str">
        <f t="shared" si="99"/>
        <v/>
      </c>
      <c r="W146" s="233" t="str">
        <f t="shared" si="99"/>
        <v/>
      </c>
      <c r="X146" s="233" t="str">
        <f t="shared" si="99"/>
        <v/>
      </c>
      <c r="Y146" s="233" t="str">
        <f t="shared" si="99"/>
        <v/>
      </c>
      <c r="Z146" s="233" t="str">
        <f t="shared" si="99"/>
        <v/>
      </c>
      <c r="AA146" s="233" t="str">
        <f t="shared" si="99"/>
        <v/>
      </c>
      <c r="AB146" s="233" t="str">
        <f t="shared" si="99"/>
        <v/>
      </c>
    </row>
    <row r="147" spans="1:28" ht="18" customHeight="1" x14ac:dyDescent="0.25">
      <c r="A147" s="11" t="s">
        <v>284</v>
      </c>
      <c r="B147" s="244"/>
      <c r="C147" s="233">
        <f t="shared" si="73"/>
        <v>0.25484146621340131</v>
      </c>
      <c r="D147" s="233">
        <f t="shared" ref="D147:AB147" si="100">IFERROR((12.011*$AD78/$B46)*D78,"")</f>
        <v>0.26259908367108237</v>
      </c>
      <c r="E147" s="233">
        <f t="shared" si="100"/>
        <v>0.26709551048726227</v>
      </c>
      <c r="F147" s="233">
        <f t="shared" si="100"/>
        <v>0.26671574672787934</v>
      </c>
      <c r="G147" s="233">
        <f t="shared" si="100"/>
        <v>0.27202071551671175</v>
      </c>
      <c r="H147" s="233">
        <f t="shared" si="100"/>
        <v>0.17001488690355993</v>
      </c>
      <c r="I147" s="233">
        <f t="shared" si="100"/>
        <v>0.27080935716493632</v>
      </c>
      <c r="J147" s="233">
        <f t="shared" si="100"/>
        <v>0.27283452169631589</v>
      </c>
      <c r="K147" s="233">
        <f t="shared" si="100"/>
        <v>0.26326301935083329</v>
      </c>
      <c r="L147" s="233">
        <f t="shared" si="100"/>
        <v>0.25407053510514771</v>
      </c>
      <c r="M147" s="233">
        <f t="shared" si="100"/>
        <v>0.25293246026823424</v>
      </c>
      <c r="N147" s="233">
        <f t="shared" si="100"/>
        <v>0.25231668608422492</v>
      </c>
      <c r="O147" s="233">
        <f t="shared" si="100"/>
        <v>0.25342507158462746</v>
      </c>
      <c r="P147" s="233" t="str">
        <f t="shared" si="100"/>
        <v/>
      </c>
      <c r="Q147" s="233" t="str">
        <f t="shared" si="100"/>
        <v/>
      </c>
      <c r="R147" s="233" t="str">
        <f t="shared" si="100"/>
        <v/>
      </c>
      <c r="S147" s="233" t="str">
        <f t="shared" si="100"/>
        <v/>
      </c>
      <c r="T147" s="233" t="str">
        <f t="shared" si="100"/>
        <v/>
      </c>
      <c r="U147" s="233" t="str">
        <f t="shared" si="100"/>
        <v/>
      </c>
      <c r="V147" s="233" t="str">
        <f t="shared" si="100"/>
        <v/>
      </c>
      <c r="W147" s="233" t="str">
        <f t="shared" si="100"/>
        <v/>
      </c>
      <c r="X147" s="233" t="str">
        <f t="shared" si="100"/>
        <v/>
      </c>
      <c r="Y147" s="233" t="str">
        <f t="shared" si="100"/>
        <v/>
      </c>
      <c r="Z147" s="233" t="str">
        <f t="shared" si="100"/>
        <v/>
      </c>
      <c r="AA147" s="233" t="str">
        <f t="shared" si="100"/>
        <v/>
      </c>
      <c r="AB147" s="233" t="str">
        <f t="shared" si="100"/>
        <v/>
      </c>
    </row>
    <row r="148" spans="1:28" ht="18" customHeight="1" x14ac:dyDescent="0.25">
      <c r="A148" s="11" t="s">
        <v>285</v>
      </c>
      <c r="B148" s="244"/>
      <c r="C148" s="233">
        <f t="shared" si="73"/>
        <v>0</v>
      </c>
      <c r="D148" s="233">
        <f t="shared" ref="D148:AB148" si="101">IFERROR((12.011*$AD79/$B47)*D79,"")</f>
        <v>0</v>
      </c>
      <c r="E148" s="233">
        <f t="shared" si="101"/>
        <v>0</v>
      </c>
      <c r="F148" s="233">
        <f t="shared" si="101"/>
        <v>0</v>
      </c>
      <c r="G148" s="233">
        <f t="shared" si="101"/>
        <v>0</v>
      </c>
      <c r="H148" s="233">
        <f t="shared" si="101"/>
        <v>0</v>
      </c>
      <c r="I148" s="233">
        <f t="shared" si="101"/>
        <v>0</v>
      </c>
      <c r="J148" s="233">
        <f t="shared" si="101"/>
        <v>0</v>
      </c>
      <c r="K148" s="233">
        <f t="shared" si="101"/>
        <v>0</v>
      </c>
      <c r="L148" s="233">
        <f t="shared" si="101"/>
        <v>0</v>
      </c>
      <c r="M148" s="233">
        <f t="shared" si="101"/>
        <v>0</v>
      </c>
      <c r="N148" s="233">
        <f t="shared" si="101"/>
        <v>0</v>
      </c>
      <c r="O148" s="233">
        <f t="shared" si="101"/>
        <v>0</v>
      </c>
      <c r="P148" s="233" t="str">
        <f t="shared" si="101"/>
        <v/>
      </c>
      <c r="Q148" s="233" t="str">
        <f t="shared" si="101"/>
        <v/>
      </c>
      <c r="R148" s="233" t="str">
        <f t="shared" si="101"/>
        <v/>
      </c>
      <c r="S148" s="233" t="str">
        <f t="shared" si="101"/>
        <v/>
      </c>
      <c r="T148" s="233" t="str">
        <f t="shared" si="101"/>
        <v/>
      </c>
      <c r="U148" s="233" t="str">
        <f t="shared" si="101"/>
        <v/>
      </c>
      <c r="V148" s="233" t="str">
        <f t="shared" si="101"/>
        <v/>
      </c>
      <c r="W148" s="233" t="str">
        <f t="shared" si="101"/>
        <v/>
      </c>
      <c r="X148" s="233" t="str">
        <f t="shared" si="101"/>
        <v/>
      </c>
      <c r="Y148" s="233" t="str">
        <f t="shared" si="101"/>
        <v/>
      </c>
      <c r="Z148" s="233" t="str">
        <f t="shared" si="101"/>
        <v/>
      </c>
      <c r="AA148" s="233" t="str">
        <f t="shared" si="101"/>
        <v/>
      </c>
      <c r="AB148" s="233" t="str">
        <f t="shared" si="101"/>
        <v/>
      </c>
    </row>
    <row r="149" spans="1:28" ht="18" customHeight="1" x14ac:dyDescent="0.25">
      <c r="A149" s="11" t="s">
        <v>286</v>
      </c>
      <c r="B149" s="244"/>
      <c r="C149" s="233">
        <f t="shared" si="73"/>
        <v>0</v>
      </c>
      <c r="D149" s="233">
        <f t="shared" ref="D149:AB149" si="102">IFERROR((12.011*$AD80/$B48)*D80,"")</f>
        <v>0</v>
      </c>
      <c r="E149" s="233">
        <f t="shared" si="102"/>
        <v>0</v>
      </c>
      <c r="F149" s="233">
        <f t="shared" si="102"/>
        <v>0</v>
      </c>
      <c r="G149" s="233">
        <f t="shared" si="102"/>
        <v>0</v>
      </c>
      <c r="H149" s="233">
        <f t="shared" si="102"/>
        <v>0</v>
      </c>
      <c r="I149" s="233">
        <f t="shared" si="102"/>
        <v>0</v>
      </c>
      <c r="J149" s="233">
        <f t="shared" si="102"/>
        <v>0</v>
      </c>
      <c r="K149" s="233">
        <f t="shared" si="102"/>
        <v>0</v>
      </c>
      <c r="L149" s="233">
        <f t="shared" si="102"/>
        <v>0</v>
      </c>
      <c r="M149" s="233">
        <f t="shared" si="102"/>
        <v>0</v>
      </c>
      <c r="N149" s="233">
        <f t="shared" si="102"/>
        <v>0</v>
      </c>
      <c r="O149" s="233">
        <f t="shared" si="102"/>
        <v>0</v>
      </c>
      <c r="P149" s="233" t="str">
        <f t="shared" si="102"/>
        <v/>
      </c>
      <c r="Q149" s="233" t="str">
        <f t="shared" si="102"/>
        <v/>
      </c>
      <c r="R149" s="233" t="str">
        <f t="shared" si="102"/>
        <v/>
      </c>
      <c r="S149" s="233" t="str">
        <f t="shared" si="102"/>
        <v/>
      </c>
      <c r="T149" s="233" t="str">
        <f t="shared" si="102"/>
        <v/>
      </c>
      <c r="U149" s="233" t="str">
        <f t="shared" si="102"/>
        <v/>
      </c>
      <c r="V149" s="233" t="str">
        <f t="shared" si="102"/>
        <v/>
      </c>
      <c r="W149" s="233" t="str">
        <f t="shared" si="102"/>
        <v/>
      </c>
      <c r="X149" s="233" t="str">
        <f t="shared" si="102"/>
        <v/>
      </c>
      <c r="Y149" s="233" t="str">
        <f t="shared" si="102"/>
        <v/>
      </c>
      <c r="Z149" s="233" t="str">
        <f t="shared" si="102"/>
        <v/>
      </c>
      <c r="AA149" s="233" t="str">
        <f t="shared" si="102"/>
        <v/>
      </c>
      <c r="AB149" s="233" t="str">
        <f t="shared" si="102"/>
        <v/>
      </c>
    </row>
    <row r="150" spans="1:28" ht="18" customHeight="1" x14ac:dyDescent="0.25">
      <c r="A150" s="252" t="s">
        <v>44</v>
      </c>
      <c r="B150" s="244"/>
      <c r="C150" s="253">
        <f>SUM(C121:C149)</f>
        <v>0.36515306900946276</v>
      </c>
      <c r="D150" s="253">
        <f t="shared" ref="D150:AB150" si="103">IF(SUM(D121:D149)=0,"",SUM(D121:D149))</f>
        <v>0.35729240189492018</v>
      </c>
      <c r="E150" s="253">
        <f t="shared" si="103"/>
        <v>0.3661024783644109</v>
      </c>
      <c r="F150" s="253">
        <f t="shared" si="103"/>
        <v>0.36720934506451397</v>
      </c>
      <c r="G150" s="253">
        <f t="shared" si="103"/>
        <v>0.37386017926556547</v>
      </c>
      <c r="H150" s="253">
        <f t="shared" si="103"/>
        <v>0.40375132665300206</v>
      </c>
      <c r="I150" s="253">
        <f t="shared" si="103"/>
        <v>0.38139168958612518</v>
      </c>
      <c r="J150" s="253">
        <f t="shared" si="103"/>
        <v>0.37378587176951095</v>
      </c>
      <c r="K150" s="253">
        <f t="shared" si="103"/>
        <v>0.3611091931084075</v>
      </c>
      <c r="L150" s="253">
        <f t="shared" si="103"/>
        <v>0.35054073814273823</v>
      </c>
      <c r="M150" s="253">
        <f t="shared" si="103"/>
        <v>0.34889719583574075</v>
      </c>
      <c r="N150" s="253">
        <f t="shared" si="103"/>
        <v>0.34818567711129794</v>
      </c>
      <c r="O150" s="253">
        <f t="shared" si="103"/>
        <v>0.34971073131731994</v>
      </c>
      <c r="P150" s="253" t="str">
        <f t="shared" si="103"/>
        <v/>
      </c>
      <c r="Q150" s="253" t="str">
        <f t="shared" si="103"/>
        <v/>
      </c>
      <c r="R150" s="253" t="str">
        <f t="shared" si="103"/>
        <v/>
      </c>
      <c r="S150" s="253" t="str">
        <f t="shared" si="103"/>
        <v/>
      </c>
      <c r="T150" s="253" t="str">
        <f t="shared" si="103"/>
        <v/>
      </c>
      <c r="U150" s="253" t="str">
        <f t="shared" si="103"/>
        <v/>
      </c>
      <c r="V150" s="253" t="str">
        <f t="shared" si="103"/>
        <v/>
      </c>
      <c r="W150" s="253" t="str">
        <f t="shared" si="103"/>
        <v/>
      </c>
      <c r="X150" s="253" t="str">
        <f t="shared" si="103"/>
        <v/>
      </c>
      <c r="Y150" s="253" t="str">
        <f t="shared" si="103"/>
        <v/>
      </c>
      <c r="Z150" s="253" t="str">
        <f t="shared" si="103"/>
        <v/>
      </c>
      <c r="AA150" s="253" t="str">
        <f t="shared" si="103"/>
        <v/>
      </c>
      <c r="AB150" s="253" t="str">
        <f t="shared" si="103"/>
        <v/>
      </c>
    </row>
  </sheetData>
  <sheetProtection sheet="1" objects="1" scenarios="1"/>
  <mergeCells count="1">
    <mergeCell ref="H5:K5"/>
  </mergeCells>
  <conditionalFormatting sqref="B52:AB84">
    <cfRule type="expression" dxfId="91" priority="3">
      <formula>NOT(B52="")</formula>
    </cfRule>
  </conditionalFormatting>
  <conditionalFormatting sqref="B88:AB118">
    <cfRule type="expression" dxfId="90" priority="6">
      <formula>NOT(B88="")</formula>
    </cfRule>
  </conditionalFormatting>
  <conditionalFormatting sqref="C121:C149">
    <cfRule type="expression" dxfId="89" priority="2">
      <formula>NOT(C121="")</formula>
    </cfRule>
  </conditionalFormatting>
  <conditionalFormatting sqref="D15:AB16">
    <cfRule type="expression" dxfId="88" priority="19">
      <formula>NOT(D15="")</formula>
    </cfRule>
  </conditionalFormatting>
  <conditionalFormatting sqref="D16:AB16">
    <cfRule type="expression" dxfId="87" priority="22">
      <formula>OR(D16&lt;$C$5, D16&gt;$C$6)</formula>
    </cfRule>
  </conditionalFormatting>
  <conditionalFormatting sqref="D17:AB18">
    <cfRule type="containsText" dxfId="86" priority="21" operator="containsText" text="ERROR">
      <formula>NOT(ISERROR(SEARCH("ERROR",D17)))</formula>
    </cfRule>
  </conditionalFormatting>
  <conditionalFormatting sqref="D20:AB49 B20:B49">
    <cfRule type="expression" dxfId="85" priority="18">
      <formula>NOT(B20="")</formula>
    </cfRule>
  </conditionalFormatting>
  <conditionalFormatting sqref="D20:AB49">
    <cfRule type="expression" dxfId="84" priority="11">
      <formula>D20&gt;$AE20</formula>
    </cfRule>
  </conditionalFormatting>
  <conditionalFormatting sqref="D120:AB149">
    <cfRule type="expression" dxfId="83" priority="1">
      <formula>NOT(D120="")</formula>
    </cfRule>
  </conditionalFormatting>
  <conditionalFormatting sqref="K6">
    <cfRule type="containsText" dxfId="82" priority="12" operator="containsText" text="Pass">
      <formula>NOT(ISERROR(SEARCH("Pass",K6)))</formula>
    </cfRule>
    <cfRule type="containsText" dxfId="81" priority="13" operator="containsText" text="Fail">
      <formula>NOT(ISERROR(SEARCH("Fail",K6)))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AE150"/>
  <sheetViews>
    <sheetView showGridLines="0" zoomScaleNormal="100" workbookViewId="0">
      <selection activeCell="D42" sqref="D42:O48"/>
    </sheetView>
  </sheetViews>
  <sheetFormatPr defaultColWidth="9.140625" defaultRowHeight="18" customHeight="1" outlineLevelRow="2" x14ac:dyDescent="0.25"/>
  <cols>
    <col min="1" max="1" width="38.42578125" style="1" customWidth="1"/>
    <col min="2" max="2" width="17.85546875" style="1" hidden="1" customWidth="1"/>
    <col min="3" max="4" width="17.85546875" style="1" customWidth="1"/>
    <col min="5" max="7" width="15.42578125" style="1" bestFit="1" customWidth="1"/>
    <col min="8" max="8" width="15.85546875" style="1" bestFit="1" customWidth="1"/>
    <col min="9" max="28" width="15.42578125" style="1" bestFit="1" customWidth="1"/>
    <col min="29" max="30" width="12.85546875" style="1" customWidth="1"/>
    <col min="31" max="32" width="9.140625" style="1" customWidth="1"/>
    <col min="33" max="16384" width="9.140625" style="1"/>
  </cols>
  <sheetData>
    <row r="1" spans="1:29" s="2" customFormat="1" ht="18" customHeight="1" x14ac:dyDescent="0.25">
      <c r="A1" s="9" t="s">
        <v>0</v>
      </c>
      <c r="B1" s="34"/>
      <c r="C1" s="34" t="str">
        <f>'R5_MB'!C1</f>
        <v>R6-C1-S1</v>
      </c>
    </row>
    <row r="2" spans="1:29" s="2" customFormat="1" ht="18" customHeight="1" x14ac:dyDescent="0.25">
      <c r="A2" s="9" t="s">
        <v>1</v>
      </c>
      <c r="B2" s="46"/>
      <c r="C2" s="46" t="str">
        <f>'R5_MB'!C2</f>
        <v/>
      </c>
      <c r="D2" s="45"/>
      <c r="E2" s="45"/>
      <c r="F2" s="45"/>
      <c r="G2" s="45"/>
      <c r="H2" s="45"/>
      <c r="I2" s="45"/>
      <c r="J2" s="44"/>
      <c r="K2" s="141"/>
      <c r="L2" s="141"/>
      <c r="M2" s="141"/>
      <c r="N2" s="141"/>
    </row>
    <row r="3" spans="1:29" s="2" customFormat="1" ht="18" customHeight="1" x14ac:dyDescent="0.25">
      <c r="A3" s="9" t="s">
        <v>3</v>
      </c>
      <c r="B3" s="43"/>
      <c r="C3" s="43">
        <f>Run_Plan!$B$3</f>
        <v>45425.583333333336</v>
      </c>
      <c r="D3" s="91"/>
      <c r="E3" s="9" t="s">
        <v>126</v>
      </c>
      <c r="F3" s="41">
        <f>(C6-C5)*1440</f>
        <v>5.9999999986030161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</row>
    <row r="4" spans="1:29" s="2" customFormat="1" ht="18" customHeight="1" x14ac:dyDescent="0.25">
      <c r="A4" s="9" t="s">
        <v>123</v>
      </c>
      <c r="B4" s="43"/>
      <c r="C4" s="43" t="str">
        <f>Liq!B4</f>
        <v>C1-S1</v>
      </c>
      <c r="D4" s="93"/>
      <c r="E4" s="12" t="s">
        <v>127</v>
      </c>
      <c r="F4" s="40">
        <f>24*((C5+C6)/2-C3)</f>
        <v>17.916666666569654</v>
      </c>
    </row>
    <row r="5" spans="1:29" s="2" customFormat="1" ht="18" customHeight="1" x14ac:dyDescent="0.25">
      <c r="A5" s="9" t="s">
        <v>124</v>
      </c>
      <c r="B5" s="92"/>
      <c r="C5" s="92">
        <f>Liq!B5</f>
        <v>45426.327777777777</v>
      </c>
      <c r="D5" s="91"/>
      <c r="E5" s="79" t="s">
        <v>212</v>
      </c>
      <c r="F5" s="158">
        <f>Gas!G20</f>
        <v>0.22890922011282697</v>
      </c>
      <c r="H5" s="257" t="s">
        <v>213</v>
      </c>
      <c r="I5" s="258"/>
      <c r="J5" s="258"/>
      <c r="K5" s="259"/>
    </row>
    <row r="6" spans="1:29" s="2" customFormat="1" ht="18" customHeight="1" x14ac:dyDescent="0.25">
      <c r="A6" s="9" t="s">
        <v>125</v>
      </c>
      <c r="B6" s="43"/>
      <c r="C6" s="43">
        <f>Liq!B6</f>
        <v>45426.331944444442</v>
      </c>
      <c r="D6" s="42"/>
      <c r="E6" s="42"/>
      <c r="H6" s="185">
        <f t="array" ref="H6">MIN(IF(D16:XFD16&lt;&gt;0,D16:XFD16))</f>
        <v>0</v>
      </c>
      <c r="I6" s="185">
        <f t="array" ref="I6">MAX(IF(D16:XFD16&lt;&gt;0,D16:XFD16))</f>
        <v>0</v>
      </c>
      <c r="J6" s="70"/>
      <c r="K6" s="186" t="str">
        <f>IF(AND(H7=TRUE,I7=TRUE),"Pass","Fail")</f>
        <v>Pass</v>
      </c>
    </row>
    <row r="7" spans="1:29" s="2" customFormat="1" ht="18" customHeight="1" x14ac:dyDescent="0.25">
      <c r="H7" s="70" t="b">
        <f>IF(Liq!G3&gt;'R1_MB'!H6,"NA",TRUE)</f>
        <v>1</v>
      </c>
      <c r="I7" s="70" t="b">
        <f>IF(Liq!G6&lt;'R1_MB'!I6,"NA",TRUE)</f>
        <v>1</v>
      </c>
    </row>
    <row r="8" spans="1:29" s="2" customFormat="1" ht="18" customHeight="1" x14ac:dyDescent="0.25">
      <c r="A8" s="9" t="s">
        <v>214</v>
      </c>
      <c r="B8" s="43"/>
      <c r="C8" s="94">
        <f>Liq!G13</f>
        <v>0.50000000002910383</v>
      </c>
      <c r="D8" s="42"/>
      <c r="E8" s="42"/>
    </row>
    <row r="9" spans="1:29" s="2" customFormat="1" ht="18" customHeight="1" x14ac:dyDescent="0.25">
      <c r="A9" s="9" t="s">
        <v>215</v>
      </c>
      <c r="B9" s="43"/>
      <c r="C9" s="94">
        <f>IFERROR(Gas!G12-Gas!G20,"")</f>
        <v>2.5568050656014587</v>
      </c>
      <c r="D9" s="142" t="s">
        <v>216</v>
      </c>
      <c r="E9" s="42"/>
    </row>
    <row r="10" spans="1:29" s="2" customFormat="1" ht="18" customHeight="1" x14ac:dyDescent="0.25">
      <c r="A10" s="9" t="s">
        <v>217</v>
      </c>
      <c r="B10" s="43"/>
      <c r="C10" s="94">
        <f>Liq!G40</f>
        <v>0</v>
      </c>
      <c r="D10" s="42"/>
      <c r="E10" s="42"/>
    </row>
    <row r="11" spans="1:29" s="2" customFormat="1" ht="18" customHeight="1" x14ac:dyDescent="0.25">
      <c r="A11" s="9" t="s">
        <v>218</v>
      </c>
      <c r="B11" s="43"/>
      <c r="C11" s="94">
        <f>Liq!G41</f>
        <v>0</v>
      </c>
      <c r="D11" s="42"/>
      <c r="E11" s="42"/>
    </row>
    <row r="12" spans="1:29" s="2" customFormat="1" ht="18" customHeight="1" x14ac:dyDescent="0.25">
      <c r="A12" s="9" t="s">
        <v>219</v>
      </c>
      <c r="B12" s="43"/>
      <c r="C12" s="94">
        <f>SUM(C52:C74,C76:C80)</f>
        <v>2.8211629175228343</v>
      </c>
      <c r="D12" s="142" t="s">
        <v>216</v>
      </c>
      <c r="E12" s="42"/>
    </row>
    <row r="13" spans="1:29" s="2" customFormat="1" ht="18" customHeight="1" x14ac:dyDescent="0.25">
      <c r="A13" s="9" t="s">
        <v>220</v>
      </c>
      <c r="B13" s="43"/>
      <c r="C13" s="36">
        <f>IFERROR(100*(C12+C11+C10)/(C9+C8),"")</f>
        <v>92.291227505568145</v>
      </c>
      <c r="D13" s="142"/>
      <c r="E13" s="42"/>
    </row>
    <row r="14" spans="1:29" s="2" customFormat="1" ht="18" customHeight="1" x14ac:dyDescent="0.25"/>
    <row r="15" spans="1:29" ht="18" customHeight="1" outlineLevel="1" x14ac:dyDescent="0.25">
      <c r="A15" s="9" t="s">
        <v>221</v>
      </c>
      <c r="B15" s="143"/>
      <c r="C15" s="151"/>
      <c r="D15" s="130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</row>
    <row r="16" spans="1:29" s="134" customFormat="1" ht="18" customHeight="1" outlineLevel="1" x14ac:dyDescent="0.25">
      <c r="A16" s="139" t="s">
        <v>222</v>
      </c>
      <c r="B16" s="144"/>
      <c r="C16" s="152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31" ht="18" customHeight="1" outlineLevel="1" x14ac:dyDescent="0.25">
      <c r="A17" s="9" t="s">
        <v>223</v>
      </c>
      <c r="B17" s="145"/>
      <c r="C17" s="153"/>
      <c r="D17" s="148" t="str">
        <f t="shared" ref="D17:AB17" si="0">IF(D15="", "", (D16-$D$16)*1440)</f>
        <v/>
      </c>
      <c r="E17" s="140" t="str">
        <f t="shared" si="0"/>
        <v/>
      </c>
      <c r="F17" s="140" t="str">
        <f t="shared" si="0"/>
        <v/>
      </c>
      <c r="G17" s="140" t="str">
        <f t="shared" si="0"/>
        <v/>
      </c>
      <c r="H17" s="140" t="str">
        <f t="shared" si="0"/>
        <v/>
      </c>
      <c r="I17" s="140" t="str">
        <f t="shared" si="0"/>
        <v/>
      </c>
      <c r="J17" s="140" t="str">
        <f t="shared" si="0"/>
        <v/>
      </c>
      <c r="K17" s="140" t="str">
        <f t="shared" si="0"/>
        <v/>
      </c>
      <c r="L17" s="140" t="str">
        <f t="shared" si="0"/>
        <v/>
      </c>
      <c r="M17" s="140" t="str">
        <f t="shared" si="0"/>
        <v/>
      </c>
      <c r="N17" s="140" t="str">
        <f t="shared" si="0"/>
        <v/>
      </c>
      <c r="O17" s="140" t="str">
        <f t="shared" si="0"/>
        <v/>
      </c>
      <c r="P17" s="140" t="str">
        <f t="shared" si="0"/>
        <v/>
      </c>
      <c r="Q17" s="140" t="str">
        <f t="shared" si="0"/>
        <v/>
      </c>
      <c r="R17" s="140" t="str">
        <f t="shared" si="0"/>
        <v/>
      </c>
      <c r="S17" s="140" t="str">
        <f t="shared" si="0"/>
        <v/>
      </c>
      <c r="T17" s="140" t="str">
        <f t="shared" si="0"/>
        <v/>
      </c>
      <c r="U17" s="140" t="str">
        <f t="shared" si="0"/>
        <v/>
      </c>
      <c r="V17" s="140" t="str">
        <f t="shared" si="0"/>
        <v/>
      </c>
      <c r="W17" s="140" t="str">
        <f t="shared" si="0"/>
        <v/>
      </c>
      <c r="X17" s="140" t="str">
        <f t="shared" si="0"/>
        <v/>
      </c>
      <c r="Y17" s="140" t="str">
        <f t="shared" si="0"/>
        <v/>
      </c>
      <c r="Z17" s="140" t="str">
        <f t="shared" si="0"/>
        <v/>
      </c>
      <c r="AA17" s="140" t="str">
        <f t="shared" si="0"/>
        <v/>
      </c>
      <c r="AB17" s="140" t="str">
        <f t="shared" si="0"/>
        <v/>
      </c>
    </row>
    <row r="18" spans="1:31" ht="18" customHeight="1" outlineLevel="1" x14ac:dyDescent="0.25">
      <c r="A18" s="9" t="s">
        <v>224</v>
      </c>
      <c r="B18" s="146"/>
      <c r="C18" s="154"/>
      <c r="D18" s="149"/>
      <c r="E18" s="140" t="str">
        <f t="shared" ref="E18:AB18" si="1">IF(E17="", "", E17-D17)</f>
        <v/>
      </c>
      <c r="F18" s="140" t="str">
        <f t="shared" si="1"/>
        <v/>
      </c>
      <c r="G18" s="140" t="str">
        <f t="shared" si="1"/>
        <v/>
      </c>
      <c r="H18" s="140" t="str">
        <f t="shared" si="1"/>
        <v/>
      </c>
      <c r="I18" s="140" t="str">
        <f t="shared" si="1"/>
        <v/>
      </c>
      <c r="J18" s="140" t="str">
        <f t="shared" si="1"/>
        <v/>
      </c>
      <c r="K18" s="140" t="str">
        <f t="shared" si="1"/>
        <v/>
      </c>
      <c r="L18" s="140" t="str">
        <f t="shared" si="1"/>
        <v/>
      </c>
      <c r="M18" s="140" t="str">
        <f t="shared" si="1"/>
        <v/>
      </c>
      <c r="N18" s="140" t="str">
        <f t="shared" si="1"/>
        <v/>
      </c>
      <c r="O18" s="140" t="str">
        <f t="shared" si="1"/>
        <v/>
      </c>
      <c r="P18" s="140" t="str">
        <f t="shared" si="1"/>
        <v/>
      </c>
      <c r="Q18" s="140" t="str">
        <f t="shared" si="1"/>
        <v/>
      </c>
      <c r="R18" s="140" t="str">
        <f t="shared" si="1"/>
        <v/>
      </c>
      <c r="S18" s="140" t="str">
        <f t="shared" si="1"/>
        <v/>
      </c>
      <c r="T18" s="140" t="str">
        <f t="shared" si="1"/>
        <v/>
      </c>
      <c r="U18" s="140" t="str">
        <f t="shared" si="1"/>
        <v/>
      </c>
      <c r="V18" s="140" t="str">
        <f t="shared" si="1"/>
        <v/>
      </c>
      <c r="W18" s="140" t="str">
        <f t="shared" si="1"/>
        <v/>
      </c>
      <c r="X18" s="140" t="str">
        <f t="shared" si="1"/>
        <v/>
      </c>
      <c r="Y18" s="140" t="str">
        <f t="shared" si="1"/>
        <v/>
      </c>
      <c r="Z18" s="140" t="str">
        <f t="shared" si="1"/>
        <v/>
      </c>
      <c r="AA18" s="140" t="str">
        <f t="shared" si="1"/>
        <v/>
      </c>
      <c r="AB18" s="140" t="str">
        <f t="shared" si="1"/>
        <v/>
      </c>
      <c r="AC18" s="2"/>
      <c r="AD18" s="135"/>
    </row>
    <row r="19" spans="1:31" ht="18" customHeight="1" outlineLevel="1" x14ac:dyDescent="0.25">
      <c r="A19" s="9" t="s">
        <v>225</v>
      </c>
      <c r="B19" s="147" t="s">
        <v>60</v>
      </c>
      <c r="C19" s="155"/>
      <c r="D19" s="16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</row>
    <row r="20" spans="1:31" ht="18" customHeight="1" outlineLevel="1" x14ac:dyDescent="0.25">
      <c r="A20" s="9" t="s">
        <v>34</v>
      </c>
      <c r="B20" s="127">
        <v>16.04</v>
      </c>
      <c r="C20" s="156"/>
      <c r="D20" s="119">
        <v>2.553404</v>
      </c>
      <c r="E20" s="119">
        <v>2.6062419999999999</v>
      </c>
      <c r="F20" s="119">
        <v>2.5990709999999999</v>
      </c>
      <c r="G20" s="119">
        <v>2.6415700000000002</v>
      </c>
      <c r="H20" s="119">
        <v>1.6730130000000001</v>
      </c>
      <c r="I20" s="119">
        <v>2.6347170000000002</v>
      </c>
      <c r="J20" s="119">
        <v>2.641718</v>
      </c>
      <c r="K20" s="119">
        <v>2.617931</v>
      </c>
      <c r="L20" s="119">
        <v>2.6108169999999999</v>
      </c>
      <c r="M20" s="119">
        <v>2.6017920000000001</v>
      </c>
      <c r="N20" s="119">
        <v>2.6120950000000001</v>
      </c>
      <c r="O20" s="119">
        <v>2.6107499999999999</v>
      </c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92">
        <f t="shared" ref="AC20:AC48" si="2">IFERROR(_xlfn.STDEV.S(E20:AB20),"")</f>
        <v>0.28522744311944465</v>
      </c>
      <c r="AD20" s="192">
        <f t="shared" ref="AD20:AD48" si="3">IFERROR(AVERAGE(E20:AB20),"")</f>
        <v>2.5317923636363635</v>
      </c>
      <c r="AE20" s="189">
        <f t="shared" ref="AE20:AE48" si="4">IFERROR(AD20+(2*AC20),"")</f>
        <v>3.1022472498752527</v>
      </c>
    </row>
    <row r="21" spans="1:31" ht="18" customHeight="1" outlineLevel="1" x14ac:dyDescent="0.25">
      <c r="A21" s="9" t="s">
        <v>35</v>
      </c>
      <c r="B21" s="127">
        <v>30.07</v>
      </c>
      <c r="C21" s="156"/>
      <c r="D21" s="119">
        <v>7.9240000000000005E-3</v>
      </c>
      <c r="E21" s="119">
        <v>4.7210000000000004E-3</v>
      </c>
      <c r="F21" s="119">
        <v>3.6150000000000002E-3</v>
      </c>
      <c r="G21" s="119">
        <v>2.9369999999999999E-3</v>
      </c>
      <c r="H21" s="119">
        <v>8.8177000000000005E-2</v>
      </c>
      <c r="I21" s="119">
        <v>2.745E-3</v>
      </c>
      <c r="J21" s="119">
        <v>2.2950000000000002E-3</v>
      </c>
      <c r="K21" s="119">
        <v>4.287E-3</v>
      </c>
      <c r="L21" s="119">
        <v>2.6250000000000002E-3</v>
      </c>
      <c r="M21" s="119">
        <v>2.4350000000000001E-3</v>
      </c>
      <c r="N21" s="119">
        <v>2.4299999999999999E-3</v>
      </c>
      <c r="O21" s="119">
        <v>1.3450000000000001E-3</v>
      </c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92">
        <f t="shared" si="2"/>
        <v>2.571647731319358E-2</v>
      </c>
      <c r="AD21" s="192">
        <f t="shared" si="3"/>
        <v>1.0692000000000002E-2</v>
      </c>
      <c r="AE21" s="189">
        <f t="shared" si="4"/>
        <v>6.212495462638716E-2</v>
      </c>
    </row>
    <row r="22" spans="1:31" ht="18" customHeight="1" outlineLevel="1" x14ac:dyDescent="0.25">
      <c r="A22" s="9" t="s">
        <v>33</v>
      </c>
      <c r="B22" s="127">
        <v>28.05</v>
      </c>
      <c r="C22" s="156"/>
      <c r="D22" s="119">
        <v>1.614271</v>
      </c>
      <c r="E22" s="119">
        <v>1.6429069999999999</v>
      </c>
      <c r="F22" s="119">
        <v>1.641243</v>
      </c>
      <c r="G22" s="119">
        <v>1.6663060000000001</v>
      </c>
      <c r="H22" s="119">
        <v>2.248745</v>
      </c>
      <c r="I22" s="119">
        <v>1.6640470000000001</v>
      </c>
      <c r="J22" s="119">
        <v>1.659621</v>
      </c>
      <c r="K22" s="119">
        <v>1.653527</v>
      </c>
      <c r="L22" s="119">
        <v>1.644498</v>
      </c>
      <c r="M22" s="119">
        <v>1.638171</v>
      </c>
      <c r="N22" s="119">
        <v>1.6463810000000001</v>
      </c>
      <c r="O22" s="119">
        <v>1.6485270000000001</v>
      </c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92">
        <f t="shared" si="2"/>
        <v>0.18061398511425911</v>
      </c>
      <c r="AD22" s="192">
        <f t="shared" si="3"/>
        <v>1.7049066363636365</v>
      </c>
      <c r="AE22" s="189">
        <f t="shared" si="4"/>
        <v>2.0661346065921546</v>
      </c>
    </row>
    <row r="23" spans="1:31" ht="18" customHeight="1" outlineLevel="1" x14ac:dyDescent="0.25">
      <c r="A23" s="9" t="s">
        <v>57</v>
      </c>
      <c r="B23" s="127">
        <v>44.1</v>
      </c>
      <c r="C23" s="156"/>
      <c r="D23" s="119">
        <v>0</v>
      </c>
      <c r="E23" s="119">
        <v>0</v>
      </c>
      <c r="F23" s="119">
        <v>0</v>
      </c>
      <c r="G23" s="119">
        <v>0</v>
      </c>
      <c r="H23" s="119">
        <v>2.5539999999999998E-3</v>
      </c>
      <c r="I23" s="119">
        <v>0</v>
      </c>
      <c r="J23" s="119">
        <v>0</v>
      </c>
      <c r="K23" s="119">
        <v>0</v>
      </c>
      <c r="L23" s="119">
        <v>0</v>
      </c>
      <c r="M23" s="119">
        <v>0</v>
      </c>
      <c r="N23" s="119">
        <v>0</v>
      </c>
      <c r="O23" s="119">
        <v>0</v>
      </c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92">
        <f t="shared" si="2"/>
        <v>7.7005997405160827E-4</v>
      </c>
      <c r="AD23" s="192">
        <f t="shared" si="3"/>
        <v>2.3218181818181817E-4</v>
      </c>
      <c r="AE23" s="189">
        <f t="shared" si="4"/>
        <v>1.7723017662850348E-3</v>
      </c>
    </row>
    <row r="24" spans="1:31" ht="18" customHeight="1" outlineLevel="1" x14ac:dyDescent="0.25">
      <c r="A24" s="9" t="s">
        <v>56</v>
      </c>
      <c r="B24" s="127">
        <v>42.08</v>
      </c>
      <c r="C24" s="156"/>
      <c r="D24" s="119">
        <v>5.3309999999999998E-3</v>
      </c>
      <c r="E24" s="119">
        <v>4.2490000000000002E-3</v>
      </c>
      <c r="F24" s="119">
        <v>2.6930000000000001E-3</v>
      </c>
      <c r="G24" s="119">
        <v>1.8220000000000001E-3</v>
      </c>
      <c r="H24" s="119">
        <v>7.8659999999999997E-3</v>
      </c>
      <c r="I24" s="119">
        <v>1.1100000000000001E-3</v>
      </c>
      <c r="J24" s="119">
        <v>9.3899999999999995E-4</v>
      </c>
      <c r="K24" s="119">
        <v>7.7300000000000003E-4</v>
      </c>
      <c r="L24" s="119">
        <v>1.0510000000000001E-3</v>
      </c>
      <c r="M24" s="119">
        <v>7.54E-4</v>
      </c>
      <c r="N24" s="119">
        <v>5.3200000000000003E-4</v>
      </c>
      <c r="O24" s="119">
        <v>0</v>
      </c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92">
        <f t="shared" si="2"/>
        <v>2.2805116451437737E-3</v>
      </c>
      <c r="AD24" s="192">
        <f t="shared" si="3"/>
        <v>1.9808181818181817E-3</v>
      </c>
      <c r="AE24" s="189">
        <f t="shared" si="4"/>
        <v>6.5418414721057291E-3</v>
      </c>
    </row>
    <row r="25" spans="1:31" ht="18" customHeight="1" outlineLevel="1" x14ac:dyDescent="0.25">
      <c r="A25" s="9" t="s">
        <v>226</v>
      </c>
      <c r="B25" s="127">
        <v>58.12</v>
      </c>
      <c r="C25" s="156"/>
      <c r="D25" s="119">
        <v>2.52E-4</v>
      </c>
      <c r="E25" s="119">
        <v>0</v>
      </c>
      <c r="F25" s="119">
        <v>0</v>
      </c>
      <c r="G25" s="119">
        <v>0</v>
      </c>
      <c r="H25" s="119">
        <v>3.3080000000000002E-3</v>
      </c>
      <c r="I25" s="119">
        <v>0</v>
      </c>
      <c r="J25" s="119">
        <v>0</v>
      </c>
      <c r="K25" s="119">
        <v>0</v>
      </c>
      <c r="L25" s="119">
        <v>0</v>
      </c>
      <c r="M25" s="119">
        <v>2.2800000000000001E-4</v>
      </c>
      <c r="N25" s="119">
        <v>2.4000000000000001E-4</v>
      </c>
      <c r="O25" s="119">
        <v>0</v>
      </c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92">
        <f t="shared" si="2"/>
        <v>9.8773732246069251E-4</v>
      </c>
      <c r="AD25" s="192">
        <f t="shared" si="3"/>
        <v>3.4327272727272727E-4</v>
      </c>
      <c r="AE25" s="189">
        <f t="shared" si="4"/>
        <v>2.3187473721941122E-3</v>
      </c>
    </row>
    <row r="26" spans="1:31" ht="18" customHeight="1" outlineLevel="1" x14ac:dyDescent="0.25">
      <c r="A26" s="9" t="s">
        <v>227</v>
      </c>
      <c r="B26" s="127">
        <v>72.150000000000006</v>
      </c>
      <c r="C26" s="156"/>
      <c r="D26" s="119">
        <v>0</v>
      </c>
      <c r="E26" s="119">
        <v>0</v>
      </c>
      <c r="F26" s="119">
        <v>0</v>
      </c>
      <c r="G26" s="119">
        <v>0</v>
      </c>
      <c r="H26" s="119">
        <v>0</v>
      </c>
      <c r="I26" s="119">
        <v>0</v>
      </c>
      <c r="J26" s="119">
        <v>0</v>
      </c>
      <c r="K26" s="119">
        <v>0</v>
      </c>
      <c r="L26" s="119">
        <v>0</v>
      </c>
      <c r="M26" s="119">
        <v>0</v>
      </c>
      <c r="N26" s="119">
        <v>0</v>
      </c>
      <c r="O26" s="119">
        <v>0</v>
      </c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92">
        <f t="shared" si="2"/>
        <v>0</v>
      </c>
      <c r="AD26" s="192">
        <f t="shared" si="3"/>
        <v>0</v>
      </c>
      <c r="AE26" s="189">
        <f t="shared" si="4"/>
        <v>0</v>
      </c>
    </row>
    <row r="27" spans="1:31" ht="18" customHeight="1" outlineLevel="1" x14ac:dyDescent="0.25">
      <c r="A27" s="9" t="s">
        <v>228</v>
      </c>
      <c r="B27" s="127">
        <v>86.18</v>
      </c>
      <c r="C27" s="156"/>
      <c r="D27" s="119">
        <v>0</v>
      </c>
      <c r="E27" s="119">
        <v>0</v>
      </c>
      <c r="F27" s="119">
        <v>0</v>
      </c>
      <c r="G27" s="119">
        <v>0</v>
      </c>
      <c r="H27" s="119">
        <v>0</v>
      </c>
      <c r="I27" s="119">
        <v>0</v>
      </c>
      <c r="J27" s="119">
        <v>0</v>
      </c>
      <c r="K27" s="119">
        <v>0</v>
      </c>
      <c r="L27" s="119">
        <v>0</v>
      </c>
      <c r="M27" s="119">
        <v>0</v>
      </c>
      <c r="N27" s="119">
        <v>0</v>
      </c>
      <c r="O27" s="119">
        <v>0</v>
      </c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92">
        <f t="shared" si="2"/>
        <v>0</v>
      </c>
      <c r="AD27" s="192">
        <f t="shared" si="3"/>
        <v>0</v>
      </c>
      <c r="AE27" s="189">
        <f t="shared" si="4"/>
        <v>0</v>
      </c>
    </row>
    <row r="28" spans="1:31" ht="18" customHeight="1" outlineLevel="1" x14ac:dyDescent="0.25">
      <c r="A28" s="9" t="s">
        <v>229</v>
      </c>
      <c r="B28" s="127">
        <v>86.18</v>
      </c>
      <c r="C28" s="156"/>
      <c r="D28" s="119">
        <v>0</v>
      </c>
      <c r="E28" s="119">
        <v>0</v>
      </c>
      <c r="F28" s="119">
        <v>0</v>
      </c>
      <c r="G28" s="119">
        <v>0</v>
      </c>
      <c r="H28" s="119">
        <v>0</v>
      </c>
      <c r="I28" s="119">
        <v>0</v>
      </c>
      <c r="J28" s="119">
        <v>0</v>
      </c>
      <c r="K28" s="119">
        <v>0</v>
      </c>
      <c r="L28" s="119">
        <v>0</v>
      </c>
      <c r="M28" s="119">
        <v>0</v>
      </c>
      <c r="N28" s="119">
        <v>0</v>
      </c>
      <c r="O28" s="119">
        <v>0</v>
      </c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92">
        <f t="shared" si="2"/>
        <v>0</v>
      </c>
      <c r="AD28" s="192">
        <f t="shared" si="3"/>
        <v>0</v>
      </c>
      <c r="AE28" s="189">
        <f t="shared" si="4"/>
        <v>0</v>
      </c>
    </row>
    <row r="29" spans="1:31" ht="18" customHeight="1" outlineLevel="1" x14ac:dyDescent="0.25">
      <c r="A29" s="9" t="s">
        <v>230</v>
      </c>
      <c r="B29" s="127">
        <v>58.12</v>
      </c>
      <c r="C29" s="156"/>
      <c r="D29" s="119">
        <v>1.3760000000000001E-3</v>
      </c>
      <c r="E29" s="119">
        <v>5.3070000000000001E-3</v>
      </c>
      <c r="F29" s="119">
        <v>6.3670000000000003E-3</v>
      </c>
      <c r="G29" s="119">
        <v>6.2440000000000004E-3</v>
      </c>
      <c r="H29" s="119">
        <v>0.420991</v>
      </c>
      <c r="I29" s="119">
        <v>5.4780000000000002E-3</v>
      </c>
      <c r="J29" s="119">
        <v>1.9759999999999999E-3</v>
      </c>
      <c r="K29" s="119">
        <v>2.9220000000000001E-3</v>
      </c>
      <c r="L29" s="119">
        <v>1.9989999999999999E-3</v>
      </c>
      <c r="M29" s="119">
        <v>1.9740000000000001E-3</v>
      </c>
      <c r="N29" s="119">
        <v>2.3189999999999999E-3</v>
      </c>
      <c r="O29" s="119">
        <v>0</v>
      </c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92">
        <f t="shared" si="2"/>
        <v>0.12590814734913272</v>
      </c>
      <c r="AD29" s="192">
        <f t="shared" si="3"/>
        <v>4.1416090909090902E-2</v>
      </c>
      <c r="AE29" s="189">
        <f t="shared" si="4"/>
        <v>0.29323238560735632</v>
      </c>
    </row>
    <row r="30" spans="1:31" ht="18" customHeight="1" outlineLevel="1" x14ac:dyDescent="0.25">
      <c r="A30" s="9" t="s">
        <v>231</v>
      </c>
      <c r="B30" s="127">
        <v>72.150000000000006</v>
      </c>
      <c r="C30" s="156"/>
      <c r="D30" s="119">
        <v>0</v>
      </c>
      <c r="E30" s="119">
        <v>0</v>
      </c>
      <c r="F30" s="119">
        <v>0</v>
      </c>
      <c r="G30" s="119">
        <v>0</v>
      </c>
      <c r="H30" s="119">
        <v>0</v>
      </c>
      <c r="I30" s="119">
        <v>0</v>
      </c>
      <c r="J30" s="119">
        <v>0</v>
      </c>
      <c r="K30" s="119">
        <v>0</v>
      </c>
      <c r="L30" s="119">
        <v>0</v>
      </c>
      <c r="M30" s="119">
        <v>0</v>
      </c>
      <c r="N30" s="119">
        <v>0</v>
      </c>
      <c r="O30" s="119">
        <v>0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92">
        <f t="shared" si="2"/>
        <v>0</v>
      </c>
      <c r="AD30" s="192">
        <f t="shared" si="3"/>
        <v>0</v>
      </c>
      <c r="AE30" s="189">
        <f t="shared" si="4"/>
        <v>0</v>
      </c>
    </row>
    <row r="31" spans="1:31" ht="18" customHeight="1" outlineLevel="1" x14ac:dyDescent="0.25">
      <c r="A31" s="9" t="s">
        <v>232</v>
      </c>
      <c r="B31" s="127">
        <v>86.18</v>
      </c>
      <c r="C31" s="156"/>
      <c r="D31" s="119">
        <v>1.3029999999999999E-3</v>
      </c>
      <c r="E31" s="119">
        <v>0</v>
      </c>
      <c r="F31" s="119">
        <v>0</v>
      </c>
      <c r="G31" s="119">
        <v>0</v>
      </c>
      <c r="H31" s="119">
        <v>1.1349999999999999E-3</v>
      </c>
      <c r="I31" s="119">
        <v>0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  <c r="O31" s="119">
        <v>0</v>
      </c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92">
        <f t="shared" si="2"/>
        <v>3.4221537609576167E-4</v>
      </c>
      <c r="AD31" s="192">
        <f t="shared" si="3"/>
        <v>1.0318181818181818E-4</v>
      </c>
      <c r="AE31" s="189">
        <f t="shared" si="4"/>
        <v>7.8761257037334147E-4</v>
      </c>
    </row>
    <row r="32" spans="1:31" ht="18" customHeight="1" outlineLevel="1" x14ac:dyDescent="0.25">
      <c r="A32" s="9" t="s">
        <v>233</v>
      </c>
      <c r="B32" s="127">
        <v>100.21</v>
      </c>
      <c r="C32" s="156"/>
      <c r="D32" s="119">
        <v>2.8264000000000001E-2</v>
      </c>
      <c r="E32" s="119">
        <v>2.7127999999999999E-2</v>
      </c>
      <c r="F32" s="119">
        <v>2.3390000000000001E-2</v>
      </c>
      <c r="G32" s="119">
        <v>2.0910000000000002E-2</v>
      </c>
      <c r="H32" s="119">
        <v>7.9796000000000006E-2</v>
      </c>
      <c r="I32" s="119">
        <v>4.3657000000000001E-2</v>
      </c>
      <c r="J32" s="119">
        <v>9.7490000000000007E-3</v>
      </c>
      <c r="K32" s="119">
        <v>3.8560000000000001E-3</v>
      </c>
      <c r="L32" s="119">
        <v>3.4190000000000002E-3</v>
      </c>
      <c r="M32" s="119">
        <v>3.2460000000000002E-3</v>
      </c>
      <c r="N32" s="119">
        <v>3.7780000000000001E-3</v>
      </c>
      <c r="O32" s="119">
        <v>0</v>
      </c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92">
        <f t="shared" si="2"/>
        <v>2.4047308935815363E-2</v>
      </c>
      <c r="AD32" s="192">
        <f t="shared" si="3"/>
        <v>1.9902636363636369E-2</v>
      </c>
      <c r="AE32" s="189">
        <f t="shared" si="4"/>
        <v>6.7997254235267091E-2</v>
      </c>
    </row>
    <row r="33" spans="1:31" ht="18" customHeight="1" outlineLevel="1" x14ac:dyDescent="0.25">
      <c r="A33" s="9" t="s">
        <v>234</v>
      </c>
      <c r="B33" s="127">
        <v>78.11</v>
      </c>
      <c r="C33" s="156"/>
      <c r="D33" s="119">
        <v>0</v>
      </c>
      <c r="E33" s="119">
        <v>0</v>
      </c>
      <c r="F33" s="119">
        <v>0</v>
      </c>
      <c r="G33" s="119">
        <v>0</v>
      </c>
      <c r="H33" s="119">
        <v>0</v>
      </c>
      <c r="I33" s="119">
        <v>0</v>
      </c>
      <c r="J33" s="119">
        <v>0</v>
      </c>
      <c r="K33" s="119">
        <v>0</v>
      </c>
      <c r="L33" s="119">
        <v>0</v>
      </c>
      <c r="M33" s="119">
        <v>0</v>
      </c>
      <c r="N33" s="119">
        <v>0</v>
      </c>
      <c r="O33" s="119">
        <v>0</v>
      </c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92">
        <f t="shared" si="2"/>
        <v>0</v>
      </c>
      <c r="AD33" s="192">
        <f t="shared" si="3"/>
        <v>0</v>
      </c>
      <c r="AE33" s="189">
        <f t="shared" si="4"/>
        <v>0</v>
      </c>
    </row>
    <row r="34" spans="1:31" ht="18" customHeight="1" outlineLevel="1" x14ac:dyDescent="0.25">
      <c r="A34" s="9" t="s">
        <v>235</v>
      </c>
      <c r="B34" s="127">
        <v>92.14</v>
      </c>
      <c r="C34" s="156"/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>
        <v>0</v>
      </c>
      <c r="M34" s="119">
        <v>0</v>
      </c>
      <c r="N34" s="119">
        <v>0</v>
      </c>
      <c r="O34" s="119">
        <v>0</v>
      </c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92">
        <f t="shared" si="2"/>
        <v>0</v>
      </c>
      <c r="AD34" s="192">
        <f t="shared" si="3"/>
        <v>0</v>
      </c>
      <c r="AE34" s="189">
        <f t="shared" si="4"/>
        <v>0</v>
      </c>
    </row>
    <row r="35" spans="1:31" ht="18" customHeight="1" outlineLevel="1" x14ac:dyDescent="0.25">
      <c r="A35" s="9" t="s">
        <v>236</v>
      </c>
      <c r="B35" s="127">
        <v>106.167</v>
      </c>
      <c r="C35" s="156"/>
      <c r="D35" s="119">
        <v>0</v>
      </c>
      <c r="E35" s="119">
        <v>0</v>
      </c>
      <c r="F35" s="119">
        <v>0</v>
      </c>
      <c r="G35" s="119">
        <v>0</v>
      </c>
      <c r="H35" s="119">
        <v>0</v>
      </c>
      <c r="I35" s="119">
        <v>0</v>
      </c>
      <c r="J35" s="119">
        <v>0</v>
      </c>
      <c r="K35" s="119">
        <v>0</v>
      </c>
      <c r="L35" s="119">
        <v>0</v>
      </c>
      <c r="M35" s="119">
        <v>0</v>
      </c>
      <c r="N35" s="119">
        <v>0</v>
      </c>
      <c r="O35" s="119">
        <v>0</v>
      </c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92">
        <f t="shared" si="2"/>
        <v>0</v>
      </c>
      <c r="AD35" s="192">
        <f t="shared" si="3"/>
        <v>0</v>
      </c>
      <c r="AE35" s="189">
        <f t="shared" si="4"/>
        <v>0</v>
      </c>
    </row>
    <row r="36" spans="1:31" ht="18" customHeight="1" outlineLevel="1" x14ac:dyDescent="0.25">
      <c r="A36" s="9" t="s">
        <v>237</v>
      </c>
      <c r="B36" s="127">
        <v>106.167</v>
      </c>
      <c r="C36" s="156"/>
      <c r="D36" s="119">
        <v>0</v>
      </c>
      <c r="E36" s="119">
        <v>0</v>
      </c>
      <c r="F36" s="119">
        <v>0</v>
      </c>
      <c r="G36" s="119">
        <v>0</v>
      </c>
      <c r="H36" s="119">
        <v>0</v>
      </c>
      <c r="I36" s="119">
        <v>0</v>
      </c>
      <c r="J36" s="119">
        <v>0</v>
      </c>
      <c r="K36" s="119">
        <v>0</v>
      </c>
      <c r="L36" s="119">
        <v>0</v>
      </c>
      <c r="M36" s="119">
        <v>0</v>
      </c>
      <c r="N36" s="119">
        <v>0</v>
      </c>
      <c r="O36" s="119">
        <v>0</v>
      </c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92">
        <f t="shared" si="2"/>
        <v>0</v>
      </c>
      <c r="AD36" s="192">
        <f t="shared" si="3"/>
        <v>0</v>
      </c>
      <c r="AE36" s="189">
        <f t="shared" si="4"/>
        <v>0</v>
      </c>
    </row>
    <row r="37" spans="1:31" ht="18" customHeight="1" outlineLevel="1" x14ac:dyDescent="0.25">
      <c r="A37" s="9" t="s">
        <v>238</v>
      </c>
      <c r="B37" s="127">
        <v>106.167</v>
      </c>
      <c r="C37" s="156"/>
      <c r="D37" s="119">
        <v>7.0800000000000004E-3</v>
      </c>
      <c r="E37" s="119">
        <v>3.9300000000000003E-3</v>
      </c>
      <c r="F37" s="119">
        <v>2.026E-3</v>
      </c>
      <c r="G37" s="119">
        <v>1.374E-3</v>
      </c>
      <c r="H37" s="119">
        <v>4.0340000000000003E-3</v>
      </c>
      <c r="I37" s="119">
        <v>4.1139999999999996E-3</v>
      </c>
      <c r="J37" s="119">
        <v>8.5400000000000005E-4</v>
      </c>
      <c r="K37" s="119">
        <v>5.0299999999999997E-4</v>
      </c>
      <c r="L37" s="119">
        <v>4.2999999999999999E-4</v>
      </c>
      <c r="M37" s="119">
        <v>4.5600000000000003E-4</v>
      </c>
      <c r="N37" s="119">
        <v>4.8200000000000001E-4</v>
      </c>
      <c r="O37" s="119">
        <v>0</v>
      </c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92">
        <f t="shared" si="2"/>
        <v>1.6161817235807246E-3</v>
      </c>
      <c r="AD37" s="192">
        <f t="shared" si="3"/>
        <v>1.6548181818181818E-3</v>
      </c>
      <c r="AE37" s="189">
        <f t="shared" si="4"/>
        <v>4.8871816289796314E-3</v>
      </c>
    </row>
    <row r="38" spans="1:31" ht="18" customHeight="1" outlineLevel="1" x14ac:dyDescent="0.25">
      <c r="A38" s="9" t="s">
        <v>239</v>
      </c>
      <c r="B38" s="127">
        <v>106.167</v>
      </c>
      <c r="C38" s="156"/>
      <c r="D38" s="119">
        <v>0</v>
      </c>
      <c r="E38" s="119">
        <v>0</v>
      </c>
      <c r="F38" s="119">
        <v>0</v>
      </c>
      <c r="G38" s="119">
        <v>0</v>
      </c>
      <c r="H38" s="119">
        <v>0</v>
      </c>
      <c r="I38" s="119">
        <v>0</v>
      </c>
      <c r="J38" s="119">
        <v>0</v>
      </c>
      <c r="K38" s="119">
        <v>0</v>
      </c>
      <c r="L38" s="119">
        <v>0</v>
      </c>
      <c r="M38" s="119">
        <v>0</v>
      </c>
      <c r="N38" s="119">
        <v>0</v>
      </c>
      <c r="O38" s="119">
        <v>0</v>
      </c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92">
        <f t="shared" si="2"/>
        <v>0</v>
      </c>
      <c r="AD38" s="192">
        <f t="shared" si="3"/>
        <v>0</v>
      </c>
      <c r="AE38" s="189">
        <f t="shared" si="4"/>
        <v>0</v>
      </c>
    </row>
    <row r="39" spans="1:31" ht="18" customHeight="1" outlineLevel="1" x14ac:dyDescent="0.25">
      <c r="A39" s="9" t="s">
        <v>240</v>
      </c>
      <c r="B39" s="127">
        <v>86.18</v>
      </c>
      <c r="C39" s="156"/>
      <c r="D39" s="119">
        <v>1.3760000000000001E-3</v>
      </c>
      <c r="E39" s="119">
        <v>5.3070000000000001E-3</v>
      </c>
      <c r="F39" s="119">
        <v>6.3670000000000003E-3</v>
      </c>
      <c r="G39" s="119">
        <v>6.2440000000000004E-3</v>
      </c>
      <c r="H39" s="119">
        <v>0.420991</v>
      </c>
      <c r="I39" s="119">
        <v>5.4780000000000002E-3</v>
      </c>
      <c r="J39" s="119">
        <v>1.9759999999999999E-3</v>
      </c>
      <c r="K39" s="119">
        <v>2.9220000000000001E-3</v>
      </c>
      <c r="L39" s="119">
        <v>1.9989999999999999E-3</v>
      </c>
      <c r="M39" s="119">
        <v>1.9740000000000001E-3</v>
      </c>
      <c r="N39" s="119">
        <v>2.3189999999999999E-3</v>
      </c>
      <c r="O39" s="119">
        <v>0</v>
      </c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92">
        <f t="shared" si="2"/>
        <v>0.12590814734913272</v>
      </c>
      <c r="AD39" s="192">
        <f t="shared" si="3"/>
        <v>4.1416090909090902E-2</v>
      </c>
      <c r="AE39" s="189">
        <f t="shared" si="4"/>
        <v>0.29323238560735632</v>
      </c>
    </row>
    <row r="40" spans="1:31" ht="18" customHeight="1" outlineLevel="1" x14ac:dyDescent="0.25">
      <c r="A40" s="9" t="s">
        <v>241</v>
      </c>
      <c r="B40" s="127">
        <v>114.23</v>
      </c>
      <c r="C40" s="156"/>
      <c r="D40" s="119">
        <v>0</v>
      </c>
      <c r="E40" s="119">
        <v>0</v>
      </c>
      <c r="F40" s="119">
        <v>0</v>
      </c>
      <c r="G40" s="119">
        <v>0</v>
      </c>
      <c r="H40" s="119">
        <v>0</v>
      </c>
      <c r="I40" s="119">
        <v>0</v>
      </c>
      <c r="J40" s="119">
        <v>0</v>
      </c>
      <c r="K40" s="119">
        <v>0</v>
      </c>
      <c r="L40" s="119">
        <v>0</v>
      </c>
      <c r="M40" s="119">
        <v>0</v>
      </c>
      <c r="N40" s="119">
        <v>0</v>
      </c>
      <c r="O40" s="119">
        <v>0</v>
      </c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92">
        <f t="shared" si="2"/>
        <v>0</v>
      </c>
      <c r="AD40" s="192">
        <f t="shared" si="3"/>
        <v>0</v>
      </c>
      <c r="AE40" s="189">
        <f t="shared" si="4"/>
        <v>0</v>
      </c>
    </row>
    <row r="41" spans="1:31" ht="18" customHeight="1" outlineLevel="1" x14ac:dyDescent="0.25">
      <c r="A41" s="9" t="s">
        <v>242</v>
      </c>
      <c r="B41" s="127">
        <v>100.21</v>
      </c>
      <c r="C41" s="156"/>
      <c r="D41" s="119">
        <v>0</v>
      </c>
      <c r="E41" s="119">
        <v>0</v>
      </c>
      <c r="F41" s="119">
        <v>0</v>
      </c>
      <c r="G41" s="119">
        <v>0</v>
      </c>
      <c r="H41" s="119">
        <v>0</v>
      </c>
      <c r="I41" s="119">
        <v>0</v>
      </c>
      <c r="J41" s="119">
        <v>0</v>
      </c>
      <c r="K41" s="119">
        <v>0</v>
      </c>
      <c r="L41" s="119">
        <v>0</v>
      </c>
      <c r="M41" s="119">
        <v>0</v>
      </c>
      <c r="N41" s="119">
        <v>0</v>
      </c>
      <c r="O41" s="119">
        <v>0</v>
      </c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92">
        <f t="shared" si="2"/>
        <v>0</v>
      </c>
      <c r="AD41" s="192">
        <f t="shared" si="3"/>
        <v>0</v>
      </c>
      <c r="AE41" s="189">
        <f t="shared" si="4"/>
        <v>0</v>
      </c>
    </row>
    <row r="42" spans="1:31" ht="18" customHeight="1" outlineLevel="1" x14ac:dyDescent="0.25">
      <c r="A42" s="9" t="s">
        <v>37</v>
      </c>
      <c r="B42" s="127">
        <v>44.01</v>
      </c>
      <c r="C42" s="156"/>
      <c r="D42" s="119">
        <v>0</v>
      </c>
      <c r="E42" s="119">
        <v>0</v>
      </c>
      <c r="F42" s="119">
        <v>0</v>
      </c>
      <c r="G42" s="119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>
        <v>0</v>
      </c>
      <c r="N42" s="119">
        <v>0</v>
      </c>
      <c r="O42" s="119">
        <v>0</v>
      </c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92">
        <f t="shared" si="2"/>
        <v>0</v>
      </c>
      <c r="AD42" s="192">
        <f t="shared" si="3"/>
        <v>0</v>
      </c>
      <c r="AE42" s="189">
        <f t="shared" si="4"/>
        <v>0</v>
      </c>
    </row>
    <row r="43" spans="1:31" ht="18" customHeight="1" outlineLevel="1" x14ac:dyDescent="0.25">
      <c r="A43" s="9" t="s">
        <v>39</v>
      </c>
      <c r="B43" s="127">
        <v>39.948</v>
      </c>
      <c r="C43" s="156"/>
      <c r="D43" s="119">
        <v>4.2822339999999999</v>
      </c>
      <c r="E43" s="119">
        <v>4.3173370000000002</v>
      </c>
      <c r="F43" s="119">
        <v>4.318022</v>
      </c>
      <c r="G43" s="119">
        <v>4.3212789999999996</v>
      </c>
      <c r="H43" s="119">
        <v>2.8236050000000001</v>
      </c>
      <c r="I43" s="119">
        <v>4.3234839999999997</v>
      </c>
      <c r="J43" s="119">
        <v>4.2891469999999998</v>
      </c>
      <c r="K43" s="119">
        <v>4.3088839999999999</v>
      </c>
      <c r="L43" s="119">
        <v>4.2874860000000004</v>
      </c>
      <c r="M43" s="119">
        <v>4.300808</v>
      </c>
      <c r="N43" s="119">
        <v>4.318314</v>
      </c>
      <c r="O43" s="119">
        <v>4.3649750000000003</v>
      </c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92">
        <f t="shared" si="2"/>
        <v>0.45014228666106371</v>
      </c>
      <c r="AD43" s="192">
        <f t="shared" si="3"/>
        <v>4.1793946363636367</v>
      </c>
      <c r="AE43" s="189">
        <f t="shared" si="4"/>
        <v>5.0796792096857644</v>
      </c>
    </row>
    <row r="44" spans="1:31" ht="18" customHeight="1" outlineLevel="1" x14ac:dyDescent="0.25">
      <c r="A44" s="9" t="s">
        <v>38</v>
      </c>
      <c r="B44" s="127">
        <v>28.01</v>
      </c>
      <c r="C44" s="156"/>
      <c r="D44" s="119">
        <v>0</v>
      </c>
      <c r="E44" s="119">
        <v>0</v>
      </c>
      <c r="F44" s="119">
        <v>0</v>
      </c>
      <c r="G44" s="119">
        <v>0</v>
      </c>
      <c r="H44" s="119">
        <v>0</v>
      </c>
      <c r="I44" s="119">
        <v>0</v>
      </c>
      <c r="J44" s="119">
        <v>0</v>
      </c>
      <c r="K44" s="119">
        <v>0</v>
      </c>
      <c r="L44" s="119">
        <v>0</v>
      </c>
      <c r="M44" s="119">
        <v>0</v>
      </c>
      <c r="N44" s="119">
        <v>0</v>
      </c>
      <c r="O44" s="119">
        <v>0</v>
      </c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92">
        <f t="shared" si="2"/>
        <v>0</v>
      </c>
      <c r="AD44" s="192">
        <f t="shared" si="3"/>
        <v>0</v>
      </c>
      <c r="AE44" s="189">
        <f t="shared" si="4"/>
        <v>0</v>
      </c>
    </row>
    <row r="45" spans="1:31" ht="18" customHeight="1" outlineLevel="1" x14ac:dyDescent="0.25">
      <c r="A45" s="9" t="s">
        <v>243</v>
      </c>
      <c r="B45" s="127">
        <v>2.016</v>
      </c>
      <c r="C45" s="156"/>
      <c r="D45" s="119">
        <v>21.196763000000001</v>
      </c>
      <c r="E45" s="119">
        <v>21.763003999999999</v>
      </c>
      <c r="F45" s="119">
        <v>21.755237000000001</v>
      </c>
      <c r="G45" s="119">
        <v>21.866886000000001</v>
      </c>
      <c r="H45" s="119">
        <v>11.968488000000001</v>
      </c>
      <c r="I45" s="119">
        <v>21.793057000000001</v>
      </c>
      <c r="J45" s="119">
        <v>21.687035999999999</v>
      </c>
      <c r="K45" s="119">
        <v>21.626636000000001</v>
      </c>
      <c r="L45" s="119">
        <v>21.577496</v>
      </c>
      <c r="M45" s="119">
        <v>21.656037000000001</v>
      </c>
      <c r="N45" s="119">
        <v>21.589141000000001</v>
      </c>
      <c r="O45" s="119">
        <v>21.754080999999999</v>
      </c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92">
        <f t="shared" si="2"/>
        <v>2.9376049671215871</v>
      </c>
      <c r="AD45" s="192">
        <f t="shared" si="3"/>
        <v>20.821554454545456</v>
      </c>
      <c r="AE45" s="189">
        <f t="shared" si="4"/>
        <v>26.69676438878863</v>
      </c>
    </row>
    <row r="46" spans="1:31" ht="18" customHeight="1" outlineLevel="1" x14ac:dyDescent="0.25">
      <c r="A46" s="9" t="s">
        <v>55</v>
      </c>
      <c r="B46" s="127">
        <v>26.04</v>
      </c>
      <c r="C46" s="156"/>
      <c r="D46" s="119">
        <v>7.877542</v>
      </c>
      <c r="E46" s="119">
        <v>8.1365990000000004</v>
      </c>
      <c r="F46" s="119">
        <v>8.21387</v>
      </c>
      <c r="G46" s="119">
        <v>8.4375319999999991</v>
      </c>
      <c r="H46" s="119">
        <v>3.7229619999999999</v>
      </c>
      <c r="I46" s="119">
        <v>8.4587889999999994</v>
      </c>
      <c r="J46" s="119">
        <v>8.4849370000000004</v>
      </c>
      <c r="K46" s="119">
        <v>7.9785069999999996</v>
      </c>
      <c r="L46" s="119">
        <v>7.8786820000000004</v>
      </c>
      <c r="M46" s="119">
        <v>7.861758</v>
      </c>
      <c r="N46" s="119">
        <v>7.8993570000000002</v>
      </c>
      <c r="O46" s="119">
        <v>7.9326800000000004</v>
      </c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92">
        <f t="shared" si="2"/>
        <v>1.350125945272469</v>
      </c>
      <c r="AD46" s="192">
        <f t="shared" si="3"/>
        <v>7.7277884545454549</v>
      </c>
      <c r="AE46" s="189">
        <f t="shared" si="4"/>
        <v>10.428040345090393</v>
      </c>
    </row>
    <row r="47" spans="1:31" ht="18" customHeight="1" outlineLevel="1" x14ac:dyDescent="0.25">
      <c r="A47" s="9" t="s">
        <v>244</v>
      </c>
      <c r="B47" s="127">
        <v>58.12</v>
      </c>
      <c r="C47" s="156"/>
      <c r="D47" s="119">
        <v>7.1000000000000002E-4</v>
      </c>
      <c r="E47" s="119">
        <v>3.5300000000000002E-4</v>
      </c>
      <c r="F47" s="119">
        <v>0</v>
      </c>
      <c r="G47" s="119">
        <v>0</v>
      </c>
      <c r="H47" s="119">
        <v>0</v>
      </c>
      <c r="I47" s="119">
        <v>0</v>
      </c>
      <c r="J47" s="119">
        <v>0</v>
      </c>
      <c r="K47" s="119">
        <v>0</v>
      </c>
      <c r="L47" s="119">
        <v>0</v>
      </c>
      <c r="M47" s="119">
        <v>0</v>
      </c>
      <c r="N47" s="119">
        <v>0</v>
      </c>
      <c r="O47" s="119">
        <v>0</v>
      </c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92">
        <f t="shared" si="2"/>
        <v>1.0643350463595058E-4</v>
      </c>
      <c r="AD47" s="192">
        <f t="shared" si="3"/>
        <v>3.2090909090909091E-5</v>
      </c>
      <c r="AE47" s="189">
        <f t="shared" si="4"/>
        <v>2.4495791836281024E-4</v>
      </c>
    </row>
    <row r="48" spans="1:31" ht="18" customHeight="1" outlineLevel="1" x14ac:dyDescent="0.25">
      <c r="A48" s="9" t="s">
        <v>245</v>
      </c>
      <c r="B48" s="127">
        <v>28.013400000000001</v>
      </c>
      <c r="C48" s="156"/>
      <c r="D48" s="119">
        <v>57.534869</v>
      </c>
      <c r="E48" s="119">
        <v>58.830263000000002</v>
      </c>
      <c r="F48" s="119">
        <v>58.699573000000001</v>
      </c>
      <c r="G48" s="119">
        <v>58.738737999999998</v>
      </c>
      <c r="H48" s="119">
        <v>72.394334999999998</v>
      </c>
      <c r="I48" s="119">
        <v>58.791266</v>
      </c>
      <c r="J48" s="119">
        <v>58.506751000000001</v>
      </c>
      <c r="K48" s="119">
        <v>59.380150999999998</v>
      </c>
      <c r="L48" s="119">
        <v>59.348886</v>
      </c>
      <c r="M48" s="119">
        <v>59.407451999999999</v>
      </c>
      <c r="N48" s="119">
        <v>59.362352999999999</v>
      </c>
      <c r="O48" s="119">
        <v>59.216003000000001</v>
      </c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92">
        <f t="shared" si="2"/>
        <v>4.043391909768367</v>
      </c>
      <c r="AD48" s="192">
        <f t="shared" si="3"/>
        <v>60.243251909090915</v>
      </c>
      <c r="AE48" s="189">
        <f t="shared" si="4"/>
        <v>68.330035728627649</v>
      </c>
    </row>
    <row r="49" spans="1:30" ht="18" customHeight="1" outlineLevel="1" x14ac:dyDescent="0.25">
      <c r="A49" s="9"/>
      <c r="B49" s="127"/>
      <c r="C49" s="157"/>
      <c r="D49" s="150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</row>
    <row r="51" spans="1:30" ht="18" customHeight="1" outlineLevel="1" x14ac:dyDescent="0.25">
      <c r="A51" s="9" t="s">
        <v>246</v>
      </c>
      <c r="B51" s="7"/>
      <c r="C51" s="7" t="s">
        <v>247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208" t="s">
        <v>248</v>
      </c>
      <c r="AD51" s="189" t="s">
        <v>249</v>
      </c>
    </row>
    <row r="52" spans="1:30" ht="18" customHeight="1" outlineLevel="1" x14ac:dyDescent="0.25">
      <c r="A52" s="9" t="str">
        <f t="shared" ref="A52:A81" si="5">IF(A20="", "", CONCATENATE(A20, " [g/h]"))</f>
        <v>Methane [g/h]</v>
      </c>
      <c r="B52" s="102"/>
      <c r="C52" s="103">
        <f t="shared" ref="C52:C84" si="6">IFERROR(AVERAGE(D52:AB52), "")</f>
        <v>5.5571786269276384E-2</v>
      </c>
      <c r="D52" s="103">
        <f t="shared" ref="D52:AB52" si="7">IF(SUM(D20:D48)=0, "", (D20*$B20/(D$43*$B$43))*$F$5)</f>
        <v>5.4805197546856976E-2</v>
      </c>
      <c r="E52" s="103">
        <f t="shared" si="7"/>
        <v>5.5484464370513721E-2</v>
      </c>
      <c r="F52" s="103">
        <f t="shared" si="7"/>
        <v>5.5323022764821594E-2</v>
      </c>
      <c r="G52" s="103">
        <f t="shared" si="7"/>
        <v>5.6185263904338194E-2</v>
      </c>
      <c r="H52" s="103">
        <f t="shared" si="7"/>
        <v>5.4458789268006479E-2</v>
      </c>
      <c r="I52" s="103">
        <f t="shared" si="7"/>
        <v>5.6010922560291644E-2</v>
      </c>
      <c r="J52" s="103">
        <f t="shared" si="7"/>
        <v>5.6609345403073066E-2</v>
      </c>
      <c r="K52" s="103">
        <f t="shared" si="7"/>
        <v>5.5842647722675595E-2</v>
      </c>
      <c r="L52" s="103">
        <f t="shared" si="7"/>
        <v>5.5968842517877038E-2</v>
      </c>
      <c r="M52" s="103">
        <f t="shared" si="7"/>
        <v>5.5602603553278895E-2</v>
      </c>
      <c r="N52" s="103">
        <f t="shared" si="7"/>
        <v>5.5596487975085242E-2</v>
      </c>
      <c r="O52" s="103">
        <f t="shared" si="7"/>
        <v>5.4973847644498169E-2</v>
      </c>
      <c r="P52" s="103" t="str">
        <f t="shared" si="7"/>
        <v/>
      </c>
      <c r="Q52" s="103" t="str">
        <f t="shared" si="7"/>
        <v/>
      </c>
      <c r="R52" s="103" t="str">
        <f t="shared" si="7"/>
        <v/>
      </c>
      <c r="S52" s="103" t="str">
        <f t="shared" si="7"/>
        <v/>
      </c>
      <c r="T52" s="103" t="str">
        <f t="shared" si="7"/>
        <v/>
      </c>
      <c r="U52" s="103" t="str">
        <f t="shared" si="7"/>
        <v/>
      </c>
      <c r="V52" s="103" t="str">
        <f t="shared" si="7"/>
        <v/>
      </c>
      <c r="W52" s="103" t="str">
        <f t="shared" si="7"/>
        <v/>
      </c>
      <c r="X52" s="103" t="str">
        <f t="shared" si="7"/>
        <v/>
      </c>
      <c r="Y52" s="103" t="str">
        <f t="shared" si="7"/>
        <v/>
      </c>
      <c r="Z52" s="103" t="str">
        <f t="shared" si="7"/>
        <v/>
      </c>
      <c r="AA52" s="103" t="str">
        <f t="shared" si="7"/>
        <v/>
      </c>
      <c r="AB52" s="103" t="str">
        <f t="shared" si="7"/>
        <v/>
      </c>
      <c r="AC52" s="192">
        <f t="shared" ref="AC52:AC80" si="8">(12.011*$AD52/$B20)*$C52</f>
        <v>4.1613012773084705E-2</v>
      </c>
      <c r="AD52" s="191">
        <v>1</v>
      </c>
    </row>
    <row r="53" spans="1:30" ht="18" customHeight="1" outlineLevel="1" x14ac:dyDescent="0.25">
      <c r="A53" s="9" t="str">
        <f t="shared" si="5"/>
        <v>Ethane [g/h]</v>
      </c>
      <c r="B53" s="102"/>
      <c r="C53" s="103">
        <f t="shared" si="6"/>
        <v>5.7296898430601612E-4</v>
      </c>
      <c r="D53" s="103">
        <f t="shared" ref="D53:AB53" si="9">IF(SUM(D21:D49)=0, "", (D21*$B21/(D$43*$B$43))*$F$5)</f>
        <v>3.1884216113640745E-4</v>
      </c>
      <c r="E53" s="103">
        <f t="shared" si="9"/>
        <v>1.8841684320100712E-4</v>
      </c>
      <c r="F53" s="103">
        <f t="shared" si="9"/>
        <v>1.4425308958670549E-4</v>
      </c>
      <c r="G53" s="103">
        <f t="shared" si="9"/>
        <v>1.171098196235669E-4</v>
      </c>
      <c r="H53" s="103">
        <f t="shared" si="9"/>
        <v>5.3808768091877261E-3</v>
      </c>
      <c r="I53" s="103">
        <f t="shared" si="9"/>
        <v>1.0939819722597227E-4</v>
      </c>
      <c r="J53" s="103">
        <f t="shared" si="9"/>
        <v>9.2196287101184023E-5</v>
      </c>
      <c r="K53" s="103">
        <f t="shared" si="9"/>
        <v>1.7143139280276928E-4</v>
      </c>
      <c r="L53" s="103">
        <f t="shared" si="9"/>
        <v>1.0549412284360296E-4</v>
      </c>
      <c r="M53" s="103">
        <f t="shared" si="9"/>
        <v>9.7555235873307428E-5</v>
      </c>
      <c r="N53" s="103">
        <f t="shared" si="9"/>
        <v>9.6960250311215935E-5</v>
      </c>
      <c r="O53" s="103">
        <f t="shared" si="9"/>
        <v>5.3093602778728537E-5</v>
      </c>
      <c r="P53" s="103" t="str">
        <f t="shared" si="9"/>
        <v/>
      </c>
      <c r="Q53" s="103" t="str">
        <f t="shared" si="9"/>
        <v/>
      </c>
      <c r="R53" s="103" t="str">
        <f t="shared" si="9"/>
        <v/>
      </c>
      <c r="S53" s="103" t="str">
        <f t="shared" si="9"/>
        <v/>
      </c>
      <c r="T53" s="103" t="str">
        <f t="shared" si="9"/>
        <v/>
      </c>
      <c r="U53" s="103" t="str">
        <f t="shared" si="9"/>
        <v/>
      </c>
      <c r="V53" s="103" t="str">
        <f t="shared" si="9"/>
        <v/>
      </c>
      <c r="W53" s="103" t="str">
        <f t="shared" si="9"/>
        <v/>
      </c>
      <c r="X53" s="103" t="str">
        <f t="shared" si="9"/>
        <v/>
      </c>
      <c r="Y53" s="103" t="str">
        <f t="shared" si="9"/>
        <v/>
      </c>
      <c r="Z53" s="103" t="str">
        <f t="shared" si="9"/>
        <v/>
      </c>
      <c r="AA53" s="103" t="str">
        <f t="shared" si="9"/>
        <v/>
      </c>
      <c r="AB53" s="103" t="str">
        <f t="shared" si="9"/>
        <v/>
      </c>
      <c r="AC53" s="192">
        <f t="shared" si="8"/>
        <v>4.5772733425337937E-4</v>
      </c>
      <c r="AD53" s="189">
        <v>2</v>
      </c>
    </row>
    <row r="54" spans="1:30" ht="18" customHeight="1" outlineLevel="1" x14ac:dyDescent="0.25">
      <c r="A54" s="9" t="str">
        <f t="shared" si="5"/>
        <v>Ethylene [g/h]</v>
      </c>
      <c r="B54" s="102"/>
      <c r="C54" s="103">
        <f t="shared" si="6"/>
        <v>6.6952241509778326E-2</v>
      </c>
      <c r="D54" s="103">
        <f t="shared" ref="D54:AB54" si="10">IF(SUM(D22:D50)=0, "", (D22*$B22/(D$43*$B$43))*$F$5)</f>
        <v>6.0590865983369373E-2</v>
      </c>
      <c r="E54" s="103">
        <f t="shared" si="10"/>
        <v>6.1164318381659893E-2</v>
      </c>
      <c r="F54" s="103">
        <f t="shared" si="10"/>
        <v>6.1092675661144007E-2</v>
      </c>
      <c r="G54" s="103">
        <f t="shared" si="10"/>
        <v>6.197885676231759E-2</v>
      </c>
      <c r="H54" s="103">
        <f t="shared" si="10"/>
        <v>0.12800807851443649</v>
      </c>
      <c r="I54" s="103">
        <f t="shared" si="10"/>
        <v>6.1863265740897393E-2</v>
      </c>
      <c r="J54" s="103">
        <f t="shared" si="10"/>
        <v>6.2192655512940002E-2</v>
      </c>
      <c r="K54" s="103">
        <f t="shared" si="10"/>
        <v>6.1680459209577147E-2</v>
      </c>
      <c r="L54" s="103">
        <f t="shared" si="10"/>
        <v>6.1649810334452181E-2</v>
      </c>
      <c r="M54" s="103">
        <f t="shared" si="10"/>
        <v>6.1222391292023247E-2</v>
      </c>
      <c r="N54" s="103">
        <f t="shared" si="10"/>
        <v>6.1279785630333365E-2</v>
      </c>
      <c r="O54" s="103">
        <f t="shared" si="10"/>
        <v>6.0703735094189214E-2</v>
      </c>
      <c r="P54" s="103" t="str">
        <f t="shared" si="10"/>
        <v/>
      </c>
      <c r="Q54" s="103" t="str">
        <f t="shared" si="10"/>
        <v/>
      </c>
      <c r="R54" s="103" t="str">
        <f t="shared" si="10"/>
        <v/>
      </c>
      <c r="S54" s="103" t="str">
        <f t="shared" si="10"/>
        <v/>
      </c>
      <c r="T54" s="103" t="str">
        <f t="shared" si="10"/>
        <v/>
      </c>
      <c r="U54" s="103" t="str">
        <f t="shared" si="10"/>
        <v/>
      </c>
      <c r="V54" s="103" t="str">
        <f t="shared" si="10"/>
        <v/>
      </c>
      <c r="W54" s="103" t="str">
        <f t="shared" si="10"/>
        <v/>
      </c>
      <c r="X54" s="103" t="str">
        <f t="shared" si="10"/>
        <v/>
      </c>
      <c r="Y54" s="103" t="str">
        <f t="shared" si="10"/>
        <v/>
      </c>
      <c r="Z54" s="103" t="str">
        <f t="shared" si="10"/>
        <v/>
      </c>
      <c r="AA54" s="103" t="str">
        <f t="shared" si="10"/>
        <v/>
      </c>
      <c r="AB54" s="103" t="str">
        <f t="shared" si="10"/>
        <v/>
      </c>
      <c r="AC54" s="192">
        <f t="shared" si="8"/>
        <v>5.7337851891190547E-2</v>
      </c>
      <c r="AD54" s="189">
        <v>2</v>
      </c>
    </row>
    <row r="55" spans="1:30" ht="18" customHeight="1" outlineLevel="1" x14ac:dyDescent="0.25">
      <c r="A55" s="9" t="str">
        <f t="shared" si="5"/>
        <v>Propane [g/h]</v>
      </c>
      <c r="B55" s="102"/>
      <c r="C55" s="103">
        <f t="shared" si="6"/>
        <v>1.9047699836767739E-5</v>
      </c>
      <c r="D55" s="103">
        <f t="shared" ref="D55:AB55" si="11">IF(SUM(D23:D51)=0, "", (D23*$B23/(D$43*$B$43))*$F$5)</f>
        <v>0</v>
      </c>
      <c r="E55" s="103">
        <f t="shared" si="11"/>
        <v>0</v>
      </c>
      <c r="F55" s="103">
        <f t="shared" si="11"/>
        <v>0</v>
      </c>
      <c r="G55" s="103">
        <f t="shared" si="11"/>
        <v>0</v>
      </c>
      <c r="H55" s="103">
        <f t="shared" si="11"/>
        <v>2.2857239804121286E-4</v>
      </c>
      <c r="I55" s="103">
        <f t="shared" si="11"/>
        <v>0</v>
      </c>
      <c r="J55" s="103">
        <f t="shared" si="11"/>
        <v>0</v>
      </c>
      <c r="K55" s="103">
        <f t="shared" si="11"/>
        <v>0</v>
      </c>
      <c r="L55" s="103">
        <f t="shared" si="11"/>
        <v>0</v>
      </c>
      <c r="M55" s="103">
        <f t="shared" si="11"/>
        <v>0</v>
      </c>
      <c r="N55" s="103">
        <f t="shared" si="11"/>
        <v>0</v>
      </c>
      <c r="O55" s="103">
        <f t="shared" si="11"/>
        <v>0</v>
      </c>
      <c r="P55" s="103" t="str">
        <f t="shared" si="11"/>
        <v/>
      </c>
      <c r="Q55" s="103" t="str">
        <f t="shared" si="11"/>
        <v/>
      </c>
      <c r="R55" s="103" t="str">
        <f t="shared" si="11"/>
        <v/>
      </c>
      <c r="S55" s="103" t="str">
        <f t="shared" si="11"/>
        <v/>
      </c>
      <c r="T55" s="103" t="str">
        <f t="shared" si="11"/>
        <v/>
      </c>
      <c r="U55" s="103" t="str">
        <f t="shared" si="11"/>
        <v/>
      </c>
      <c r="V55" s="103" t="str">
        <f t="shared" si="11"/>
        <v/>
      </c>
      <c r="W55" s="103" t="str">
        <f t="shared" si="11"/>
        <v/>
      </c>
      <c r="X55" s="103" t="str">
        <f t="shared" si="11"/>
        <v/>
      </c>
      <c r="Y55" s="103" t="str">
        <f t="shared" si="11"/>
        <v/>
      </c>
      <c r="Z55" s="103" t="str">
        <f t="shared" si="11"/>
        <v/>
      </c>
      <c r="AA55" s="103" t="str">
        <f t="shared" si="11"/>
        <v/>
      </c>
      <c r="AB55" s="103" t="str">
        <f t="shared" si="11"/>
        <v/>
      </c>
      <c r="AC55" s="192">
        <f t="shared" si="8"/>
        <v>1.5563396104722268E-5</v>
      </c>
      <c r="AD55" s="189">
        <v>3</v>
      </c>
    </row>
    <row r="56" spans="1:30" ht="18" customHeight="1" outlineLevel="1" x14ac:dyDescent="0.25">
      <c r="A56" s="9" t="str">
        <f t="shared" si="5"/>
        <v>Propylene [g/h]</v>
      </c>
      <c r="B56" s="102"/>
      <c r="C56" s="103">
        <f t="shared" si="6"/>
        <v>1.458588119933167E-4</v>
      </c>
      <c r="D56" s="103">
        <f t="shared" ref="D56:AB56" si="12">IF(SUM(D24:D52)=0, "", (D24*$B24/(D$43*$B$43))*$F$5)</f>
        <v>3.0018035222057729E-4</v>
      </c>
      <c r="E56" s="103">
        <f t="shared" si="12"/>
        <v>2.3730929925285692E-4</v>
      </c>
      <c r="F56" s="103">
        <f t="shared" si="12"/>
        <v>1.5038186910500183E-4</v>
      </c>
      <c r="G56" s="103">
        <f t="shared" si="12"/>
        <v>1.0166700765042916E-4</v>
      </c>
      <c r="H56" s="103">
        <f t="shared" si="12"/>
        <v>6.7172881029900142E-4</v>
      </c>
      <c r="I56" s="103">
        <f t="shared" si="12"/>
        <v>6.1906050600674854E-5</v>
      </c>
      <c r="J56" s="103">
        <f t="shared" si="12"/>
        <v>5.2788416799197454E-5</v>
      </c>
      <c r="K56" s="103">
        <f t="shared" si="12"/>
        <v>4.3257226149369931E-5</v>
      </c>
      <c r="L56" s="103">
        <f t="shared" si="12"/>
        <v>5.9107688617492667E-5</v>
      </c>
      <c r="M56" s="103">
        <f t="shared" si="12"/>
        <v>4.2273213855743539E-5</v>
      </c>
      <c r="N56" s="103">
        <f t="shared" si="12"/>
        <v>2.9705809369455552E-5</v>
      </c>
      <c r="O56" s="103">
        <f t="shared" si="12"/>
        <v>0</v>
      </c>
      <c r="P56" s="103" t="str">
        <f t="shared" si="12"/>
        <v/>
      </c>
      <c r="Q56" s="103" t="str">
        <f t="shared" si="12"/>
        <v/>
      </c>
      <c r="R56" s="103" t="str">
        <f t="shared" si="12"/>
        <v/>
      </c>
      <c r="S56" s="103" t="str">
        <f t="shared" si="12"/>
        <v/>
      </c>
      <c r="T56" s="103" t="str">
        <f t="shared" si="12"/>
        <v/>
      </c>
      <c r="U56" s="103" t="str">
        <f t="shared" si="12"/>
        <v/>
      </c>
      <c r="V56" s="103" t="str">
        <f t="shared" si="12"/>
        <v/>
      </c>
      <c r="W56" s="103" t="str">
        <f t="shared" si="12"/>
        <v/>
      </c>
      <c r="X56" s="103" t="str">
        <f t="shared" si="12"/>
        <v/>
      </c>
      <c r="Y56" s="103" t="str">
        <f t="shared" si="12"/>
        <v/>
      </c>
      <c r="Z56" s="103" t="str">
        <f t="shared" si="12"/>
        <v/>
      </c>
      <c r="AA56" s="103" t="str">
        <f t="shared" si="12"/>
        <v/>
      </c>
      <c r="AB56" s="103" t="str">
        <f t="shared" si="12"/>
        <v/>
      </c>
      <c r="AC56" s="192">
        <f t="shared" si="8"/>
        <v>1.2489854022231894E-4</v>
      </c>
      <c r="AD56" s="189">
        <v>3</v>
      </c>
    </row>
    <row r="57" spans="1:30" ht="18" customHeight="1" outlineLevel="1" x14ac:dyDescent="0.25">
      <c r="A57" s="9" t="str">
        <f t="shared" si="5"/>
        <v>Butane [g/h]</v>
      </c>
      <c r="B57" s="102"/>
      <c r="C57" s="103">
        <f t="shared" si="6"/>
        <v>3.716122608670086E-5</v>
      </c>
      <c r="D57" s="103">
        <f t="shared" ref="D57:AB57" si="13">IF(SUM(D25:D53)=0, "", (D25*$B25/(D$43*$B$43))*$F$5)</f>
        <v>1.9598552452667215E-5</v>
      </c>
      <c r="E57" s="103">
        <f t="shared" si="13"/>
        <v>0</v>
      </c>
      <c r="F57" s="103">
        <f t="shared" si="13"/>
        <v>0</v>
      </c>
      <c r="G57" s="103">
        <f t="shared" si="13"/>
        <v>0</v>
      </c>
      <c r="H57" s="103">
        <f t="shared" si="13"/>
        <v>3.9017137917939142E-4</v>
      </c>
      <c r="I57" s="103">
        <f t="shared" si="13"/>
        <v>0</v>
      </c>
      <c r="J57" s="103">
        <f t="shared" si="13"/>
        <v>0</v>
      </c>
      <c r="K57" s="103">
        <f t="shared" si="13"/>
        <v>0</v>
      </c>
      <c r="L57" s="103">
        <f t="shared" si="13"/>
        <v>0</v>
      </c>
      <c r="M57" s="103">
        <f t="shared" si="13"/>
        <v>1.7655443942807113E-5</v>
      </c>
      <c r="N57" s="103">
        <f t="shared" si="13"/>
        <v>1.8509337465544575E-5</v>
      </c>
      <c r="O57" s="103">
        <f t="shared" si="13"/>
        <v>0</v>
      </c>
      <c r="P57" s="103" t="str">
        <f t="shared" si="13"/>
        <v/>
      </c>
      <c r="Q57" s="103" t="str">
        <f t="shared" si="13"/>
        <v/>
      </c>
      <c r="R57" s="103" t="str">
        <f t="shared" si="13"/>
        <v/>
      </c>
      <c r="S57" s="103" t="str">
        <f t="shared" si="13"/>
        <v/>
      </c>
      <c r="T57" s="103" t="str">
        <f t="shared" si="13"/>
        <v/>
      </c>
      <c r="U57" s="103" t="str">
        <f t="shared" si="13"/>
        <v/>
      </c>
      <c r="V57" s="103" t="str">
        <f t="shared" si="13"/>
        <v/>
      </c>
      <c r="W57" s="103" t="str">
        <f t="shared" si="13"/>
        <v/>
      </c>
      <c r="X57" s="103" t="str">
        <f t="shared" si="13"/>
        <v/>
      </c>
      <c r="Y57" s="103" t="str">
        <f t="shared" si="13"/>
        <v/>
      </c>
      <c r="Z57" s="103" t="str">
        <f t="shared" si="13"/>
        <v/>
      </c>
      <c r="AA57" s="103" t="str">
        <f t="shared" si="13"/>
        <v/>
      </c>
      <c r="AB57" s="103" t="str">
        <f t="shared" si="13"/>
        <v/>
      </c>
      <c r="AC57" s="192">
        <f t="shared" si="8"/>
        <v>3.0718753374216384E-5</v>
      </c>
      <c r="AD57" s="189">
        <v>4</v>
      </c>
    </row>
    <row r="58" spans="1:30" ht="18" customHeight="1" outlineLevel="1" x14ac:dyDescent="0.25">
      <c r="A58" s="9" t="str">
        <f t="shared" si="5"/>
        <v>Pentane [g/h]</v>
      </c>
      <c r="B58" s="102"/>
      <c r="C58" s="103">
        <f t="shared" si="6"/>
        <v>0</v>
      </c>
      <c r="D58" s="103">
        <f t="shared" ref="D58:AB58" si="14">IF(SUM(D26:D54)=0, "", (D26*$B26/(D$43*$B$43))*$F$5)</f>
        <v>0</v>
      </c>
      <c r="E58" s="103">
        <f t="shared" si="14"/>
        <v>0</v>
      </c>
      <c r="F58" s="103">
        <f t="shared" si="14"/>
        <v>0</v>
      </c>
      <c r="G58" s="103">
        <f t="shared" si="14"/>
        <v>0</v>
      </c>
      <c r="H58" s="103">
        <f t="shared" si="14"/>
        <v>0</v>
      </c>
      <c r="I58" s="103">
        <f t="shared" si="14"/>
        <v>0</v>
      </c>
      <c r="J58" s="103">
        <f t="shared" si="14"/>
        <v>0</v>
      </c>
      <c r="K58" s="103">
        <f t="shared" si="14"/>
        <v>0</v>
      </c>
      <c r="L58" s="103">
        <f t="shared" si="14"/>
        <v>0</v>
      </c>
      <c r="M58" s="103">
        <f t="shared" si="14"/>
        <v>0</v>
      </c>
      <c r="N58" s="103">
        <f t="shared" si="14"/>
        <v>0</v>
      </c>
      <c r="O58" s="103">
        <f t="shared" si="14"/>
        <v>0</v>
      </c>
      <c r="P58" s="103" t="str">
        <f t="shared" si="14"/>
        <v/>
      </c>
      <c r="Q58" s="103" t="str">
        <f t="shared" si="14"/>
        <v/>
      </c>
      <c r="R58" s="103" t="str">
        <f t="shared" si="14"/>
        <v/>
      </c>
      <c r="S58" s="103" t="str">
        <f t="shared" si="14"/>
        <v/>
      </c>
      <c r="T58" s="103" t="str">
        <f t="shared" si="14"/>
        <v/>
      </c>
      <c r="U58" s="103" t="str">
        <f t="shared" si="14"/>
        <v/>
      </c>
      <c r="V58" s="103" t="str">
        <f t="shared" si="14"/>
        <v/>
      </c>
      <c r="W58" s="103" t="str">
        <f t="shared" si="14"/>
        <v/>
      </c>
      <c r="X58" s="103" t="str">
        <f t="shared" si="14"/>
        <v/>
      </c>
      <c r="Y58" s="103" t="str">
        <f t="shared" si="14"/>
        <v/>
      </c>
      <c r="Z58" s="103" t="str">
        <f t="shared" si="14"/>
        <v/>
      </c>
      <c r="AA58" s="103" t="str">
        <f t="shared" si="14"/>
        <v/>
      </c>
      <c r="AB58" s="103" t="str">
        <f t="shared" si="14"/>
        <v/>
      </c>
      <c r="AC58" s="192">
        <f t="shared" si="8"/>
        <v>0</v>
      </c>
      <c r="AD58" s="189">
        <v>5</v>
      </c>
    </row>
    <row r="59" spans="1:30" ht="18" customHeight="1" outlineLevel="1" x14ac:dyDescent="0.25">
      <c r="A59" s="9" t="str">
        <f t="shared" si="5"/>
        <v>C6s (Isomers of hexane?) [g/h]</v>
      </c>
      <c r="B59" s="102"/>
      <c r="C59" s="103">
        <f t="shared" si="6"/>
        <v>0</v>
      </c>
      <c r="D59" s="103">
        <f t="shared" ref="D59:AB59" si="15">IF(SUM(D27:D55)=0, "", (D27*$B27/(D$43*$B$43))*$F$5)</f>
        <v>0</v>
      </c>
      <c r="E59" s="103">
        <f t="shared" si="15"/>
        <v>0</v>
      </c>
      <c r="F59" s="103">
        <f t="shared" si="15"/>
        <v>0</v>
      </c>
      <c r="G59" s="103">
        <f t="shared" si="15"/>
        <v>0</v>
      </c>
      <c r="H59" s="103">
        <f t="shared" si="15"/>
        <v>0</v>
      </c>
      <c r="I59" s="103">
        <f t="shared" si="15"/>
        <v>0</v>
      </c>
      <c r="J59" s="103">
        <f t="shared" si="15"/>
        <v>0</v>
      </c>
      <c r="K59" s="103">
        <f t="shared" si="15"/>
        <v>0</v>
      </c>
      <c r="L59" s="103">
        <f t="shared" si="15"/>
        <v>0</v>
      </c>
      <c r="M59" s="103">
        <f t="shared" si="15"/>
        <v>0</v>
      </c>
      <c r="N59" s="103">
        <f t="shared" si="15"/>
        <v>0</v>
      </c>
      <c r="O59" s="103">
        <f t="shared" si="15"/>
        <v>0</v>
      </c>
      <c r="P59" s="103" t="str">
        <f t="shared" si="15"/>
        <v/>
      </c>
      <c r="Q59" s="103" t="str">
        <f t="shared" si="15"/>
        <v/>
      </c>
      <c r="R59" s="103" t="str">
        <f t="shared" si="15"/>
        <v/>
      </c>
      <c r="S59" s="103" t="str">
        <f t="shared" si="15"/>
        <v/>
      </c>
      <c r="T59" s="103" t="str">
        <f t="shared" si="15"/>
        <v/>
      </c>
      <c r="U59" s="103" t="str">
        <f t="shared" si="15"/>
        <v/>
      </c>
      <c r="V59" s="103" t="str">
        <f t="shared" si="15"/>
        <v/>
      </c>
      <c r="W59" s="103" t="str">
        <f t="shared" si="15"/>
        <v/>
      </c>
      <c r="X59" s="103" t="str">
        <f t="shared" si="15"/>
        <v/>
      </c>
      <c r="Y59" s="103" t="str">
        <f t="shared" si="15"/>
        <v/>
      </c>
      <c r="Z59" s="103" t="str">
        <f t="shared" si="15"/>
        <v/>
      </c>
      <c r="AA59" s="103" t="str">
        <f t="shared" si="15"/>
        <v/>
      </c>
      <c r="AB59" s="103" t="str">
        <f t="shared" si="15"/>
        <v/>
      </c>
      <c r="AC59" s="192">
        <f t="shared" si="8"/>
        <v>0</v>
      </c>
      <c r="AD59" s="189">
        <v>6</v>
      </c>
    </row>
    <row r="60" spans="1:30" ht="18" customHeight="1" outlineLevel="1" x14ac:dyDescent="0.25">
      <c r="A60" s="9" t="str">
        <f t="shared" si="5"/>
        <v>Hexane [g/h]</v>
      </c>
      <c r="B60" s="102"/>
      <c r="C60" s="103">
        <f t="shared" si="6"/>
        <v>0</v>
      </c>
      <c r="D60" s="103">
        <f t="shared" ref="D60:AB60" si="16">IF(SUM(D28:D56)=0, "", (D28*$B28/(D$43*$B$43))*$F$5)</f>
        <v>0</v>
      </c>
      <c r="E60" s="103">
        <f t="shared" si="16"/>
        <v>0</v>
      </c>
      <c r="F60" s="103">
        <f t="shared" si="16"/>
        <v>0</v>
      </c>
      <c r="G60" s="103">
        <f t="shared" si="16"/>
        <v>0</v>
      </c>
      <c r="H60" s="103">
        <f t="shared" si="16"/>
        <v>0</v>
      </c>
      <c r="I60" s="103">
        <f t="shared" si="16"/>
        <v>0</v>
      </c>
      <c r="J60" s="103">
        <f t="shared" si="16"/>
        <v>0</v>
      </c>
      <c r="K60" s="103">
        <f t="shared" si="16"/>
        <v>0</v>
      </c>
      <c r="L60" s="103">
        <f t="shared" si="16"/>
        <v>0</v>
      </c>
      <c r="M60" s="103">
        <f t="shared" si="16"/>
        <v>0</v>
      </c>
      <c r="N60" s="103">
        <f t="shared" si="16"/>
        <v>0</v>
      </c>
      <c r="O60" s="103">
        <f t="shared" si="16"/>
        <v>0</v>
      </c>
      <c r="P60" s="103" t="str">
        <f t="shared" si="16"/>
        <v/>
      </c>
      <c r="Q60" s="103" t="str">
        <f t="shared" si="16"/>
        <v/>
      </c>
      <c r="R60" s="103" t="str">
        <f t="shared" si="16"/>
        <v/>
      </c>
      <c r="S60" s="103" t="str">
        <f t="shared" si="16"/>
        <v/>
      </c>
      <c r="T60" s="103" t="str">
        <f t="shared" si="16"/>
        <v/>
      </c>
      <c r="U60" s="103" t="str">
        <f t="shared" si="16"/>
        <v/>
      </c>
      <c r="V60" s="103" t="str">
        <f t="shared" si="16"/>
        <v/>
      </c>
      <c r="W60" s="103" t="str">
        <f t="shared" si="16"/>
        <v/>
      </c>
      <c r="X60" s="103" t="str">
        <f t="shared" si="16"/>
        <v/>
      </c>
      <c r="Y60" s="103" t="str">
        <f t="shared" si="16"/>
        <v/>
      </c>
      <c r="Z60" s="103" t="str">
        <f t="shared" si="16"/>
        <v/>
      </c>
      <c r="AA60" s="103" t="str">
        <f t="shared" si="16"/>
        <v/>
      </c>
      <c r="AB60" s="103" t="str">
        <f t="shared" si="16"/>
        <v/>
      </c>
      <c r="AC60" s="192">
        <f t="shared" si="8"/>
        <v>0</v>
      </c>
      <c r="AD60" s="189">
        <v>6</v>
      </c>
    </row>
    <row r="61" spans="1:30" ht="18" customHeight="1" outlineLevel="1" x14ac:dyDescent="0.25">
      <c r="A61" s="9" t="str">
        <f t="shared" si="5"/>
        <v>C4 [g/h]</v>
      </c>
      <c r="B61" s="102"/>
      <c r="C61" s="103">
        <f t="shared" si="6"/>
        <v>4.3693234555709512E-3</v>
      </c>
      <c r="D61" s="103">
        <f t="shared" ref="D61:AB61" si="17">IF(SUM(D29:D57)=0, "", (D29*$B29/(D$43*$B$43))*$F$5)</f>
        <v>1.0701431815424637E-4</v>
      </c>
      <c r="E61" s="103">
        <f t="shared" si="17"/>
        <v>4.0938034525212072E-4</v>
      </c>
      <c r="F61" s="103">
        <f t="shared" si="17"/>
        <v>4.9107050420097646E-4</v>
      </c>
      <c r="G61" s="103">
        <f t="shared" si="17"/>
        <v>4.8122085174272792E-4</v>
      </c>
      <c r="H61" s="103">
        <f t="shared" si="17"/>
        <v>4.9654969495801449E-2</v>
      </c>
      <c r="I61" s="103">
        <f t="shared" si="17"/>
        <v>4.2197043346161055E-4</v>
      </c>
      <c r="J61" s="103">
        <f t="shared" si="17"/>
        <v>1.5342984967812835E-4</v>
      </c>
      <c r="K61" s="103">
        <f t="shared" si="17"/>
        <v>2.2584436509364385E-4</v>
      </c>
      <c r="L61" s="103">
        <f t="shared" si="17"/>
        <v>1.5527585501665301E-4</v>
      </c>
      <c r="M61" s="103">
        <f t="shared" si="17"/>
        <v>1.5285897518904054E-4</v>
      </c>
      <c r="N61" s="103">
        <f t="shared" si="17"/>
        <v>1.7884647326082447E-4</v>
      </c>
      <c r="O61" s="103">
        <f t="shared" si="17"/>
        <v>0</v>
      </c>
      <c r="P61" s="103" t="str">
        <f t="shared" si="17"/>
        <v/>
      </c>
      <c r="Q61" s="103" t="str">
        <f t="shared" si="17"/>
        <v/>
      </c>
      <c r="R61" s="103" t="str">
        <f t="shared" si="17"/>
        <v/>
      </c>
      <c r="S61" s="103" t="str">
        <f t="shared" si="17"/>
        <v/>
      </c>
      <c r="T61" s="103" t="str">
        <f t="shared" si="17"/>
        <v/>
      </c>
      <c r="U61" s="103" t="str">
        <f t="shared" si="17"/>
        <v/>
      </c>
      <c r="V61" s="103" t="str">
        <f t="shared" si="17"/>
        <v/>
      </c>
      <c r="W61" s="103" t="str">
        <f t="shared" si="17"/>
        <v/>
      </c>
      <c r="X61" s="103" t="str">
        <f t="shared" si="17"/>
        <v/>
      </c>
      <c r="Y61" s="103" t="str">
        <f t="shared" si="17"/>
        <v/>
      </c>
      <c r="Z61" s="103" t="str">
        <f t="shared" si="17"/>
        <v/>
      </c>
      <c r="AA61" s="103" t="str">
        <f t="shared" si="17"/>
        <v/>
      </c>
      <c r="AB61" s="103" t="str">
        <f t="shared" si="17"/>
        <v/>
      </c>
      <c r="AC61" s="192">
        <f t="shared" si="8"/>
        <v>3.6118337250421674E-3</v>
      </c>
      <c r="AD61" s="189">
        <v>4</v>
      </c>
    </row>
    <row r="62" spans="1:30" ht="18" customHeight="1" outlineLevel="1" x14ac:dyDescent="0.25">
      <c r="A62" s="9" t="str">
        <f t="shared" si="5"/>
        <v>C5 [g/h]</v>
      </c>
      <c r="B62" s="102"/>
      <c r="C62" s="103">
        <f t="shared" si="6"/>
        <v>0</v>
      </c>
      <c r="D62" s="103">
        <f t="shared" ref="D62:AB62" si="18">IF(SUM(D30:D58)=0, "", (D30*$B30/(D$43*$B$43))*$F$5)</f>
        <v>0</v>
      </c>
      <c r="E62" s="103">
        <f t="shared" si="18"/>
        <v>0</v>
      </c>
      <c r="F62" s="103">
        <f t="shared" si="18"/>
        <v>0</v>
      </c>
      <c r="G62" s="103">
        <f t="shared" si="18"/>
        <v>0</v>
      </c>
      <c r="H62" s="103">
        <f t="shared" si="18"/>
        <v>0</v>
      </c>
      <c r="I62" s="103">
        <f t="shared" si="18"/>
        <v>0</v>
      </c>
      <c r="J62" s="103">
        <f t="shared" si="18"/>
        <v>0</v>
      </c>
      <c r="K62" s="103">
        <f t="shared" si="18"/>
        <v>0</v>
      </c>
      <c r="L62" s="103">
        <f t="shared" si="18"/>
        <v>0</v>
      </c>
      <c r="M62" s="103">
        <f t="shared" si="18"/>
        <v>0</v>
      </c>
      <c r="N62" s="103">
        <f t="shared" si="18"/>
        <v>0</v>
      </c>
      <c r="O62" s="103">
        <f t="shared" si="18"/>
        <v>0</v>
      </c>
      <c r="P62" s="103" t="str">
        <f t="shared" si="18"/>
        <v/>
      </c>
      <c r="Q62" s="103" t="str">
        <f t="shared" si="18"/>
        <v/>
      </c>
      <c r="R62" s="103" t="str">
        <f t="shared" si="18"/>
        <v/>
      </c>
      <c r="S62" s="103" t="str">
        <f t="shared" si="18"/>
        <v/>
      </c>
      <c r="T62" s="103" t="str">
        <f t="shared" si="18"/>
        <v/>
      </c>
      <c r="U62" s="103" t="str">
        <f t="shared" si="18"/>
        <v/>
      </c>
      <c r="V62" s="103" t="str">
        <f t="shared" si="18"/>
        <v/>
      </c>
      <c r="W62" s="103" t="str">
        <f t="shared" si="18"/>
        <v/>
      </c>
      <c r="X62" s="103" t="str">
        <f t="shared" si="18"/>
        <v/>
      </c>
      <c r="Y62" s="103" t="str">
        <f t="shared" si="18"/>
        <v/>
      </c>
      <c r="Z62" s="103" t="str">
        <f t="shared" si="18"/>
        <v/>
      </c>
      <c r="AA62" s="103" t="str">
        <f t="shared" si="18"/>
        <v/>
      </c>
      <c r="AB62" s="103" t="str">
        <f t="shared" si="18"/>
        <v/>
      </c>
      <c r="AC62" s="192">
        <f t="shared" si="8"/>
        <v>0</v>
      </c>
      <c r="AD62" s="189">
        <v>5</v>
      </c>
    </row>
    <row r="63" spans="1:30" ht="18" customHeight="1" outlineLevel="1" x14ac:dyDescent="0.25">
      <c r="A63" s="9" t="str">
        <f t="shared" si="5"/>
        <v>C6 [g/h]</v>
      </c>
      <c r="B63" s="102"/>
      <c r="C63" s="103">
        <f t="shared" si="6"/>
        <v>2.9063722126468383E-5</v>
      </c>
      <c r="D63" s="103">
        <f t="shared" ref="D63:AB63" si="19">IF(SUM(D31:D59)=0, "", (D31*$B31/(D$43*$B$43))*$F$5)</f>
        <v>1.5026185800814622E-4</v>
      </c>
      <c r="E63" s="103">
        <f t="shared" si="19"/>
        <v>0</v>
      </c>
      <c r="F63" s="103">
        <f t="shared" si="19"/>
        <v>0</v>
      </c>
      <c r="G63" s="103">
        <f t="shared" si="19"/>
        <v>0</v>
      </c>
      <c r="H63" s="103">
        <f t="shared" si="19"/>
        <v>1.9850280750947436E-4</v>
      </c>
      <c r="I63" s="103">
        <f t="shared" si="19"/>
        <v>0</v>
      </c>
      <c r="J63" s="103">
        <f t="shared" si="19"/>
        <v>0</v>
      </c>
      <c r="K63" s="103">
        <f t="shared" si="19"/>
        <v>0</v>
      </c>
      <c r="L63" s="103">
        <f t="shared" si="19"/>
        <v>0</v>
      </c>
      <c r="M63" s="103">
        <f t="shared" si="19"/>
        <v>0</v>
      </c>
      <c r="N63" s="103">
        <f t="shared" si="19"/>
        <v>0</v>
      </c>
      <c r="O63" s="103">
        <f t="shared" si="19"/>
        <v>0</v>
      </c>
      <c r="P63" s="103" t="str">
        <f t="shared" si="19"/>
        <v/>
      </c>
      <c r="Q63" s="103" t="str">
        <f t="shared" si="19"/>
        <v/>
      </c>
      <c r="R63" s="103" t="str">
        <f t="shared" si="19"/>
        <v/>
      </c>
      <c r="S63" s="103" t="str">
        <f t="shared" si="19"/>
        <v/>
      </c>
      <c r="T63" s="103" t="str">
        <f t="shared" si="19"/>
        <v/>
      </c>
      <c r="U63" s="103" t="str">
        <f t="shared" si="19"/>
        <v/>
      </c>
      <c r="V63" s="103" t="str">
        <f t="shared" si="19"/>
        <v/>
      </c>
      <c r="W63" s="103" t="str">
        <f t="shared" si="19"/>
        <v/>
      </c>
      <c r="X63" s="103" t="str">
        <f t="shared" si="19"/>
        <v/>
      </c>
      <c r="Y63" s="103" t="str">
        <f t="shared" si="19"/>
        <v/>
      </c>
      <c r="Z63" s="103" t="str">
        <f t="shared" si="19"/>
        <v/>
      </c>
      <c r="AA63" s="103" t="str">
        <f t="shared" si="19"/>
        <v/>
      </c>
      <c r="AB63" s="103" t="str">
        <f t="shared" si="19"/>
        <v/>
      </c>
      <c r="AC63" s="192">
        <f t="shared" si="8"/>
        <v>2.4303854708355426E-5</v>
      </c>
      <c r="AD63" s="189">
        <v>6</v>
      </c>
    </row>
    <row r="64" spans="1:30" ht="18" customHeight="1" outlineLevel="1" x14ac:dyDescent="0.25">
      <c r="A64" s="9" t="str">
        <f t="shared" si="5"/>
        <v>C6 Above [g/h]</v>
      </c>
      <c r="B64" s="102"/>
      <c r="C64" s="103">
        <f t="shared" si="6"/>
        <v>3.2104877405312628E-3</v>
      </c>
      <c r="D64" s="103">
        <f t="shared" ref="D64:AB64" si="20">IF(SUM(D32:D60)=0, "", (D32*$B32/(D$43*$B$43))*$F$5)</f>
        <v>3.7900290234482215E-3</v>
      </c>
      <c r="E64" s="103">
        <f t="shared" si="20"/>
        <v>3.6081213339275854E-3</v>
      </c>
      <c r="F64" s="103">
        <f t="shared" si="20"/>
        <v>3.1104604083698213E-3</v>
      </c>
      <c r="G64" s="103">
        <f t="shared" si="20"/>
        <v>2.7785680168340319E-3</v>
      </c>
      <c r="H64" s="103">
        <f t="shared" si="20"/>
        <v>1.6227681904470891E-2</v>
      </c>
      <c r="I64" s="103">
        <f t="shared" si="20"/>
        <v>5.7982820779401657E-3</v>
      </c>
      <c r="J64" s="103">
        <f t="shared" si="20"/>
        <v>1.3051740974989175E-3</v>
      </c>
      <c r="K64" s="103">
        <f t="shared" si="20"/>
        <v>5.1386794741500679E-4</v>
      </c>
      <c r="L64" s="103">
        <f t="shared" si="20"/>
        <v>4.5790532345781526E-4</v>
      </c>
      <c r="M64" s="103">
        <f t="shared" si="20"/>
        <v>4.3338888338655368E-4</v>
      </c>
      <c r="N64" s="103">
        <f t="shared" si="20"/>
        <v>5.0237386962614374E-4</v>
      </c>
      <c r="O64" s="103">
        <f t="shared" si="20"/>
        <v>0</v>
      </c>
      <c r="P64" s="103" t="str">
        <f t="shared" si="20"/>
        <v/>
      </c>
      <c r="Q64" s="103" t="str">
        <f t="shared" si="20"/>
        <v/>
      </c>
      <c r="R64" s="103" t="str">
        <f t="shared" si="20"/>
        <v/>
      </c>
      <c r="S64" s="103" t="str">
        <f t="shared" si="20"/>
        <v/>
      </c>
      <c r="T64" s="103" t="str">
        <f t="shared" si="20"/>
        <v/>
      </c>
      <c r="U64" s="103" t="str">
        <f t="shared" si="20"/>
        <v/>
      </c>
      <c r="V64" s="103" t="str">
        <f t="shared" si="20"/>
        <v/>
      </c>
      <c r="W64" s="103" t="str">
        <f t="shared" si="20"/>
        <v/>
      </c>
      <c r="X64" s="103" t="str">
        <f t="shared" si="20"/>
        <v/>
      </c>
      <c r="Y64" s="103" t="str">
        <f t="shared" si="20"/>
        <v/>
      </c>
      <c r="Z64" s="103" t="str">
        <f t="shared" si="20"/>
        <v/>
      </c>
      <c r="AA64" s="103" t="str">
        <f t="shared" si="20"/>
        <v/>
      </c>
      <c r="AB64" s="103" t="str">
        <f t="shared" si="20"/>
        <v/>
      </c>
      <c r="AC64" s="192">
        <f t="shared" si="8"/>
        <v>2.308821569794691E-3</v>
      </c>
      <c r="AD64" s="189">
        <v>6</v>
      </c>
    </row>
    <row r="65" spans="1:30" ht="18" customHeight="1" outlineLevel="1" x14ac:dyDescent="0.25">
      <c r="A65" s="9" t="str">
        <f t="shared" si="5"/>
        <v>Benzene [g/h]</v>
      </c>
      <c r="B65" s="102"/>
      <c r="C65" s="103">
        <f t="shared" si="6"/>
        <v>0</v>
      </c>
      <c r="D65" s="103">
        <f t="shared" ref="D65:AB65" si="21">IF(SUM(D33:D61)=0, "", (D33*$B33/(D$43*$B$43))*$F$5)</f>
        <v>0</v>
      </c>
      <c r="E65" s="103">
        <f t="shared" si="21"/>
        <v>0</v>
      </c>
      <c r="F65" s="103">
        <f t="shared" si="21"/>
        <v>0</v>
      </c>
      <c r="G65" s="103">
        <f t="shared" si="21"/>
        <v>0</v>
      </c>
      <c r="H65" s="103">
        <f t="shared" si="21"/>
        <v>0</v>
      </c>
      <c r="I65" s="103">
        <f t="shared" si="21"/>
        <v>0</v>
      </c>
      <c r="J65" s="103">
        <f t="shared" si="21"/>
        <v>0</v>
      </c>
      <c r="K65" s="103">
        <f t="shared" si="21"/>
        <v>0</v>
      </c>
      <c r="L65" s="103">
        <f t="shared" si="21"/>
        <v>0</v>
      </c>
      <c r="M65" s="103">
        <f t="shared" si="21"/>
        <v>0</v>
      </c>
      <c r="N65" s="103">
        <f t="shared" si="21"/>
        <v>0</v>
      </c>
      <c r="O65" s="103">
        <f t="shared" si="21"/>
        <v>0</v>
      </c>
      <c r="P65" s="103" t="str">
        <f t="shared" si="21"/>
        <v/>
      </c>
      <c r="Q65" s="103" t="str">
        <f t="shared" si="21"/>
        <v/>
      </c>
      <c r="R65" s="103" t="str">
        <f t="shared" si="21"/>
        <v/>
      </c>
      <c r="S65" s="103" t="str">
        <f t="shared" si="21"/>
        <v/>
      </c>
      <c r="T65" s="103" t="str">
        <f t="shared" si="21"/>
        <v/>
      </c>
      <c r="U65" s="103" t="str">
        <f t="shared" si="21"/>
        <v/>
      </c>
      <c r="V65" s="103" t="str">
        <f t="shared" si="21"/>
        <v/>
      </c>
      <c r="W65" s="103" t="str">
        <f t="shared" si="21"/>
        <v/>
      </c>
      <c r="X65" s="103" t="str">
        <f t="shared" si="21"/>
        <v/>
      </c>
      <c r="Y65" s="103" t="str">
        <f t="shared" si="21"/>
        <v/>
      </c>
      <c r="Z65" s="103" t="str">
        <f t="shared" si="21"/>
        <v/>
      </c>
      <c r="AA65" s="103" t="str">
        <f t="shared" si="21"/>
        <v/>
      </c>
      <c r="AB65" s="103" t="str">
        <f t="shared" si="21"/>
        <v/>
      </c>
      <c r="AC65" s="192">
        <f t="shared" si="8"/>
        <v>0</v>
      </c>
      <c r="AD65" s="189">
        <v>6</v>
      </c>
    </row>
    <row r="66" spans="1:30" ht="18" customHeight="1" outlineLevel="1" x14ac:dyDescent="0.25">
      <c r="A66" s="9" t="str">
        <f t="shared" si="5"/>
        <v>Toluene [g/h]</v>
      </c>
      <c r="B66" s="102"/>
      <c r="C66" s="103">
        <f t="shared" si="6"/>
        <v>0</v>
      </c>
      <c r="D66" s="103">
        <f t="shared" ref="D66:AB66" si="22">IF(SUM(D34:D62)=0, "", (D34*$B34/(D$43*$B$43))*$F$5)</f>
        <v>0</v>
      </c>
      <c r="E66" s="103">
        <f t="shared" si="22"/>
        <v>0</v>
      </c>
      <c r="F66" s="103">
        <f t="shared" si="22"/>
        <v>0</v>
      </c>
      <c r="G66" s="103">
        <f t="shared" si="22"/>
        <v>0</v>
      </c>
      <c r="H66" s="103">
        <f t="shared" si="22"/>
        <v>0</v>
      </c>
      <c r="I66" s="103">
        <f t="shared" si="22"/>
        <v>0</v>
      </c>
      <c r="J66" s="103">
        <f t="shared" si="22"/>
        <v>0</v>
      </c>
      <c r="K66" s="103">
        <f t="shared" si="22"/>
        <v>0</v>
      </c>
      <c r="L66" s="103">
        <f t="shared" si="22"/>
        <v>0</v>
      </c>
      <c r="M66" s="103">
        <f t="shared" si="22"/>
        <v>0</v>
      </c>
      <c r="N66" s="103">
        <f t="shared" si="22"/>
        <v>0</v>
      </c>
      <c r="O66" s="103">
        <f t="shared" si="22"/>
        <v>0</v>
      </c>
      <c r="P66" s="103" t="str">
        <f t="shared" si="22"/>
        <v/>
      </c>
      <c r="Q66" s="103" t="str">
        <f t="shared" si="22"/>
        <v/>
      </c>
      <c r="R66" s="103" t="str">
        <f t="shared" si="22"/>
        <v/>
      </c>
      <c r="S66" s="103" t="str">
        <f t="shared" si="22"/>
        <v/>
      </c>
      <c r="T66" s="103" t="str">
        <f t="shared" si="22"/>
        <v/>
      </c>
      <c r="U66" s="103" t="str">
        <f t="shared" si="22"/>
        <v/>
      </c>
      <c r="V66" s="103" t="str">
        <f t="shared" si="22"/>
        <v/>
      </c>
      <c r="W66" s="103" t="str">
        <f t="shared" si="22"/>
        <v/>
      </c>
      <c r="X66" s="103" t="str">
        <f t="shared" si="22"/>
        <v/>
      </c>
      <c r="Y66" s="103" t="str">
        <f t="shared" si="22"/>
        <v/>
      </c>
      <c r="Z66" s="103" t="str">
        <f t="shared" si="22"/>
        <v/>
      </c>
      <c r="AA66" s="103" t="str">
        <f t="shared" si="22"/>
        <v/>
      </c>
      <c r="AB66" s="103" t="str">
        <f t="shared" si="22"/>
        <v/>
      </c>
      <c r="AC66" s="192">
        <f t="shared" si="8"/>
        <v>0</v>
      </c>
      <c r="AD66" s="189">
        <v>7</v>
      </c>
    </row>
    <row r="67" spans="1:30" ht="18" customHeight="1" outlineLevel="1" x14ac:dyDescent="0.25">
      <c r="A67" s="9" t="str">
        <f t="shared" si="5"/>
        <v>Ethylbenzene [g/h]</v>
      </c>
      <c r="B67" s="102"/>
      <c r="C67" s="103">
        <f t="shared" si="6"/>
        <v>0</v>
      </c>
      <c r="D67" s="103">
        <f t="shared" ref="D67:AB67" si="23">IF(SUM(D35:D63)=0, "", (D35*$B35/(D$43*$B$43))*$F$5)</f>
        <v>0</v>
      </c>
      <c r="E67" s="103">
        <f t="shared" si="23"/>
        <v>0</v>
      </c>
      <c r="F67" s="103">
        <f t="shared" si="23"/>
        <v>0</v>
      </c>
      <c r="G67" s="103">
        <f t="shared" si="23"/>
        <v>0</v>
      </c>
      <c r="H67" s="103">
        <f t="shared" si="23"/>
        <v>0</v>
      </c>
      <c r="I67" s="103">
        <f t="shared" si="23"/>
        <v>0</v>
      </c>
      <c r="J67" s="103">
        <f t="shared" si="23"/>
        <v>0</v>
      </c>
      <c r="K67" s="103">
        <f t="shared" si="23"/>
        <v>0</v>
      </c>
      <c r="L67" s="103">
        <f t="shared" si="23"/>
        <v>0</v>
      </c>
      <c r="M67" s="103">
        <f t="shared" si="23"/>
        <v>0</v>
      </c>
      <c r="N67" s="103">
        <f t="shared" si="23"/>
        <v>0</v>
      </c>
      <c r="O67" s="103">
        <f t="shared" si="23"/>
        <v>0</v>
      </c>
      <c r="P67" s="103" t="str">
        <f t="shared" si="23"/>
        <v/>
      </c>
      <c r="Q67" s="103" t="str">
        <f t="shared" si="23"/>
        <v/>
      </c>
      <c r="R67" s="103" t="str">
        <f t="shared" si="23"/>
        <v/>
      </c>
      <c r="S67" s="103" t="str">
        <f t="shared" si="23"/>
        <v/>
      </c>
      <c r="T67" s="103" t="str">
        <f t="shared" si="23"/>
        <v/>
      </c>
      <c r="U67" s="103" t="str">
        <f t="shared" si="23"/>
        <v/>
      </c>
      <c r="V67" s="103" t="str">
        <f t="shared" si="23"/>
        <v/>
      </c>
      <c r="W67" s="103" t="str">
        <f t="shared" si="23"/>
        <v/>
      </c>
      <c r="X67" s="103" t="str">
        <f t="shared" si="23"/>
        <v/>
      </c>
      <c r="Y67" s="103" t="str">
        <f t="shared" si="23"/>
        <v/>
      </c>
      <c r="Z67" s="103" t="str">
        <f t="shared" si="23"/>
        <v/>
      </c>
      <c r="AA67" s="103" t="str">
        <f t="shared" si="23"/>
        <v/>
      </c>
      <c r="AB67" s="103" t="str">
        <f t="shared" si="23"/>
        <v/>
      </c>
      <c r="AC67" s="192">
        <f t="shared" si="8"/>
        <v>0</v>
      </c>
      <c r="AD67" s="189">
        <v>8</v>
      </c>
    </row>
    <row r="68" spans="1:30" ht="18" customHeight="1" outlineLevel="1" x14ac:dyDescent="0.25">
      <c r="A68" s="9" t="str">
        <f t="shared" si="5"/>
        <v>p-Xylene [g/h]</v>
      </c>
      <c r="B68" s="102"/>
      <c r="C68" s="103">
        <f t="shared" si="6"/>
        <v>0</v>
      </c>
      <c r="D68" s="103">
        <f t="shared" ref="D68:AB68" si="24">IF(SUM(D36:D64)=0, "", (D36*$B36/(D$43*$B$43))*$F$5)</f>
        <v>0</v>
      </c>
      <c r="E68" s="103">
        <f t="shared" si="24"/>
        <v>0</v>
      </c>
      <c r="F68" s="103">
        <f t="shared" si="24"/>
        <v>0</v>
      </c>
      <c r="G68" s="103">
        <f t="shared" si="24"/>
        <v>0</v>
      </c>
      <c r="H68" s="103">
        <f t="shared" si="24"/>
        <v>0</v>
      </c>
      <c r="I68" s="103">
        <f t="shared" si="24"/>
        <v>0</v>
      </c>
      <c r="J68" s="103">
        <f t="shared" si="24"/>
        <v>0</v>
      </c>
      <c r="K68" s="103">
        <f t="shared" si="24"/>
        <v>0</v>
      </c>
      <c r="L68" s="103">
        <f t="shared" si="24"/>
        <v>0</v>
      </c>
      <c r="M68" s="103">
        <f t="shared" si="24"/>
        <v>0</v>
      </c>
      <c r="N68" s="103">
        <f t="shared" si="24"/>
        <v>0</v>
      </c>
      <c r="O68" s="103">
        <f t="shared" si="24"/>
        <v>0</v>
      </c>
      <c r="P68" s="103" t="str">
        <f t="shared" si="24"/>
        <v/>
      </c>
      <c r="Q68" s="103" t="str">
        <f t="shared" si="24"/>
        <v/>
      </c>
      <c r="R68" s="103" t="str">
        <f t="shared" si="24"/>
        <v/>
      </c>
      <c r="S68" s="103" t="str">
        <f t="shared" si="24"/>
        <v/>
      </c>
      <c r="T68" s="103" t="str">
        <f t="shared" si="24"/>
        <v/>
      </c>
      <c r="U68" s="103" t="str">
        <f t="shared" si="24"/>
        <v/>
      </c>
      <c r="V68" s="103" t="str">
        <f t="shared" si="24"/>
        <v/>
      </c>
      <c r="W68" s="103" t="str">
        <f t="shared" si="24"/>
        <v/>
      </c>
      <c r="X68" s="103" t="str">
        <f t="shared" si="24"/>
        <v/>
      </c>
      <c r="Y68" s="103" t="str">
        <f t="shared" si="24"/>
        <v/>
      </c>
      <c r="Z68" s="103" t="str">
        <f t="shared" si="24"/>
        <v/>
      </c>
      <c r="AA68" s="103" t="str">
        <f t="shared" si="24"/>
        <v/>
      </c>
      <c r="AB68" s="103" t="str">
        <f t="shared" si="24"/>
        <v/>
      </c>
      <c r="AC68" s="192">
        <f t="shared" si="8"/>
        <v>0</v>
      </c>
      <c r="AD68" s="189">
        <v>8</v>
      </c>
    </row>
    <row r="69" spans="1:30" ht="18" customHeight="1" outlineLevel="1" x14ac:dyDescent="0.25">
      <c r="A69" s="9" t="str">
        <f t="shared" si="5"/>
        <v>m-Xylene [g/h]</v>
      </c>
      <c r="B69" s="102"/>
      <c r="C69" s="103">
        <f t="shared" si="6"/>
        <v>3.2267100696228862E-4</v>
      </c>
      <c r="D69" s="103">
        <f t="shared" ref="D69:AB69" si="25">IF(SUM(D37:D65)=0, "", (D37*$B37/(D$43*$B$43))*$F$5)</f>
        <v>1.0058208925400396E-3</v>
      </c>
      <c r="E69" s="103">
        <f t="shared" si="25"/>
        <v>5.5377633223556389E-4</v>
      </c>
      <c r="F69" s="103">
        <f t="shared" si="25"/>
        <v>2.8543838821559715E-4</v>
      </c>
      <c r="G69" s="103">
        <f t="shared" si="25"/>
        <v>1.9343373411473516E-4</v>
      </c>
      <c r="H69" s="103">
        <f t="shared" si="25"/>
        <v>8.6914000791948258E-4</v>
      </c>
      <c r="I69" s="103">
        <f t="shared" si="25"/>
        <v>5.7887956828985704E-4</v>
      </c>
      <c r="J69" s="103">
        <f t="shared" si="25"/>
        <v>1.2112805115763115E-4</v>
      </c>
      <c r="K69" s="103">
        <f t="shared" si="25"/>
        <v>7.1016779290782254E-5</v>
      </c>
      <c r="L69" s="103">
        <f t="shared" si="25"/>
        <v>6.1013161697915298E-5</v>
      </c>
      <c r="M69" s="103">
        <f t="shared" si="25"/>
        <v>6.4501910429318752E-5</v>
      </c>
      <c r="N69" s="103">
        <f t="shared" si="25"/>
        <v>6.7903257656540706E-5</v>
      </c>
      <c r="O69" s="103">
        <f t="shared" si="25"/>
        <v>0</v>
      </c>
      <c r="P69" s="103" t="str">
        <f t="shared" si="25"/>
        <v/>
      </c>
      <c r="Q69" s="103" t="str">
        <f t="shared" si="25"/>
        <v/>
      </c>
      <c r="R69" s="103" t="str">
        <f t="shared" si="25"/>
        <v/>
      </c>
      <c r="S69" s="103" t="str">
        <f t="shared" si="25"/>
        <v/>
      </c>
      <c r="T69" s="103" t="str">
        <f t="shared" si="25"/>
        <v/>
      </c>
      <c r="U69" s="103" t="str">
        <f t="shared" si="25"/>
        <v/>
      </c>
      <c r="V69" s="103" t="str">
        <f t="shared" si="25"/>
        <v/>
      </c>
      <c r="W69" s="103" t="str">
        <f t="shared" si="25"/>
        <v/>
      </c>
      <c r="X69" s="103" t="str">
        <f t="shared" si="25"/>
        <v/>
      </c>
      <c r="Y69" s="103" t="str">
        <f t="shared" si="25"/>
        <v/>
      </c>
      <c r="Z69" s="103" t="str">
        <f t="shared" si="25"/>
        <v/>
      </c>
      <c r="AA69" s="103" t="str">
        <f t="shared" si="25"/>
        <v/>
      </c>
      <c r="AB69" s="103" t="str">
        <f t="shared" si="25"/>
        <v/>
      </c>
      <c r="AC69" s="192">
        <f t="shared" si="8"/>
        <v>2.9203812594301795E-4</v>
      </c>
      <c r="AD69" s="189">
        <v>8</v>
      </c>
    </row>
    <row r="70" spans="1:30" ht="18" customHeight="1" outlineLevel="1" x14ac:dyDescent="0.25">
      <c r="A70" s="9" t="str">
        <f t="shared" si="5"/>
        <v>o-Xylene [g/h]</v>
      </c>
      <c r="B70" s="102"/>
      <c r="C70" s="103">
        <f t="shared" si="6"/>
        <v>0</v>
      </c>
      <c r="D70" s="103">
        <f t="shared" ref="D70:AB70" si="26">IF(SUM(D38:D66)=0, "", (D38*$B38/(D$43*$B$43))*$F$5)</f>
        <v>0</v>
      </c>
      <c r="E70" s="103">
        <f t="shared" si="26"/>
        <v>0</v>
      </c>
      <c r="F70" s="103">
        <f t="shared" si="26"/>
        <v>0</v>
      </c>
      <c r="G70" s="103">
        <f t="shared" si="26"/>
        <v>0</v>
      </c>
      <c r="H70" s="103">
        <f t="shared" si="26"/>
        <v>0</v>
      </c>
      <c r="I70" s="103">
        <f t="shared" si="26"/>
        <v>0</v>
      </c>
      <c r="J70" s="103">
        <f t="shared" si="26"/>
        <v>0</v>
      </c>
      <c r="K70" s="103">
        <f t="shared" si="26"/>
        <v>0</v>
      </c>
      <c r="L70" s="103">
        <f t="shared" si="26"/>
        <v>0</v>
      </c>
      <c r="M70" s="103">
        <f t="shared" si="26"/>
        <v>0</v>
      </c>
      <c r="N70" s="103">
        <f t="shared" si="26"/>
        <v>0</v>
      </c>
      <c r="O70" s="103">
        <f t="shared" si="26"/>
        <v>0</v>
      </c>
      <c r="P70" s="103" t="str">
        <f t="shared" si="26"/>
        <v/>
      </c>
      <c r="Q70" s="103" t="str">
        <f t="shared" si="26"/>
        <v/>
      </c>
      <c r="R70" s="103" t="str">
        <f t="shared" si="26"/>
        <v/>
      </c>
      <c r="S70" s="103" t="str">
        <f t="shared" si="26"/>
        <v/>
      </c>
      <c r="T70" s="103" t="str">
        <f t="shared" si="26"/>
        <v/>
      </c>
      <c r="U70" s="103" t="str">
        <f t="shared" si="26"/>
        <v/>
      </c>
      <c r="V70" s="103" t="str">
        <f t="shared" si="26"/>
        <v/>
      </c>
      <c r="W70" s="103" t="str">
        <f t="shared" si="26"/>
        <v/>
      </c>
      <c r="X70" s="103" t="str">
        <f t="shared" si="26"/>
        <v/>
      </c>
      <c r="Y70" s="103" t="str">
        <f t="shared" si="26"/>
        <v/>
      </c>
      <c r="Z70" s="103" t="str">
        <f t="shared" si="26"/>
        <v/>
      </c>
      <c r="AA70" s="103" t="str">
        <f t="shared" si="26"/>
        <v/>
      </c>
      <c r="AB70" s="103" t="str">
        <f t="shared" si="26"/>
        <v/>
      </c>
      <c r="AC70" s="192">
        <f t="shared" si="8"/>
        <v>0</v>
      </c>
      <c r="AD70" s="189">
        <v>8</v>
      </c>
    </row>
    <row r="71" spans="1:30" ht="18" customHeight="1" outlineLevel="1" x14ac:dyDescent="0.25">
      <c r="A71" s="9" t="str">
        <f t="shared" si="5"/>
        <v>C6 Unknowns [g/h]</v>
      </c>
      <c r="B71" s="102"/>
      <c r="C71" s="103">
        <f t="shared" si="6"/>
        <v>6.47880756023924E-3</v>
      </c>
      <c r="D71" s="103">
        <f t="shared" ref="D71:AB71" si="27">IF(SUM(D39:D67)=0, "", (D39*$B39/(D$43*$B$43))*$F$5)</f>
        <v>1.5868021229409763E-4</v>
      </c>
      <c r="E71" s="103">
        <f t="shared" si="27"/>
        <v>6.070268092537469E-4</v>
      </c>
      <c r="F71" s="103">
        <f t="shared" si="27"/>
        <v>7.2815650468066335E-4</v>
      </c>
      <c r="G71" s="103">
        <f t="shared" si="27"/>
        <v>7.1355149695781657E-4</v>
      </c>
      <c r="H71" s="103">
        <f t="shared" si="27"/>
        <v>7.3628101705921711E-2</v>
      </c>
      <c r="I71" s="103">
        <f t="shared" si="27"/>
        <v>6.2569531926568486E-4</v>
      </c>
      <c r="J71" s="103">
        <f t="shared" si="27"/>
        <v>2.2750489410290953E-4</v>
      </c>
      <c r="K71" s="103">
        <f t="shared" si="27"/>
        <v>3.3488071892240584E-4</v>
      </c>
      <c r="L71" s="103">
        <f t="shared" si="27"/>
        <v>2.3024214014685402E-4</v>
      </c>
      <c r="M71" s="103">
        <f t="shared" si="27"/>
        <v>2.2665840471079685E-4</v>
      </c>
      <c r="N71" s="103">
        <f t="shared" si="27"/>
        <v>2.6519251661420945E-4</v>
      </c>
      <c r="O71" s="103">
        <f t="shared" si="27"/>
        <v>0</v>
      </c>
      <c r="P71" s="103" t="str">
        <f t="shared" si="27"/>
        <v/>
      </c>
      <c r="Q71" s="103" t="str">
        <f t="shared" si="27"/>
        <v/>
      </c>
      <c r="R71" s="103" t="str">
        <f t="shared" si="27"/>
        <v/>
      </c>
      <c r="S71" s="103" t="str">
        <f t="shared" si="27"/>
        <v/>
      </c>
      <c r="T71" s="103" t="str">
        <f t="shared" si="27"/>
        <v/>
      </c>
      <c r="U71" s="103" t="str">
        <f t="shared" si="27"/>
        <v/>
      </c>
      <c r="V71" s="103" t="str">
        <f t="shared" si="27"/>
        <v/>
      </c>
      <c r="W71" s="103" t="str">
        <f t="shared" si="27"/>
        <v/>
      </c>
      <c r="X71" s="103" t="str">
        <f t="shared" si="27"/>
        <v/>
      </c>
      <c r="Y71" s="103" t="str">
        <f t="shared" si="27"/>
        <v/>
      </c>
      <c r="Z71" s="103" t="str">
        <f t="shared" si="27"/>
        <v/>
      </c>
      <c r="AA71" s="103" t="str">
        <f t="shared" si="27"/>
        <v/>
      </c>
      <c r="AB71" s="103" t="str">
        <f t="shared" si="27"/>
        <v/>
      </c>
      <c r="AC71" s="192">
        <f t="shared" si="8"/>
        <v>5.4177505875632522E-3</v>
      </c>
      <c r="AD71" s="189">
        <v>6</v>
      </c>
    </row>
    <row r="72" spans="1:30" ht="18" customHeight="1" outlineLevel="1" x14ac:dyDescent="0.25">
      <c r="A72" s="9" t="str">
        <f t="shared" si="5"/>
        <v>C8 Unknowns [g/h]</v>
      </c>
      <c r="B72" s="102"/>
      <c r="C72" s="103">
        <f t="shared" si="6"/>
        <v>0</v>
      </c>
      <c r="D72" s="103">
        <f t="shared" ref="D72:AB72" si="28">IF(SUM(D40:D68)=0, "", (D40*$B40/(D$43*$B$43))*$F$5)</f>
        <v>0</v>
      </c>
      <c r="E72" s="103">
        <f t="shared" si="28"/>
        <v>0</v>
      </c>
      <c r="F72" s="103">
        <f t="shared" si="28"/>
        <v>0</v>
      </c>
      <c r="G72" s="103">
        <f t="shared" si="28"/>
        <v>0</v>
      </c>
      <c r="H72" s="103">
        <f t="shared" si="28"/>
        <v>0</v>
      </c>
      <c r="I72" s="103">
        <f t="shared" si="28"/>
        <v>0</v>
      </c>
      <c r="J72" s="103">
        <f t="shared" si="28"/>
        <v>0</v>
      </c>
      <c r="K72" s="103">
        <f t="shared" si="28"/>
        <v>0</v>
      </c>
      <c r="L72" s="103">
        <f t="shared" si="28"/>
        <v>0</v>
      </c>
      <c r="M72" s="103">
        <f t="shared" si="28"/>
        <v>0</v>
      </c>
      <c r="N72" s="103">
        <f t="shared" si="28"/>
        <v>0</v>
      </c>
      <c r="O72" s="103">
        <f t="shared" si="28"/>
        <v>0</v>
      </c>
      <c r="P72" s="103" t="str">
        <f t="shared" si="28"/>
        <v/>
      </c>
      <c r="Q72" s="103" t="str">
        <f t="shared" si="28"/>
        <v/>
      </c>
      <c r="R72" s="103" t="str">
        <f t="shared" si="28"/>
        <v/>
      </c>
      <c r="S72" s="103" t="str">
        <f t="shared" si="28"/>
        <v/>
      </c>
      <c r="T72" s="103" t="str">
        <f t="shared" si="28"/>
        <v/>
      </c>
      <c r="U72" s="103" t="str">
        <f t="shared" si="28"/>
        <v/>
      </c>
      <c r="V72" s="103" t="str">
        <f t="shared" si="28"/>
        <v/>
      </c>
      <c r="W72" s="103" t="str">
        <f t="shared" si="28"/>
        <v/>
      </c>
      <c r="X72" s="103" t="str">
        <f t="shared" si="28"/>
        <v/>
      </c>
      <c r="Y72" s="103" t="str">
        <f t="shared" si="28"/>
        <v/>
      </c>
      <c r="Z72" s="103" t="str">
        <f t="shared" si="28"/>
        <v/>
      </c>
      <c r="AA72" s="103" t="str">
        <f t="shared" si="28"/>
        <v/>
      </c>
      <c r="AB72" s="103" t="str">
        <f t="shared" si="28"/>
        <v/>
      </c>
      <c r="AC72" s="192">
        <f t="shared" si="8"/>
        <v>0</v>
      </c>
      <c r="AD72" s="189">
        <v>8</v>
      </c>
    </row>
    <row r="73" spans="1:30" ht="18" customHeight="1" outlineLevel="1" x14ac:dyDescent="0.25">
      <c r="A73" s="9" t="str">
        <f t="shared" si="5"/>
        <v>C7 Unknowns [g/h]</v>
      </c>
      <c r="B73" s="102"/>
      <c r="C73" s="103">
        <f t="shared" si="6"/>
        <v>0</v>
      </c>
      <c r="D73" s="103">
        <f t="shared" ref="D73:AB73" si="29">IF(SUM(D41:D69)=0, "", (D41*$B41/(D$43*$B$43))*$F$5)</f>
        <v>0</v>
      </c>
      <c r="E73" s="103">
        <f t="shared" si="29"/>
        <v>0</v>
      </c>
      <c r="F73" s="103">
        <f t="shared" si="29"/>
        <v>0</v>
      </c>
      <c r="G73" s="103">
        <f t="shared" si="29"/>
        <v>0</v>
      </c>
      <c r="H73" s="103">
        <f t="shared" si="29"/>
        <v>0</v>
      </c>
      <c r="I73" s="103">
        <f t="shared" si="29"/>
        <v>0</v>
      </c>
      <c r="J73" s="103">
        <f t="shared" si="29"/>
        <v>0</v>
      </c>
      <c r="K73" s="103">
        <f t="shared" si="29"/>
        <v>0</v>
      </c>
      <c r="L73" s="103">
        <f t="shared" si="29"/>
        <v>0</v>
      </c>
      <c r="M73" s="103">
        <f t="shared" si="29"/>
        <v>0</v>
      </c>
      <c r="N73" s="103">
        <f t="shared" si="29"/>
        <v>0</v>
      </c>
      <c r="O73" s="103">
        <f t="shared" si="29"/>
        <v>0</v>
      </c>
      <c r="P73" s="103" t="str">
        <f t="shared" si="29"/>
        <v/>
      </c>
      <c r="Q73" s="103" t="str">
        <f t="shared" si="29"/>
        <v/>
      </c>
      <c r="R73" s="103" t="str">
        <f t="shared" si="29"/>
        <v/>
      </c>
      <c r="S73" s="103" t="str">
        <f t="shared" si="29"/>
        <v/>
      </c>
      <c r="T73" s="103" t="str">
        <f t="shared" si="29"/>
        <v/>
      </c>
      <c r="U73" s="103" t="str">
        <f t="shared" si="29"/>
        <v/>
      </c>
      <c r="V73" s="103" t="str">
        <f t="shared" si="29"/>
        <v/>
      </c>
      <c r="W73" s="103" t="str">
        <f t="shared" si="29"/>
        <v/>
      </c>
      <c r="X73" s="103" t="str">
        <f t="shared" si="29"/>
        <v/>
      </c>
      <c r="Y73" s="103" t="str">
        <f t="shared" si="29"/>
        <v/>
      </c>
      <c r="Z73" s="103" t="str">
        <f t="shared" si="29"/>
        <v/>
      </c>
      <c r="AA73" s="103" t="str">
        <f t="shared" si="29"/>
        <v/>
      </c>
      <c r="AB73" s="103" t="str">
        <f t="shared" si="29"/>
        <v/>
      </c>
      <c r="AC73" s="192">
        <f t="shared" si="8"/>
        <v>0</v>
      </c>
      <c r="AD73" s="189">
        <v>7</v>
      </c>
    </row>
    <row r="74" spans="1:30" ht="18" customHeight="1" outlineLevel="1" x14ac:dyDescent="0.25">
      <c r="A74" s="9" t="str">
        <f t="shared" si="5"/>
        <v>CO2 [g/h]</v>
      </c>
      <c r="B74" s="102"/>
      <c r="C74" s="103">
        <f t="shared" si="6"/>
        <v>0</v>
      </c>
      <c r="D74" s="103">
        <f t="shared" ref="D74:AB74" si="30">IF(SUM(D42:D70)=0, "", (D42*$B42/(D$43*$B$43))*$F$5)</f>
        <v>0</v>
      </c>
      <c r="E74" s="103">
        <f t="shared" si="30"/>
        <v>0</v>
      </c>
      <c r="F74" s="103">
        <f t="shared" si="30"/>
        <v>0</v>
      </c>
      <c r="G74" s="103">
        <f t="shared" si="30"/>
        <v>0</v>
      </c>
      <c r="H74" s="103">
        <f t="shared" si="30"/>
        <v>0</v>
      </c>
      <c r="I74" s="103">
        <f t="shared" si="30"/>
        <v>0</v>
      </c>
      <c r="J74" s="103">
        <f t="shared" si="30"/>
        <v>0</v>
      </c>
      <c r="K74" s="103">
        <f t="shared" si="30"/>
        <v>0</v>
      </c>
      <c r="L74" s="103">
        <f t="shared" si="30"/>
        <v>0</v>
      </c>
      <c r="M74" s="103">
        <f t="shared" si="30"/>
        <v>0</v>
      </c>
      <c r="N74" s="103">
        <f t="shared" si="30"/>
        <v>0</v>
      </c>
      <c r="O74" s="103">
        <f t="shared" si="30"/>
        <v>0</v>
      </c>
      <c r="P74" s="103" t="str">
        <f t="shared" si="30"/>
        <v/>
      </c>
      <c r="Q74" s="103" t="str">
        <f t="shared" si="30"/>
        <v/>
      </c>
      <c r="R74" s="103" t="str">
        <f t="shared" si="30"/>
        <v/>
      </c>
      <c r="S74" s="103" t="str">
        <f t="shared" si="30"/>
        <v/>
      </c>
      <c r="T74" s="103" t="str">
        <f t="shared" si="30"/>
        <v/>
      </c>
      <c r="U74" s="103" t="str">
        <f t="shared" si="30"/>
        <v/>
      </c>
      <c r="V74" s="103" t="str">
        <f t="shared" si="30"/>
        <v/>
      </c>
      <c r="W74" s="103" t="str">
        <f t="shared" si="30"/>
        <v/>
      </c>
      <c r="X74" s="103" t="str">
        <f t="shared" si="30"/>
        <v/>
      </c>
      <c r="Y74" s="103" t="str">
        <f t="shared" si="30"/>
        <v/>
      </c>
      <c r="Z74" s="103" t="str">
        <f t="shared" si="30"/>
        <v/>
      </c>
      <c r="AA74" s="103" t="str">
        <f t="shared" si="30"/>
        <v/>
      </c>
      <c r="AB74" s="103" t="str">
        <f t="shared" si="30"/>
        <v/>
      </c>
      <c r="AC74" s="192">
        <f t="shared" si="8"/>
        <v>0</v>
      </c>
      <c r="AD74" s="189">
        <v>1</v>
      </c>
    </row>
    <row r="75" spans="1:30" ht="18" customHeight="1" outlineLevel="1" x14ac:dyDescent="0.25">
      <c r="A75" s="9" t="str">
        <f t="shared" si="5"/>
        <v>Argon [g/h]</v>
      </c>
      <c r="B75" s="102"/>
      <c r="C75" s="103">
        <f t="shared" si="6"/>
        <v>0.22890922011282691</v>
      </c>
      <c r="D75" s="103">
        <f t="shared" ref="D75:AB75" si="31">IF(SUM(D43:D71)=0, "", (D43*$B43/(D$43*$B$43))*$F$5)</f>
        <v>0.22890922011282697</v>
      </c>
      <c r="E75" s="103">
        <f t="shared" si="31"/>
        <v>0.22890922011282697</v>
      </c>
      <c r="F75" s="103">
        <f t="shared" si="31"/>
        <v>0.22890922011282697</v>
      </c>
      <c r="G75" s="103">
        <f t="shared" si="31"/>
        <v>0.22890922011282697</v>
      </c>
      <c r="H75" s="103">
        <f t="shared" si="31"/>
        <v>0.22890922011282697</v>
      </c>
      <c r="I75" s="103">
        <f t="shared" si="31"/>
        <v>0.22890922011282697</v>
      </c>
      <c r="J75" s="103">
        <f t="shared" si="31"/>
        <v>0.22890922011282697</v>
      </c>
      <c r="K75" s="103">
        <f t="shared" si="31"/>
        <v>0.22890922011282697</v>
      </c>
      <c r="L75" s="103">
        <f t="shared" si="31"/>
        <v>0.22890922011282697</v>
      </c>
      <c r="M75" s="103">
        <f t="shared" si="31"/>
        <v>0.22890922011282697</v>
      </c>
      <c r="N75" s="103">
        <f t="shared" si="31"/>
        <v>0.22890922011282697</v>
      </c>
      <c r="O75" s="103">
        <f t="shared" si="31"/>
        <v>0.22890922011282697</v>
      </c>
      <c r="P75" s="103" t="str">
        <f t="shared" si="31"/>
        <v/>
      </c>
      <c r="Q75" s="103" t="str">
        <f t="shared" si="31"/>
        <v/>
      </c>
      <c r="R75" s="103" t="str">
        <f t="shared" si="31"/>
        <v/>
      </c>
      <c r="S75" s="103" t="str">
        <f t="shared" si="31"/>
        <v/>
      </c>
      <c r="T75" s="103" t="str">
        <f t="shared" si="31"/>
        <v/>
      </c>
      <c r="U75" s="103" t="str">
        <f t="shared" si="31"/>
        <v/>
      </c>
      <c r="V75" s="103" t="str">
        <f t="shared" si="31"/>
        <v/>
      </c>
      <c r="W75" s="103" t="str">
        <f t="shared" si="31"/>
        <v/>
      </c>
      <c r="X75" s="103" t="str">
        <f t="shared" si="31"/>
        <v/>
      </c>
      <c r="Y75" s="103" t="str">
        <f t="shared" si="31"/>
        <v/>
      </c>
      <c r="Z75" s="103" t="str">
        <f t="shared" si="31"/>
        <v/>
      </c>
      <c r="AA75" s="103" t="str">
        <f t="shared" si="31"/>
        <v/>
      </c>
      <c r="AB75" s="103" t="str">
        <f t="shared" si="31"/>
        <v/>
      </c>
      <c r="AC75" s="192">
        <f t="shared" si="8"/>
        <v>0</v>
      </c>
      <c r="AD75" s="189">
        <v>0</v>
      </c>
    </row>
    <row r="76" spans="1:30" ht="18" customHeight="1" outlineLevel="1" x14ac:dyDescent="0.25">
      <c r="A76" s="9" t="str">
        <f t="shared" si="5"/>
        <v>CO [g/h]</v>
      </c>
      <c r="B76" s="102"/>
      <c r="C76" s="103">
        <f t="shared" si="6"/>
        <v>0</v>
      </c>
      <c r="D76" s="103">
        <f t="shared" ref="D76:AB76" si="32">IF(SUM(D44:D72)=0, "", (D44*$B44/(D$43*$B$43))*$F$5)</f>
        <v>0</v>
      </c>
      <c r="E76" s="103">
        <f t="shared" si="32"/>
        <v>0</v>
      </c>
      <c r="F76" s="103">
        <f t="shared" si="32"/>
        <v>0</v>
      </c>
      <c r="G76" s="103">
        <f t="shared" si="32"/>
        <v>0</v>
      </c>
      <c r="H76" s="103">
        <f t="shared" si="32"/>
        <v>0</v>
      </c>
      <c r="I76" s="103">
        <f t="shared" si="32"/>
        <v>0</v>
      </c>
      <c r="J76" s="103">
        <f t="shared" si="32"/>
        <v>0</v>
      </c>
      <c r="K76" s="103">
        <f t="shared" si="32"/>
        <v>0</v>
      </c>
      <c r="L76" s="103">
        <f t="shared" si="32"/>
        <v>0</v>
      </c>
      <c r="M76" s="103">
        <f t="shared" si="32"/>
        <v>0</v>
      </c>
      <c r="N76" s="103">
        <f t="shared" si="32"/>
        <v>0</v>
      </c>
      <c r="O76" s="103">
        <f t="shared" si="32"/>
        <v>0</v>
      </c>
      <c r="P76" s="103" t="str">
        <f t="shared" si="32"/>
        <v/>
      </c>
      <c r="Q76" s="103" t="str">
        <f t="shared" si="32"/>
        <v/>
      </c>
      <c r="R76" s="103" t="str">
        <f t="shared" si="32"/>
        <v/>
      </c>
      <c r="S76" s="103" t="str">
        <f t="shared" si="32"/>
        <v/>
      </c>
      <c r="T76" s="103" t="str">
        <f t="shared" si="32"/>
        <v/>
      </c>
      <c r="U76" s="103" t="str">
        <f t="shared" si="32"/>
        <v/>
      </c>
      <c r="V76" s="103" t="str">
        <f t="shared" si="32"/>
        <v/>
      </c>
      <c r="W76" s="103" t="str">
        <f t="shared" si="32"/>
        <v/>
      </c>
      <c r="X76" s="103" t="str">
        <f t="shared" si="32"/>
        <v/>
      </c>
      <c r="Y76" s="103" t="str">
        <f t="shared" si="32"/>
        <v/>
      </c>
      <c r="Z76" s="103" t="str">
        <f t="shared" si="32"/>
        <v/>
      </c>
      <c r="AA76" s="103" t="str">
        <f t="shared" si="32"/>
        <v/>
      </c>
      <c r="AB76" s="103" t="str">
        <f t="shared" si="32"/>
        <v/>
      </c>
      <c r="AC76" s="192">
        <f t="shared" si="8"/>
        <v>0</v>
      </c>
      <c r="AD76" s="189">
        <v>1</v>
      </c>
    </row>
    <row r="77" spans="1:30" ht="18" customHeight="1" outlineLevel="1" x14ac:dyDescent="0.25">
      <c r="A77" s="9" t="str">
        <f t="shared" si="5"/>
        <v>H2 [g/h]</v>
      </c>
      <c r="B77" s="102"/>
      <c r="C77" s="103">
        <f t="shared" si="6"/>
        <v>5.7274266543034476E-2</v>
      </c>
      <c r="D77" s="103">
        <f t="shared" ref="D77:AB77" si="33">IF(SUM(D45:D73)=0, "", (D45*$B45/(D$43*$B$43))*$F$5)</f>
        <v>5.7181813005128104E-2</v>
      </c>
      <c r="E77" s="103">
        <f t="shared" si="33"/>
        <v>5.8231994362217848E-2</v>
      </c>
      <c r="F77" s="103">
        <f t="shared" si="33"/>
        <v>5.8201977463494141E-2</v>
      </c>
      <c r="G77" s="103">
        <f t="shared" si="33"/>
        <v>5.8456580356664394E-2</v>
      </c>
      <c r="H77" s="103">
        <f t="shared" si="33"/>
        <v>4.8965942554424075E-2</v>
      </c>
      <c r="I77" s="103">
        <f t="shared" si="33"/>
        <v>5.8229501340238861E-2</v>
      </c>
      <c r="J77" s="103">
        <f t="shared" si="33"/>
        <v>5.8410112381470126E-2</v>
      </c>
      <c r="K77" s="103">
        <f t="shared" si="33"/>
        <v>5.7980631396153073E-2</v>
      </c>
      <c r="L77" s="103">
        <f t="shared" si="33"/>
        <v>5.8137600349427256E-2</v>
      </c>
      <c r="M77" s="103">
        <f t="shared" si="33"/>
        <v>5.8168478232433735E-2</v>
      </c>
      <c r="N77" s="103">
        <f t="shared" si="33"/>
        <v>5.7753713857981524E-2</v>
      </c>
      <c r="O77" s="103">
        <f t="shared" si="33"/>
        <v>5.7572853216780566E-2</v>
      </c>
      <c r="P77" s="103" t="str">
        <f t="shared" si="33"/>
        <v/>
      </c>
      <c r="Q77" s="103" t="str">
        <f t="shared" si="33"/>
        <v/>
      </c>
      <c r="R77" s="103" t="str">
        <f t="shared" si="33"/>
        <v/>
      </c>
      <c r="S77" s="103" t="str">
        <f t="shared" si="33"/>
        <v/>
      </c>
      <c r="T77" s="103" t="str">
        <f t="shared" si="33"/>
        <v/>
      </c>
      <c r="U77" s="103" t="str">
        <f t="shared" si="33"/>
        <v/>
      </c>
      <c r="V77" s="103" t="str">
        <f t="shared" si="33"/>
        <v/>
      </c>
      <c r="W77" s="103" t="str">
        <f t="shared" si="33"/>
        <v/>
      </c>
      <c r="X77" s="103" t="str">
        <f t="shared" si="33"/>
        <v/>
      </c>
      <c r="Y77" s="103" t="str">
        <f t="shared" si="33"/>
        <v/>
      </c>
      <c r="Z77" s="103" t="str">
        <f t="shared" si="33"/>
        <v/>
      </c>
      <c r="AA77" s="103" t="str">
        <f t="shared" si="33"/>
        <v/>
      </c>
      <c r="AB77" s="103" t="str">
        <f t="shared" si="33"/>
        <v/>
      </c>
      <c r="AC77" s="192">
        <f t="shared" si="8"/>
        <v>0</v>
      </c>
      <c r="AD77" s="189">
        <v>0</v>
      </c>
    </row>
    <row r="78" spans="1:30" ht="18" customHeight="1" outlineLevel="1" x14ac:dyDescent="0.25">
      <c r="A78" s="9" t="str">
        <f t="shared" si="5"/>
        <v>Acetylene [g/h]</v>
      </c>
      <c r="B78" s="102"/>
      <c r="C78" s="103">
        <f t="shared" si="6"/>
        <v>0.27350976308715297</v>
      </c>
      <c r="D78" s="103">
        <f t="shared" ref="D78:AB78" si="34">IF(SUM(D46:D74)=0, "", (D46*$B46/(D$43*$B$43))*$F$5)</f>
        <v>0.27449191458119748</v>
      </c>
      <c r="E78" s="103">
        <f t="shared" si="34"/>
        <v>0.28121351415082774</v>
      </c>
      <c r="F78" s="103">
        <f t="shared" si="34"/>
        <v>0.28383908541711489</v>
      </c>
      <c r="G78" s="103">
        <f t="shared" si="34"/>
        <v>0.29134820736988148</v>
      </c>
      <c r="H78" s="103">
        <f t="shared" si="34"/>
        <v>0.19674055201436111</v>
      </c>
      <c r="I78" s="103">
        <f t="shared" si="34"/>
        <v>0.29193324865998277</v>
      </c>
      <c r="J78" s="103">
        <f t="shared" si="34"/>
        <v>0.29517999131121692</v>
      </c>
      <c r="K78" s="103">
        <f t="shared" si="34"/>
        <v>0.27629056358282433</v>
      </c>
      <c r="L78" s="103">
        <f t="shared" si="34"/>
        <v>0.27419534738265844</v>
      </c>
      <c r="M78" s="103">
        <f t="shared" si="34"/>
        <v>0.27275884379340959</v>
      </c>
      <c r="N78" s="103">
        <f t="shared" si="34"/>
        <v>0.2729522934516273</v>
      </c>
      <c r="O78" s="103">
        <f t="shared" si="34"/>
        <v>0.27117359533073387</v>
      </c>
      <c r="P78" s="103" t="str">
        <f t="shared" si="34"/>
        <v/>
      </c>
      <c r="Q78" s="103" t="str">
        <f t="shared" si="34"/>
        <v/>
      </c>
      <c r="R78" s="103" t="str">
        <f t="shared" si="34"/>
        <v/>
      </c>
      <c r="S78" s="103" t="str">
        <f t="shared" si="34"/>
        <v/>
      </c>
      <c r="T78" s="103" t="str">
        <f t="shared" si="34"/>
        <v/>
      </c>
      <c r="U78" s="103" t="str">
        <f t="shared" si="34"/>
        <v/>
      </c>
      <c r="V78" s="103" t="str">
        <f t="shared" si="34"/>
        <v/>
      </c>
      <c r="W78" s="103" t="str">
        <f t="shared" si="34"/>
        <v/>
      </c>
      <c r="X78" s="103" t="str">
        <f t="shared" si="34"/>
        <v/>
      </c>
      <c r="Y78" s="103" t="str">
        <f t="shared" si="34"/>
        <v/>
      </c>
      <c r="Z78" s="103" t="str">
        <f t="shared" si="34"/>
        <v/>
      </c>
      <c r="AA78" s="103" t="str">
        <f t="shared" si="34"/>
        <v/>
      </c>
      <c r="AB78" s="103" t="str">
        <f t="shared" si="34"/>
        <v/>
      </c>
      <c r="AC78" s="192">
        <f t="shared" si="8"/>
        <v>0.2523138067926109</v>
      </c>
      <c r="AD78" s="189">
        <v>2</v>
      </c>
    </row>
    <row r="79" spans="1:30" ht="18" customHeight="1" outlineLevel="1" x14ac:dyDescent="0.25">
      <c r="A79" s="9" t="str">
        <f t="shared" si="5"/>
        <v>Isobutane [g/h]</v>
      </c>
      <c r="B79" s="102"/>
      <c r="C79" s="103">
        <f t="shared" si="6"/>
        <v>6.8707045898576197E-6</v>
      </c>
      <c r="D79" s="103">
        <f t="shared" ref="D79:AB79" si="35">IF(SUM(D47:D75)=0, "", (D47*$B47/(D$43*$B$43))*$F$5)</f>
        <v>5.5218143815054462E-5</v>
      </c>
      <c r="E79" s="103">
        <f t="shared" si="35"/>
        <v>2.7230311263236975E-5</v>
      </c>
      <c r="F79" s="103">
        <f t="shared" si="35"/>
        <v>0</v>
      </c>
      <c r="G79" s="103">
        <f t="shared" si="35"/>
        <v>0</v>
      </c>
      <c r="H79" s="103">
        <f t="shared" si="35"/>
        <v>0</v>
      </c>
      <c r="I79" s="103">
        <f t="shared" si="35"/>
        <v>0</v>
      </c>
      <c r="J79" s="103">
        <f t="shared" si="35"/>
        <v>0</v>
      </c>
      <c r="K79" s="103">
        <f t="shared" si="35"/>
        <v>0</v>
      </c>
      <c r="L79" s="103">
        <f t="shared" si="35"/>
        <v>0</v>
      </c>
      <c r="M79" s="103">
        <f t="shared" si="35"/>
        <v>0</v>
      </c>
      <c r="N79" s="103">
        <f t="shared" si="35"/>
        <v>0</v>
      </c>
      <c r="O79" s="103">
        <f t="shared" si="35"/>
        <v>0</v>
      </c>
      <c r="P79" s="103" t="str">
        <f t="shared" si="35"/>
        <v/>
      </c>
      <c r="Q79" s="103" t="str">
        <f t="shared" si="35"/>
        <v/>
      </c>
      <c r="R79" s="103" t="str">
        <f t="shared" si="35"/>
        <v/>
      </c>
      <c r="S79" s="103" t="str">
        <f t="shared" si="35"/>
        <v/>
      </c>
      <c r="T79" s="103" t="str">
        <f t="shared" si="35"/>
        <v/>
      </c>
      <c r="U79" s="103" t="str">
        <f t="shared" si="35"/>
        <v/>
      </c>
      <c r="V79" s="103" t="str">
        <f t="shared" si="35"/>
        <v/>
      </c>
      <c r="W79" s="103" t="str">
        <f t="shared" si="35"/>
        <v/>
      </c>
      <c r="X79" s="103" t="str">
        <f t="shared" si="35"/>
        <v/>
      </c>
      <c r="Y79" s="103" t="str">
        <f t="shared" si="35"/>
        <v/>
      </c>
      <c r="Z79" s="103" t="str">
        <f t="shared" si="35"/>
        <v/>
      </c>
      <c r="AA79" s="103" t="str">
        <f t="shared" si="35"/>
        <v/>
      </c>
      <c r="AB79" s="103" t="str">
        <f t="shared" si="35"/>
        <v/>
      </c>
      <c r="AC79" s="192">
        <f t="shared" si="8"/>
        <v>5.6795617913819591E-6</v>
      </c>
      <c r="AD79" s="189">
        <v>4</v>
      </c>
    </row>
    <row r="80" spans="1:30" ht="18" customHeight="1" outlineLevel="1" x14ac:dyDescent="0.25">
      <c r="A80" s="9" t="str">
        <f t="shared" si="5"/>
        <v>N2 [g/h]</v>
      </c>
      <c r="B80" s="102"/>
      <c r="C80" s="103">
        <f t="shared" si="6"/>
        <v>2.3526625992013495</v>
      </c>
      <c r="D80" s="103">
        <f t="shared" ref="D80:AB80" si="36">IF(SUM(D48:D76)=0, "", (D48*$B48/(D$43*$B$43))*$F$5)</f>
        <v>2.1567251379664691</v>
      </c>
      <c r="E80" s="103">
        <f t="shared" si="36"/>
        <v>2.1873531561479393</v>
      </c>
      <c r="F80" s="103">
        <f t="shared" si="36"/>
        <v>2.1821477789683899</v>
      </c>
      <c r="G80" s="103">
        <f t="shared" si="36"/>
        <v>2.1819579235223228</v>
      </c>
      <c r="H80" s="103">
        <f t="shared" si="36"/>
        <v>4.1156146829560303</v>
      </c>
      <c r="I80" s="103">
        <f t="shared" si="36"/>
        <v>2.1827953668396982</v>
      </c>
      <c r="J80" s="103">
        <f t="shared" si="36"/>
        <v>2.1896218476618579</v>
      </c>
      <c r="K80" s="103">
        <f t="shared" si="36"/>
        <v>2.2121295755530181</v>
      </c>
      <c r="L80" s="103">
        <f t="shared" si="36"/>
        <v>2.2219993300077836</v>
      </c>
      <c r="M80" s="103">
        <f t="shared" si="36"/>
        <v>2.2173024557603878</v>
      </c>
      <c r="N80" s="103">
        <f t="shared" si="36"/>
        <v>2.2066373049129111</v>
      </c>
      <c r="O80" s="103">
        <f t="shared" si="36"/>
        <v>2.1776666301193877</v>
      </c>
      <c r="P80" s="103" t="str">
        <f t="shared" si="36"/>
        <v/>
      </c>
      <c r="Q80" s="103" t="str">
        <f t="shared" si="36"/>
        <v/>
      </c>
      <c r="R80" s="103" t="str">
        <f t="shared" si="36"/>
        <v/>
      </c>
      <c r="S80" s="103" t="str">
        <f t="shared" si="36"/>
        <v/>
      </c>
      <c r="T80" s="103" t="str">
        <f t="shared" si="36"/>
        <v/>
      </c>
      <c r="U80" s="103" t="str">
        <f t="shared" si="36"/>
        <v/>
      </c>
      <c r="V80" s="103" t="str">
        <f t="shared" si="36"/>
        <v/>
      </c>
      <c r="W80" s="103" t="str">
        <f t="shared" si="36"/>
        <v/>
      </c>
      <c r="X80" s="103" t="str">
        <f t="shared" si="36"/>
        <v/>
      </c>
      <c r="Y80" s="103" t="str">
        <f t="shared" si="36"/>
        <v/>
      </c>
      <c r="Z80" s="103" t="str">
        <f t="shared" si="36"/>
        <v/>
      </c>
      <c r="AA80" s="103" t="str">
        <f t="shared" si="36"/>
        <v/>
      </c>
      <c r="AB80" s="103" t="str">
        <f t="shared" si="36"/>
        <v/>
      </c>
      <c r="AC80" s="192">
        <f t="shared" si="8"/>
        <v>0</v>
      </c>
      <c r="AD80" s="189">
        <v>0</v>
      </c>
    </row>
    <row r="81" spans="1:30" ht="18" customHeight="1" outlineLevel="1" x14ac:dyDescent="0.25">
      <c r="A81" s="9" t="str">
        <f t="shared" si="5"/>
        <v/>
      </c>
      <c r="B81" s="102"/>
      <c r="C81" s="103">
        <f t="shared" si="6"/>
        <v>0</v>
      </c>
      <c r="D81" s="103">
        <f t="shared" ref="D81:AB81" si="37">IF(SUM(D49:D77)=0, "", (D49*$B49/(D$43*$B$43))*$F$5)</f>
        <v>0</v>
      </c>
      <c r="E81" s="103">
        <f t="shared" si="37"/>
        <v>0</v>
      </c>
      <c r="F81" s="103">
        <f t="shared" si="37"/>
        <v>0</v>
      </c>
      <c r="G81" s="103">
        <f t="shared" si="37"/>
        <v>0</v>
      </c>
      <c r="H81" s="103">
        <f t="shared" si="37"/>
        <v>0</v>
      </c>
      <c r="I81" s="103">
        <f t="shared" si="37"/>
        <v>0</v>
      </c>
      <c r="J81" s="103">
        <f t="shared" si="37"/>
        <v>0</v>
      </c>
      <c r="K81" s="103">
        <f t="shared" si="37"/>
        <v>0</v>
      </c>
      <c r="L81" s="103">
        <f t="shared" si="37"/>
        <v>0</v>
      </c>
      <c r="M81" s="103">
        <f t="shared" si="37"/>
        <v>0</v>
      </c>
      <c r="N81" s="103">
        <f t="shared" si="37"/>
        <v>0</v>
      </c>
      <c r="O81" s="103">
        <f t="shared" si="37"/>
        <v>0</v>
      </c>
      <c r="P81" s="103" t="str">
        <f t="shared" si="37"/>
        <v/>
      </c>
      <c r="Q81" s="103" t="str">
        <f t="shared" si="37"/>
        <v/>
      </c>
      <c r="R81" s="103" t="str">
        <f t="shared" si="37"/>
        <v/>
      </c>
      <c r="S81" s="103" t="str">
        <f t="shared" si="37"/>
        <v/>
      </c>
      <c r="T81" s="103" t="str">
        <f t="shared" si="37"/>
        <v/>
      </c>
      <c r="U81" s="103" t="str">
        <f t="shared" si="37"/>
        <v/>
      </c>
      <c r="V81" s="103" t="str">
        <f t="shared" si="37"/>
        <v/>
      </c>
      <c r="W81" s="103" t="str">
        <f t="shared" si="37"/>
        <v/>
      </c>
      <c r="X81" s="103" t="str">
        <f t="shared" si="37"/>
        <v/>
      </c>
      <c r="Y81" s="103" t="str">
        <f t="shared" si="37"/>
        <v/>
      </c>
      <c r="Z81" s="103" t="str">
        <f t="shared" si="37"/>
        <v/>
      </c>
      <c r="AA81" s="103" t="str">
        <f t="shared" si="37"/>
        <v/>
      </c>
      <c r="AB81" s="103" t="str">
        <f t="shared" si="37"/>
        <v/>
      </c>
    </row>
    <row r="82" spans="1:30" ht="18" customHeight="1" outlineLevel="1" x14ac:dyDescent="0.25">
      <c r="A82" s="9" t="s">
        <v>250</v>
      </c>
      <c r="B82" s="102"/>
      <c r="C82" s="103">
        <f t="shared" si="6"/>
        <v>0.41122605177845051</v>
      </c>
      <c r="D82" s="103">
        <f t="shared" ref="D82:AB82" si="38">IF(SUM(D52:D81)=0,"",SUM(D52:D73,D78,D79))</f>
        <v>0.39579362362549325</v>
      </c>
      <c r="E82" s="103">
        <f t="shared" si="38"/>
        <v>0.40349355817738747</v>
      </c>
      <c r="F82" s="103">
        <f t="shared" si="38"/>
        <v>0.40516454460723927</v>
      </c>
      <c r="G82" s="103">
        <f t="shared" si="38"/>
        <v>0.41389787896346059</v>
      </c>
      <c r="H82" s="103">
        <f t="shared" si="38"/>
        <v>0.52645716511513441</v>
      </c>
      <c r="I82" s="103">
        <f t="shared" si="38"/>
        <v>0.4174035686079558</v>
      </c>
      <c r="J82" s="103">
        <f t="shared" si="38"/>
        <v>0.41593421382356799</v>
      </c>
      <c r="K82" s="103">
        <f t="shared" si="38"/>
        <v>0.39517396894475104</v>
      </c>
      <c r="L82" s="103">
        <f t="shared" si="38"/>
        <v>0.39288303852676798</v>
      </c>
      <c r="M82" s="103">
        <f t="shared" si="38"/>
        <v>0.39061873070609932</v>
      </c>
      <c r="N82" s="103">
        <f t="shared" si="38"/>
        <v>0.39098805857134988</v>
      </c>
      <c r="O82" s="103">
        <f t="shared" si="38"/>
        <v>0.38690427167219998</v>
      </c>
      <c r="P82" s="103" t="str">
        <f t="shared" si="38"/>
        <v/>
      </c>
      <c r="Q82" s="103" t="str">
        <f t="shared" si="38"/>
        <v/>
      </c>
      <c r="R82" s="103" t="str">
        <f t="shared" si="38"/>
        <v/>
      </c>
      <c r="S82" s="103" t="str">
        <f t="shared" si="38"/>
        <v/>
      </c>
      <c r="T82" s="103" t="str">
        <f t="shared" si="38"/>
        <v/>
      </c>
      <c r="U82" s="103" t="str">
        <f t="shared" si="38"/>
        <v/>
      </c>
      <c r="V82" s="103" t="str">
        <f t="shared" si="38"/>
        <v/>
      </c>
      <c r="W82" s="103" t="str">
        <f t="shared" si="38"/>
        <v/>
      </c>
      <c r="X82" s="103" t="str">
        <f t="shared" si="38"/>
        <v/>
      </c>
      <c r="Y82" s="103" t="str">
        <f t="shared" si="38"/>
        <v/>
      </c>
      <c r="Z82" s="103" t="str">
        <f t="shared" si="38"/>
        <v/>
      </c>
      <c r="AA82" s="103" t="str">
        <f t="shared" si="38"/>
        <v/>
      </c>
      <c r="AB82" s="103" t="str">
        <f t="shared" si="38"/>
        <v/>
      </c>
    </row>
    <row r="83" spans="1:30" ht="18" customHeight="1" outlineLevel="1" x14ac:dyDescent="0.25">
      <c r="A83" s="9" t="s">
        <v>251</v>
      </c>
      <c r="B83" s="102"/>
      <c r="C83" s="103">
        <f t="shared" si="6"/>
        <v>0</v>
      </c>
      <c r="D83" s="103">
        <f t="shared" ref="D83:AB83" si="39">IFERROR(D74+D76,"")</f>
        <v>0</v>
      </c>
      <c r="E83" s="103">
        <f t="shared" si="39"/>
        <v>0</v>
      </c>
      <c r="F83" s="103">
        <f t="shared" si="39"/>
        <v>0</v>
      </c>
      <c r="G83" s="103">
        <f t="shared" si="39"/>
        <v>0</v>
      </c>
      <c r="H83" s="103">
        <f t="shared" si="39"/>
        <v>0</v>
      </c>
      <c r="I83" s="103">
        <f t="shared" si="39"/>
        <v>0</v>
      </c>
      <c r="J83" s="103">
        <f t="shared" si="39"/>
        <v>0</v>
      </c>
      <c r="K83" s="103">
        <f t="shared" si="39"/>
        <v>0</v>
      </c>
      <c r="L83" s="103">
        <f t="shared" si="39"/>
        <v>0</v>
      </c>
      <c r="M83" s="103">
        <f t="shared" si="39"/>
        <v>0</v>
      </c>
      <c r="N83" s="103">
        <f t="shared" si="39"/>
        <v>0</v>
      </c>
      <c r="O83" s="103">
        <f t="shared" si="39"/>
        <v>0</v>
      </c>
      <c r="P83" s="103" t="str">
        <f t="shared" si="39"/>
        <v/>
      </c>
      <c r="Q83" s="103" t="str">
        <f t="shared" si="39"/>
        <v/>
      </c>
      <c r="R83" s="103" t="str">
        <f t="shared" si="39"/>
        <v/>
      </c>
      <c r="S83" s="103" t="str">
        <f t="shared" si="39"/>
        <v/>
      </c>
      <c r="T83" s="103" t="str">
        <f t="shared" si="39"/>
        <v/>
      </c>
      <c r="U83" s="103" t="str">
        <f t="shared" si="39"/>
        <v/>
      </c>
      <c r="V83" s="103" t="str">
        <f t="shared" si="39"/>
        <v/>
      </c>
      <c r="W83" s="103" t="str">
        <f t="shared" si="39"/>
        <v/>
      </c>
      <c r="X83" s="103" t="str">
        <f t="shared" si="39"/>
        <v/>
      </c>
      <c r="Y83" s="103" t="str">
        <f t="shared" si="39"/>
        <v/>
      </c>
      <c r="Z83" s="103" t="str">
        <f t="shared" si="39"/>
        <v/>
      </c>
      <c r="AA83" s="103" t="str">
        <f t="shared" si="39"/>
        <v/>
      </c>
      <c r="AB83" s="103" t="str">
        <f t="shared" si="39"/>
        <v/>
      </c>
    </row>
    <row r="84" spans="1:30" ht="18" customHeight="1" outlineLevel="1" x14ac:dyDescent="0.25">
      <c r="A84" s="9" t="s">
        <v>252</v>
      </c>
      <c r="B84" s="102"/>
      <c r="C84" s="103">
        <f t="shared" si="6"/>
        <v>0.41122605177845051</v>
      </c>
      <c r="D84" s="103">
        <f t="shared" ref="D84:AB84" si="40">IF(SUM(D82:D83)=0,"",SUM(D82:D83))</f>
        <v>0.39579362362549325</v>
      </c>
      <c r="E84" s="103">
        <f t="shared" si="40"/>
        <v>0.40349355817738747</v>
      </c>
      <c r="F84" s="103">
        <f t="shared" si="40"/>
        <v>0.40516454460723927</v>
      </c>
      <c r="G84" s="103">
        <f t="shared" si="40"/>
        <v>0.41389787896346059</v>
      </c>
      <c r="H84" s="103">
        <f t="shared" si="40"/>
        <v>0.52645716511513441</v>
      </c>
      <c r="I84" s="103">
        <f t="shared" si="40"/>
        <v>0.4174035686079558</v>
      </c>
      <c r="J84" s="103">
        <f t="shared" si="40"/>
        <v>0.41593421382356799</v>
      </c>
      <c r="K84" s="103">
        <f t="shared" si="40"/>
        <v>0.39517396894475104</v>
      </c>
      <c r="L84" s="103">
        <f t="shared" si="40"/>
        <v>0.39288303852676798</v>
      </c>
      <c r="M84" s="103">
        <f t="shared" si="40"/>
        <v>0.39061873070609932</v>
      </c>
      <c r="N84" s="103">
        <f t="shared" si="40"/>
        <v>0.39098805857134988</v>
      </c>
      <c r="O84" s="103">
        <f t="shared" si="40"/>
        <v>0.38690427167219998</v>
      </c>
      <c r="P84" s="103" t="str">
        <f t="shared" si="40"/>
        <v/>
      </c>
      <c r="Q84" s="103" t="str">
        <f t="shared" si="40"/>
        <v/>
      </c>
      <c r="R84" s="103" t="str">
        <f t="shared" si="40"/>
        <v/>
      </c>
      <c r="S84" s="103" t="str">
        <f t="shared" si="40"/>
        <v/>
      </c>
      <c r="T84" s="103" t="str">
        <f t="shared" si="40"/>
        <v/>
      </c>
      <c r="U84" s="103" t="str">
        <f t="shared" si="40"/>
        <v/>
      </c>
      <c r="V84" s="103" t="str">
        <f t="shared" si="40"/>
        <v/>
      </c>
      <c r="W84" s="103" t="str">
        <f t="shared" si="40"/>
        <v/>
      </c>
      <c r="X84" s="103" t="str">
        <f t="shared" si="40"/>
        <v/>
      </c>
      <c r="Y84" s="103" t="str">
        <f t="shared" si="40"/>
        <v/>
      </c>
      <c r="Z84" s="103" t="str">
        <f t="shared" si="40"/>
        <v/>
      </c>
      <c r="AA84" s="103" t="str">
        <f t="shared" si="40"/>
        <v/>
      </c>
      <c r="AB84" s="103" t="str">
        <f t="shared" si="40"/>
        <v/>
      </c>
    </row>
    <row r="86" spans="1:30" ht="18" customHeight="1" outlineLevel="2" x14ac:dyDescent="0.25">
      <c r="A86" s="9" t="s">
        <v>253</v>
      </c>
      <c r="B86" s="189"/>
      <c r="C86" s="7">
        <f>IFERROR(AVERAGE(D86:AB86), "")</f>
        <v>159.70410705546072</v>
      </c>
      <c r="D86" s="7">
        <f>IF(D$75="","",D$75/Gas!$I$35*Gas!$B$11)</f>
        <v>159.7041070554607</v>
      </c>
      <c r="E86" s="7">
        <f>IF(E$75="","",E$75/Gas!$I$35*Gas!$B$11)</f>
        <v>159.7041070554607</v>
      </c>
      <c r="F86" s="7">
        <f>IF(F$75="","",F$75/Gas!$I$35*Gas!$B$11)</f>
        <v>159.7041070554607</v>
      </c>
      <c r="G86" s="7">
        <f>IF(G$75="","",G$75/Gas!$I$35*Gas!$B$11)</f>
        <v>159.7041070554607</v>
      </c>
      <c r="H86" s="7">
        <f>IF(H$75="","",H$75/Gas!$I$35*Gas!$B$11)</f>
        <v>159.7041070554607</v>
      </c>
      <c r="I86" s="7">
        <f>IF(I$75="","",I$75/Gas!$I$35*Gas!$B$11)</f>
        <v>159.7041070554607</v>
      </c>
      <c r="J86" s="7">
        <f>IF(J$75="","",J$75/Gas!$I$35*Gas!$B$11)</f>
        <v>159.7041070554607</v>
      </c>
      <c r="K86" s="7">
        <f>IF(K$75="","",K$75/Gas!$I$35*Gas!$B$11)</f>
        <v>159.7041070554607</v>
      </c>
      <c r="L86" s="7">
        <f>IF(L$75="","",L$75/Gas!$I$35*Gas!$B$11)</f>
        <v>159.7041070554607</v>
      </c>
      <c r="M86" s="7">
        <f>IF(M$75="","",M$75/Gas!$I$35*Gas!$B$11)</f>
        <v>159.7041070554607</v>
      </c>
      <c r="N86" s="7">
        <f>IF(N$75="","",N$75/Gas!$I$35*Gas!$B$11)</f>
        <v>159.7041070554607</v>
      </c>
      <c r="O86" s="7">
        <f>IF(O$75="","",O$75/Gas!$I$35*Gas!$B$11)</f>
        <v>159.7041070554607</v>
      </c>
      <c r="P86" s="7" t="str">
        <f>IF(P$75="","",P$75/Gas!$I$35*Gas!$B$11)</f>
        <v/>
      </c>
      <c r="Q86" s="7" t="str">
        <f>IF(Q$75="","",Q$75/Gas!$I$35*Gas!$B$11)</f>
        <v/>
      </c>
      <c r="R86" s="7" t="str">
        <f>IF(R$75="","",R$75/Gas!$I$35*Gas!$B$11)</f>
        <v/>
      </c>
      <c r="S86" s="7" t="str">
        <f>IF(S$75="","",S$75/Gas!$I$35*Gas!$B$11)</f>
        <v/>
      </c>
      <c r="T86" s="7" t="str">
        <f>IF(T$75="","",T$75/Gas!$I$35*Gas!$B$11)</f>
        <v/>
      </c>
      <c r="U86" s="7" t="str">
        <f>IF(U$75="","",U$75/Gas!$I$35*Gas!$B$11)</f>
        <v/>
      </c>
      <c r="V86" s="7" t="str">
        <f>IF(V$75="","",V$75/Gas!$I$35*Gas!$B$11)</f>
        <v/>
      </c>
      <c r="W86" s="7" t="str">
        <f>IF(W$75="","",W$75/Gas!$I$35*Gas!$B$11)</f>
        <v/>
      </c>
      <c r="X86" s="7" t="str">
        <f>IF(X$75="","",X$75/Gas!$I$35*Gas!$B$11)</f>
        <v/>
      </c>
      <c r="Y86" s="7" t="str">
        <f>IF(Y$75="","",Y$75/Gas!$I$35*Gas!$B$11)</f>
        <v/>
      </c>
      <c r="Z86" s="7" t="str">
        <f>IF(Z$75="","",Z$75/Gas!$I$35*Gas!$B$11)</f>
        <v/>
      </c>
      <c r="AA86" s="7" t="str">
        <f>IF(AA$75="","",AA$75/Gas!$I$35*Gas!$B$11)</f>
        <v/>
      </c>
      <c r="AB86" s="7" t="str">
        <f>IF(AB$75="","",AB$75/Gas!$I$35*Gas!$B$11)</f>
        <v/>
      </c>
    </row>
    <row r="87" spans="1:30" ht="18" customHeight="1" outlineLevel="2" x14ac:dyDescent="0.25">
      <c r="A87" s="9" t="s">
        <v>254</v>
      </c>
      <c r="B87" s="218"/>
      <c r="C87" s="7" t="s">
        <v>247</v>
      </c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D87" s="136"/>
    </row>
    <row r="88" spans="1:30" ht="18" customHeight="1" outlineLevel="2" x14ac:dyDescent="0.25">
      <c r="A88" s="9" t="str">
        <f t="shared" ref="A88:A118" si="41">IF(A20="", "", CONCATENATE(A20, " [Nl/h]"))</f>
        <v>Methane [Nl/h]</v>
      </c>
      <c r="B88" s="219"/>
      <c r="C88" s="103">
        <f t="shared" ref="C88:C118" si="42">IFERROR(AVERAGE(D88:AB88), "")</f>
        <v>4.0462526094166824</v>
      </c>
      <c r="D88" s="103">
        <f t="shared" ref="D88:AB88" si="43">IF(D$86="","",D20/100*D$86)</f>
        <v>4.077891057718416</v>
      </c>
      <c r="E88" s="103">
        <f t="shared" si="43"/>
        <v>4.1622755138043797</v>
      </c>
      <c r="F88" s="103">
        <f t="shared" si="43"/>
        <v>4.1508231322874325</v>
      </c>
      <c r="G88" s="103">
        <f t="shared" si="43"/>
        <v>4.218695780744933</v>
      </c>
      <c r="H88" s="103">
        <f t="shared" si="43"/>
        <v>2.6718704725717743</v>
      </c>
      <c r="I88" s="103">
        <f t="shared" si="43"/>
        <v>4.2077512582884227</v>
      </c>
      <c r="J88" s="103">
        <f t="shared" si="43"/>
        <v>4.218932142823375</v>
      </c>
      <c r="K88" s="103">
        <f t="shared" si="43"/>
        <v>4.1809433268780927</v>
      </c>
      <c r="L88" s="103">
        <f t="shared" si="43"/>
        <v>4.1695819767021671</v>
      </c>
      <c r="M88" s="103">
        <f t="shared" si="43"/>
        <v>4.1551686810404123</v>
      </c>
      <c r="N88" s="103">
        <f t="shared" si="43"/>
        <v>4.1716229951903365</v>
      </c>
      <c r="O88" s="103">
        <f t="shared" si="43"/>
        <v>4.1694749749504396</v>
      </c>
      <c r="P88" s="103" t="str">
        <f t="shared" si="43"/>
        <v/>
      </c>
      <c r="Q88" s="103" t="str">
        <f t="shared" si="43"/>
        <v/>
      </c>
      <c r="R88" s="103" t="str">
        <f t="shared" si="43"/>
        <v/>
      </c>
      <c r="S88" s="103" t="str">
        <f t="shared" si="43"/>
        <v/>
      </c>
      <c r="T88" s="103" t="str">
        <f t="shared" si="43"/>
        <v/>
      </c>
      <c r="U88" s="103" t="str">
        <f t="shared" si="43"/>
        <v/>
      </c>
      <c r="V88" s="103" t="str">
        <f t="shared" si="43"/>
        <v/>
      </c>
      <c r="W88" s="103" t="str">
        <f t="shared" si="43"/>
        <v/>
      </c>
      <c r="X88" s="103" t="str">
        <f t="shared" si="43"/>
        <v/>
      </c>
      <c r="Y88" s="103" t="str">
        <f t="shared" si="43"/>
        <v/>
      </c>
      <c r="Z88" s="103" t="str">
        <f t="shared" si="43"/>
        <v/>
      </c>
      <c r="AA88" s="103" t="str">
        <f t="shared" si="43"/>
        <v/>
      </c>
      <c r="AB88" s="103" t="str">
        <f t="shared" si="43"/>
        <v/>
      </c>
    </row>
    <row r="89" spans="1:30" ht="18" customHeight="1" outlineLevel="2" x14ac:dyDescent="0.25">
      <c r="A89" s="9" t="str">
        <f t="shared" si="41"/>
        <v>Ethane [Nl/h]</v>
      </c>
      <c r="B89" s="219"/>
      <c r="C89" s="103">
        <f t="shared" si="42"/>
        <v>1.6707178986095261E-2</v>
      </c>
      <c r="D89" s="103">
        <f t="shared" ref="D89:AB89" si="44">IF(D$86="","",D21/100*D$86)</f>
        <v>1.2654953443074707E-2</v>
      </c>
      <c r="E89" s="103">
        <f t="shared" si="44"/>
        <v>7.5396308940883002E-3</v>
      </c>
      <c r="F89" s="103">
        <f t="shared" si="44"/>
        <v>5.7733034700549052E-3</v>
      </c>
      <c r="G89" s="103">
        <f t="shared" si="44"/>
        <v>4.6905096242188804E-3</v>
      </c>
      <c r="H89" s="103">
        <f t="shared" si="44"/>
        <v>0.14082229047829359</v>
      </c>
      <c r="I89" s="103">
        <f t="shared" si="44"/>
        <v>4.3838777386723963E-3</v>
      </c>
      <c r="J89" s="103">
        <f t="shared" si="44"/>
        <v>3.6652092569228233E-3</v>
      </c>
      <c r="K89" s="103">
        <f t="shared" si="44"/>
        <v>6.8465150694676001E-3</v>
      </c>
      <c r="L89" s="103">
        <f t="shared" si="44"/>
        <v>4.1922328102058431E-3</v>
      </c>
      <c r="M89" s="103">
        <f t="shared" si="44"/>
        <v>3.8887950068004682E-3</v>
      </c>
      <c r="N89" s="103">
        <f t="shared" si="44"/>
        <v>3.8808098014476945E-3</v>
      </c>
      <c r="O89" s="103">
        <f t="shared" si="44"/>
        <v>2.1480202398959465E-3</v>
      </c>
      <c r="P89" s="103" t="str">
        <f t="shared" si="44"/>
        <v/>
      </c>
      <c r="Q89" s="103" t="str">
        <f t="shared" si="44"/>
        <v/>
      </c>
      <c r="R89" s="103" t="str">
        <f t="shared" si="44"/>
        <v/>
      </c>
      <c r="S89" s="103" t="str">
        <f t="shared" si="44"/>
        <v/>
      </c>
      <c r="T89" s="103" t="str">
        <f t="shared" si="44"/>
        <v/>
      </c>
      <c r="U89" s="103" t="str">
        <f t="shared" si="44"/>
        <v/>
      </c>
      <c r="V89" s="103" t="str">
        <f t="shared" si="44"/>
        <v/>
      </c>
      <c r="W89" s="103" t="str">
        <f t="shared" si="44"/>
        <v/>
      </c>
      <c r="X89" s="103" t="str">
        <f t="shared" si="44"/>
        <v/>
      </c>
      <c r="Y89" s="103" t="str">
        <f t="shared" si="44"/>
        <v/>
      </c>
      <c r="Z89" s="103" t="str">
        <f t="shared" si="44"/>
        <v/>
      </c>
      <c r="AA89" s="103" t="str">
        <f t="shared" si="44"/>
        <v/>
      </c>
      <c r="AB89" s="103" t="str">
        <f t="shared" si="44"/>
        <v/>
      </c>
    </row>
    <row r="90" spans="1:30" ht="18" customHeight="1" outlineLevel="2" x14ac:dyDescent="0.25">
      <c r="A90" s="9" t="str">
        <f t="shared" si="41"/>
        <v>Ethylene [Nl/h]</v>
      </c>
      <c r="B90" s="219"/>
      <c r="C90" s="103">
        <f t="shared" si="42"/>
        <v>2.7107435169231215</v>
      </c>
      <c r="D90" s="103">
        <f t="shared" ref="D90:AB90" si="45">IF(D$86="","",D22/100*D$86)</f>
        <v>2.5780570860052561</v>
      </c>
      <c r="E90" s="103">
        <f t="shared" si="45"/>
        <v>2.6237899541016576</v>
      </c>
      <c r="F90" s="103">
        <f t="shared" si="45"/>
        <v>2.6211324777602547</v>
      </c>
      <c r="G90" s="103">
        <f t="shared" si="45"/>
        <v>2.661159118111565</v>
      </c>
      <c r="H90" s="103">
        <f t="shared" si="45"/>
        <v>3.5913381222043195</v>
      </c>
      <c r="I90" s="103">
        <f t="shared" si="45"/>
        <v>2.6575514023331821</v>
      </c>
      <c r="J90" s="103">
        <f t="shared" si="45"/>
        <v>2.6504828985549076</v>
      </c>
      <c r="K90" s="103">
        <f t="shared" si="45"/>
        <v>2.6407505302709477</v>
      </c>
      <c r="L90" s="103">
        <f t="shared" si="45"/>
        <v>2.6263308464449104</v>
      </c>
      <c r="M90" s="103">
        <f t="shared" si="45"/>
        <v>2.6162263675915112</v>
      </c>
      <c r="N90" s="103">
        <f t="shared" si="45"/>
        <v>2.6293380747807649</v>
      </c>
      <c r="O90" s="103">
        <f t="shared" si="45"/>
        <v>2.6327653249181746</v>
      </c>
      <c r="P90" s="103" t="str">
        <f t="shared" si="45"/>
        <v/>
      </c>
      <c r="Q90" s="103" t="str">
        <f t="shared" si="45"/>
        <v/>
      </c>
      <c r="R90" s="103" t="str">
        <f t="shared" si="45"/>
        <v/>
      </c>
      <c r="S90" s="103" t="str">
        <f t="shared" si="45"/>
        <v/>
      </c>
      <c r="T90" s="103" t="str">
        <f t="shared" si="45"/>
        <v/>
      </c>
      <c r="U90" s="103" t="str">
        <f t="shared" si="45"/>
        <v/>
      </c>
      <c r="V90" s="103" t="str">
        <f t="shared" si="45"/>
        <v/>
      </c>
      <c r="W90" s="103" t="str">
        <f t="shared" si="45"/>
        <v/>
      </c>
      <c r="X90" s="103" t="str">
        <f t="shared" si="45"/>
        <v/>
      </c>
      <c r="Y90" s="103" t="str">
        <f t="shared" si="45"/>
        <v/>
      </c>
      <c r="Z90" s="103" t="str">
        <f t="shared" si="45"/>
        <v/>
      </c>
      <c r="AA90" s="103" t="str">
        <f t="shared" si="45"/>
        <v/>
      </c>
      <c r="AB90" s="103" t="str">
        <f t="shared" si="45"/>
        <v/>
      </c>
    </row>
    <row r="91" spans="1:30" ht="18" customHeight="1" outlineLevel="2" x14ac:dyDescent="0.25">
      <c r="A91" s="9" t="str">
        <f t="shared" si="41"/>
        <v>Propane [Nl/h]</v>
      </c>
      <c r="B91" s="219"/>
      <c r="C91" s="103">
        <f t="shared" si="42"/>
        <v>3.3990357451637215E-4</v>
      </c>
      <c r="D91" s="103">
        <f t="shared" ref="D91:AB91" si="46">IF(D$86="","",D23/100*D$86)</f>
        <v>0</v>
      </c>
      <c r="E91" s="103">
        <f t="shared" si="46"/>
        <v>0</v>
      </c>
      <c r="F91" s="103">
        <f t="shared" si="46"/>
        <v>0</v>
      </c>
      <c r="G91" s="103">
        <f t="shared" si="46"/>
        <v>0</v>
      </c>
      <c r="H91" s="103">
        <f t="shared" si="46"/>
        <v>4.0788428941964661E-3</v>
      </c>
      <c r="I91" s="103">
        <f t="shared" si="46"/>
        <v>0</v>
      </c>
      <c r="J91" s="103">
        <f t="shared" si="46"/>
        <v>0</v>
      </c>
      <c r="K91" s="103">
        <f t="shared" si="46"/>
        <v>0</v>
      </c>
      <c r="L91" s="103">
        <f t="shared" si="46"/>
        <v>0</v>
      </c>
      <c r="M91" s="103">
        <f t="shared" si="46"/>
        <v>0</v>
      </c>
      <c r="N91" s="103">
        <f t="shared" si="46"/>
        <v>0</v>
      </c>
      <c r="O91" s="103">
        <f t="shared" si="46"/>
        <v>0</v>
      </c>
      <c r="P91" s="103" t="str">
        <f t="shared" si="46"/>
        <v/>
      </c>
      <c r="Q91" s="103" t="str">
        <f t="shared" si="46"/>
        <v/>
      </c>
      <c r="R91" s="103" t="str">
        <f t="shared" si="46"/>
        <v/>
      </c>
      <c r="S91" s="103" t="str">
        <f t="shared" si="46"/>
        <v/>
      </c>
      <c r="T91" s="103" t="str">
        <f t="shared" si="46"/>
        <v/>
      </c>
      <c r="U91" s="103" t="str">
        <f t="shared" si="46"/>
        <v/>
      </c>
      <c r="V91" s="103" t="str">
        <f t="shared" si="46"/>
        <v/>
      </c>
      <c r="W91" s="103" t="str">
        <f t="shared" si="46"/>
        <v/>
      </c>
      <c r="X91" s="103" t="str">
        <f t="shared" si="46"/>
        <v/>
      </c>
      <c r="Y91" s="103" t="str">
        <f t="shared" si="46"/>
        <v/>
      </c>
      <c r="Z91" s="103" t="str">
        <f t="shared" si="46"/>
        <v/>
      </c>
      <c r="AA91" s="103" t="str">
        <f t="shared" si="46"/>
        <v/>
      </c>
      <c r="AB91" s="103" t="str">
        <f t="shared" si="46"/>
        <v/>
      </c>
    </row>
    <row r="92" spans="1:30" ht="18" customHeight="1" outlineLevel="2" x14ac:dyDescent="0.25">
      <c r="A92" s="9" t="str">
        <f t="shared" si="41"/>
        <v>Propylene [Nl/h]</v>
      </c>
      <c r="B92" s="219"/>
      <c r="C92" s="103">
        <f t="shared" si="42"/>
        <v>3.6093128194534113E-3</v>
      </c>
      <c r="D92" s="103">
        <f t="shared" ref="D92:AB92" si="47">IF(D$86="","",D24/100*D$86)</f>
        <v>8.513825947126609E-3</v>
      </c>
      <c r="E92" s="103">
        <f t="shared" si="47"/>
        <v>6.7858275087865254E-3</v>
      </c>
      <c r="F92" s="103">
        <f t="shared" si="47"/>
        <v>4.3008316030035566E-3</v>
      </c>
      <c r="G92" s="103">
        <f t="shared" si="47"/>
        <v>2.9098088305504941E-3</v>
      </c>
      <c r="H92" s="103">
        <f t="shared" si="47"/>
        <v>1.2562325060982538E-2</v>
      </c>
      <c r="I92" s="103">
        <f t="shared" si="47"/>
        <v>1.7727155883156139E-3</v>
      </c>
      <c r="J92" s="103">
        <f t="shared" si="47"/>
        <v>1.4996215652507759E-3</v>
      </c>
      <c r="K92" s="103">
        <f t="shared" si="47"/>
        <v>1.2345127475387112E-3</v>
      </c>
      <c r="L92" s="103">
        <f t="shared" si="47"/>
        <v>1.6784901651528922E-3</v>
      </c>
      <c r="M92" s="103">
        <f t="shared" si="47"/>
        <v>1.2041689671981736E-3</v>
      </c>
      <c r="N92" s="103">
        <f t="shared" si="47"/>
        <v>8.4962584953505093E-4</v>
      </c>
      <c r="O92" s="103">
        <f t="shared" si="47"/>
        <v>0</v>
      </c>
      <c r="P92" s="103" t="str">
        <f t="shared" si="47"/>
        <v/>
      </c>
      <c r="Q92" s="103" t="str">
        <f t="shared" si="47"/>
        <v/>
      </c>
      <c r="R92" s="103" t="str">
        <f t="shared" si="47"/>
        <v/>
      </c>
      <c r="S92" s="103" t="str">
        <f t="shared" si="47"/>
        <v/>
      </c>
      <c r="T92" s="103" t="str">
        <f t="shared" si="47"/>
        <v/>
      </c>
      <c r="U92" s="103" t="str">
        <f t="shared" si="47"/>
        <v/>
      </c>
      <c r="V92" s="103" t="str">
        <f t="shared" si="47"/>
        <v/>
      </c>
      <c r="W92" s="103" t="str">
        <f t="shared" si="47"/>
        <v/>
      </c>
      <c r="X92" s="103" t="str">
        <f t="shared" si="47"/>
        <v/>
      </c>
      <c r="Y92" s="103" t="str">
        <f t="shared" si="47"/>
        <v/>
      </c>
      <c r="Z92" s="103" t="str">
        <f t="shared" si="47"/>
        <v/>
      </c>
      <c r="AA92" s="103" t="str">
        <f t="shared" si="47"/>
        <v/>
      </c>
      <c r="AB92" s="103" t="str">
        <f t="shared" si="47"/>
        <v/>
      </c>
    </row>
    <row r="93" spans="1:30" ht="18" customHeight="1" outlineLevel="2" x14ac:dyDescent="0.25">
      <c r="A93" s="9" t="str">
        <f t="shared" si="41"/>
        <v>Butane [Nl/h]</v>
      </c>
      <c r="B93" s="219"/>
      <c r="C93" s="103">
        <f t="shared" si="42"/>
        <v>5.3607345268282967E-4</v>
      </c>
      <c r="D93" s="103">
        <f t="shared" ref="D93:AB93" si="48">IF(D$86="","",D25/100*D$86)</f>
        <v>4.0245434977976093E-4</v>
      </c>
      <c r="E93" s="103">
        <f t="shared" si="48"/>
        <v>0</v>
      </c>
      <c r="F93" s="103">
        <f t="shared" si="48"/>
        <v>0</v>
      </c>
      <c r="G93" s="103">
        <f t="shared" si="48"/>
        <v>0</v>
      </c>
      <c r="H93" s="103">
        <f t="shared" si="48"/>
        <v>5.2830118613946403E-3</v>
      </c>
      <c r="I93" s="103">
        <f t="shared" si="48"/>
        <v>0</v>
      </c>
      <c r="J93" s="103">
        <f t="shared" si="48"/>
        <v>0</v>
      </c>
      <c r="K93" s="103">
        <f t="shared" si="48"/>
        <v>0</v>
      </c>
      <c r="L93" s="103">
        <f t="shared" si="48"/>
        <v>0</v>
      </c>
      <c r="M93" s="103">
        <f t="shared" si="48"/>
        <v>3.6412536408645042E-4</v>
      </c>
      <c r="N93" s="103">
        <f t="shared" si="48"/>
        <v>3.8328985693310567E-4</v>
      </c>
      <c r="O93" s="103">
        <f t="shared" si="48"/>
        <v>0</v>
      </c>
      <c r="P93" s="103" t="str">
        <f t="shared" si="48"/>
        <v/>
      </c>
      <c r="Q93" s="103" t="str">
        <f t="shared" si="48"/>
        <v/>
      </c>
      <c r="R93" s="103" t="str">
        <f t="shared" si="48"/>
        <v/>
      </c>
      <c r="S93" s="103" t="str">
        <f t="shared" si="48"/>
        <v/>
      </c>
      <c r="T93" s="103" t="str">
        <f t="shared" si="48"/>
        <v/>
      </c>
      <c r="U93" s="103" t="str">
        <f t="shared" si="48"/>
        <v/>
      </c>
      <c r="V93" s="103" t="str">
        <f t="shared" si="48"/>
        <v/>
      </c>
      <c r="W93" s="103" t="str">
        <f t="shared" si="48"/>
        <v/>
      </c>
      <c r="X93" s="103" t="str">
        <f t="shared" si="48"/>
        <v/>
      </c>
      <c r="Y93" s="103" t="str">
        <f t="shared" si="48"/>
        <v/>
      </c>
      <c r="Z93" s="103" t="str">
        <f t="shared" si="48"/>
        <v/>
      </c>
      <c r="AA93" s="103" t="str">
        <f t="shared" si="48"/>
        <v/>
      </c>
      <c r="AB93" s="103" t="str">
        <f t="shared" si="48"/>
        <v/>
      </c>
    </row>
    <row r="94" spans="1:30" ht="18" customHeight="1" outlineLevel="2" x14ac:dyDescent="0.25">
      <c r="A94" s="9" t="str">
        <f t="shared" si="41"/>
        <v>Pentane [Nl/h]</v>
      </c>
      <c r="B94" s="219"/>
      <c r="C94" s="103">
        <f t="shared" si="42"/>
        <v>0</v>
      </c>
      <c r="D94" s="103">
        <f t="shared" ref="D94:AB94" si="49">IF(D$86="","",D26/100*D$86)</f>
        <v>0</v>
      </c>
      <c r="E94" s="103">
        <f t="shared" si="49"/>
        <v>0</v>
      </c>
      <c r="F94" s="103">
        <f t="shared" si="49"/>
        <v>0</v>
      </c>
      <c r="G94" s="103">
        <f t="shared" si="49"/>
        <v>0</v>
      </c>
      <c r="H94" s="103">
        <f t="shared" si="49"/>
        <v>0</v>
      </c>
      <c r="I94" s="103">
        <f t="shared" si="49"/>
        <v>0</v>
      </c>
      <c r="J94" s="103">
        <f t="shared" si="49"/>
        <v>0</v>
      </c>
      <c r="K94" s="103">
        <f t="shared" si="49"/>
        <v>0</v>
      </c>
      <c r="L94" s="103">
        <f t="shared" si="49"/>
        <v>0</v>
      </c>
      <c r="M94" s="103">
        <f t="shared" si="49"/>
        <v>0</v>
      </c>
      <c r="N94" s="103">
        <f t="shared" si="49"/>
        <v>0</v>
      </c>
      <c r="O94" s="103">
        <f t="shared" si="49"/>
        <v>0</v>
      </c>
      <c r="P94" s="103" t="str">
        <f t="shared" si="49"/>
        <v/>
      </c>
      <c r="Q94" s="103" t="str">
        <f t="shared" si="49"/>
        <v/>
      </c>
      <c r="R94" s="103" t="str">
        <f t="shared" si="49"/>
        <v/>
      </c>
      <c r="S94" s="103" t="str">
        <f t="shared" si="49"/>
        <v/>
      </c>
      <c r="T94" s="103" t="str">
        <f t="shared" si="49"/>
        <v/>
      </c>
      <c r="U94" s="103" t="str">
        <f t="shared" si="49"/>
        <v/>
      </c>
      <c r="V94" s="103" t="str">
        <f t="shared" si="49"/>
        <v/>
      </c>
      <c r="W94" s="103" t="str">
        <f t="shared" si="49"/>
        <v/>
      </c>
      <c r="X94" s="103" t="str">
        <f t="shared" si="49"/>
        <v/>
      </c>
      <c r="Y94" s="103" t="str">
        <f t="shared" si="49"/>
        <v/>
      </c>
      <c r="Z94" s="103" t="str">
        <f t="shared" si="49"/>
        <v/>
      </c>
      <c r="AA94" s="103" t="str">
        <f t="shared" si="49"/>
        <v/>
      </c>
      <c r="AB94" s="103" t="str">
        <f t="shared" si="49"/>
        <v/>
      </c>
    </row>
    <row r="95" spans="1:30" ht="18" customHeight="1" outlineLevel="2" x14ac:dyDescent="0.25">
      <c r="A95" s="9" t="str">
        <f t="shared" si="41"/>
        <v>C6s (Isomers of hexane?) [Nl/h]</v>
      </c>
      <c r="B95" s="219"/>
      <c r="C95" s="103">
        <f t="shared" si="42"/>
        <v>0</v>
      </c>
      <c r="D95" s="103">
        <f t="shared" ref="D95:AB95" si="50">IF(D$86="","",D27/100*D$86)</f>
        <v>0</v>
      </c>
      <c r="E95" s="103">
        <f t="shared" si="50"/>
        <v>0</v>
      </c>
      <c r="F95" s="103">
        <f t="shared" si="50"/>
        <v>0</v>
      </c>
      <c r="G95" s="103">
        <f t="shared" si="50"/>
        <v>0</v>
      </c>
      <c r="H95" s="103">
        <f t="shared" si="50"/>
        <v>0</v>
      </c>
      <c r="I95" s="103">
        <f t="shared" si="50"/>
        <v>0</v>
      </c>
      <c r="J95" s="103">
        <f t="shared" si="50"/>
        <v>0</v>
      </c>
      <c r="K95" s="103">
        <f t="shared" si="50"/>
        <v>0</v>
      </c>
      <c r="L95" s="103">
        <f t="shared" si="50"/>
        <v>0</v>
      </c>
      <c r="M95" s="103">
        <f t="shared" si="50"/>
        <v>0</v>
      </c>
      <c r="N95" s="103">
        <f t="shared" si="50"/>
        <v>0</v>
      </c>
      <c r="O95" s="103">
        <f t="shared" si="50"/>
        <v>0</v>
      </c>
      <c r="P95" s="103" t="str">
        <f t="shared" si="50"/>
        <v/>
      </c>
      <c r="Q95" s="103" t="str">
        <f t="shared" si="50"/>
        <v/>
      </c>
      <c r="R95" s="103" t="str">
        <f t="shared" si="50"/>
        <v/>
      </c>
      <c r="S95" s="103" t="str">
        <f t="shared" si="50"/>
        <v/>
      </c>
      <c r="T95" s="103" t="str">
        <f t="shared" si="50"/>
        <v/>
      </c>
      <c r="U95" s="103" t="str">
        <f t="shared" si="50"/>
        <v/>
      </c>
      <c r="V95" s="103" t="str">
        <f t="shared" si="50"/>
        <v/>
      </c>
      <c r="W95" s="103" t="str">
        <f t="shared" si="50"/>
        <v/>
      </c>
      <c r="X95" s="103" t="str">
        <f t="shared" si="50"/>
        <v/>
      </c>
      <c r="Y95" s="103" t="str">
        <f t="shared" si="50"/>
        <v/>
      </c>
      <c r="Z95" s="103" t="str">
        <f t="shared" si="50"/>
        <v/>
      </c>
      <c r="AA95" s="103" t="str">
        <f t="shared" si="50"/>
        <v/>
      </c>
      <c r="AB95" s="103" t="str">
        <f t="shared" si="50"/>
        <v/>
      </c>
    </row>
    <row r="96" spans="1:30" ht="18" customHeight="1" outlineLevel="2" x14ac:dyDescent="0.25">
      <c r="A96" s="9" t="str">
        <f t="shared" si="41"/>
        <v>Hexane [Nl/h]</v>
      </c>
      <c r="B96" s="219"/>
      <c r="C96" s="103">
        <f t="shared" si="42"/>
        <v>0</v>
      </c>
      <c r="D96" s="103">
        <f t="shared" ref="D96:AB96" si="51">IF(D$86="","",D28/100*D$86)</f>
        <v>0</v>
      </c>
      <c r="E96" s="103">
        <f t="shared" si="51"/>
        <v>0</v>
      </c>
      <c r="F96" s="103">
        <f t="shared" si="51"/>
        <v>0</v>
      </c>
      <c r="G96" s="103">
        <f t="shared" si="51"/>
        <v>0</v>
      </c>
      <c r="H96" s="103">
        <f t="shared" si="51"/>
        <v>0</v>
      </c>
      <c r="I96" s="103">
        <f t="shared" si="51"/>
        <v>0</v>
      </c>
      <c r="J96" s="103">
        <f t="shared" si="51"/>
        <v>0</v>
      </c>
      <c r="K96" s="103">
        <f t="shared" si="51"/>
        <v>0</v>
      </c>
      <c r="L96" s="103">
        <f t="shared" si="51"/>
        <v>0</v>
      </c>
      <c r="M96" s="103">
        <f t="shared" si="51"/>
        <v>0</v>
      </c>
      <c r="N96" s="103">
        <f t="shared" si="51"/>
        <v>0</v>
      </c>
      <c r="O96" s="103">
        <f t="shared" si="51"/>
        <v>0</v>
      </c>
      <c r="P96" s="103" t="str">
        <f t="shared" si="51"/>
        <v/>
      </c>
      <c r="Q96" s="103" t="str">
        <f t="shared" si="51"/>
        <v/>
      </c>
      <c r="R96" s="103" t="str">
        <f t="shared" si="51"/>
        <v/>
      </c>
      <c r="S96" s="103" t="str">
        <f t="shared" si="51"/>
        <v/>
      </c>
      <c r="T96" s="103" t="str">
        <f t="shared" si="51"/>
        <v/>
      </c>
      <c r="U96" s="103" t="str">
        <f t="shared" si="51"/>
        <v/>
      </c>
      <c r="V96" s="103" t="str">
        <f t="shared" si="51"/>
        <v/>
      </c>
      <c r="W96" s="103" t="str">
        <f t="shared" si="51"/>
        <v/>
      </c>
      <c r="X96" s="103" t="str">
        <f t="shared" si="51"/>
        <v/>
      </c>
      <c r="Y96" s="103" t="str">
        <f t="shared" si="51"/>
        <v/>
      </c>
      <c r="Z96" s="103" t="str">
        <f t="shared" si="51"/>
        <v/>
      </c>
      <c r="AA96" s="103" t="str">
        <f t="shared" si="51"/>
        <v/>
      </c>
      <c r="AB96" s="103" t="str">
        <f t="shared" si="51"/>
        <v/>
      </c>
    </row>
    <row r="97" spans="1:28" ht="18" customHeight="1" outlineLevel="2" x14ac:dyDescent="0.25">
      <c r="A97" s="9" t="str">
        <f t="shared" si="41"/>
        <v>C4 [Nl/h]</v>
      </c>
      <c r="B97" s="219"/>
      <c r="C97" s="103">
        <f t="shared" si="42"/>
        <v>6.0814392359428281E-2</v>
      </c>
      <c r="D97" s="103">
        <f t="shared" ref="D97:AB97" si="52">IF(D$86="","",D29/100*D$86)</f>
        <v>2.1975285130831392E-3</v>
      </c>
      <c r="E97" s="103">
        <f t="shared" si="52"/>
        <v>8.4754969614332983E-3</v>
      </c>
      <c r="F97" s="103">
        <f t="shared" si="52"/>
        <v>1.0168360496221183E-2</v>
      </c>
      <c r="G97" s="103">
        <f t="shared" si="52"/>
        <v>9.9719244445429667E-3</v>
      </c>
      <c r="H97" s="103">
        <f t="shared" si="52"/>
        <v>0.67233991733385456</v>
      </c>
      <c r="I97" s="103">
        <f t="shared" si="52"/>
        <v>8.7485909844981363E-3</v>
      </c>
      <c r="J97" s="103">
        <f t="shared" si="52"/>
        <v>3.1557531554159035E-3</v>
      </c>
      <c r="K97" s="103">
        <f t="shared" si="52"/>
        <v>4.6665540081605615E-3</v>
      </c>
      <c r="L97" s="103">
        <f t="shared" si="52"/>
        <v>3.1924851000386593E-3</v>
      </c>
      <c r="M97" s="103">
        <f t="shared" si="52"/>
        <v>3.1525590732747943E-3</v>
      </c>
      <c r="N97" s="103">
        <f t="shared" si="52"/>
        <v>3.7035382426161335E-3</v>
      </c>
      <c r="O97" s="103">
        <f t="shared" si="52"/>
        <v>0</v>
      </c>
      <c r="P97" s="103" t="str">
        <f t="shared" si="52"/>
        <v/>
      </c>
      <c r="Q97" s="103" t="str">
        <f t="shared" si="52"/>
        <v/>
      </c>
      <c r="R97" s="103" t="str">
        <f t="shared" si="52"/>
        <v/>
      </c>
      <c r="S97" s="103" t="str">
        <f t="shared" si="52"/>
        <v/>
      </c>
      <c r="T97" s="103" t="str">
        <f t="shared" si="52"/>
        <v/>
      </c>
      <c r="U97" s="103" t="str">
        <f t="shared" si="52"/>
        <v/>
      </c>
      <c r="V97" s="103" t="str">
        <f t="shared" si="52"/>
        <v/>
      </c>
      <c r="W97" s="103" t="str">
        <f t="shared" si="52"/>
        <v/>
      </c>
      <c r="X97" s="103" t="str">
        <f t="shared" si="52"/>
        <v/>
      </c>
      <c r="Y97" s="103" t="str">
        <f t="shared" si="52"/>
        <v/>
      </c>
      <c r="Z97" s="103" t="str">
        <f t="shared" si="52"/>
        <v/>
      </c>
      <c r="AA97" s="103" t="str">
        <f t="shared" si="52"/>
        <v/>
      </c>
      <c r="AB97" s="103" t="str">
        <f t="shared" si="52"/>
        <v/>
      </c>
    </row>
    <row r="98" spans="1:28" ht="18" customHeight="1" outlineLevel="2" x14ac:dyDescent="0.25">
      <c r="A98" s="9" t="str">
        <f t="shared" si="41"/>
        <v>C5 [Nl/h]</v>
      </c>
      <c r="B98" s="219"/>
      <c r="C98" s="103">
        <f t="shared" si="42"/>
        <v>0</v>
      </c>
      <c r="D98" s="103">
        <f t="shared" ref="D98:AB98" si="53">IF(D$86="","",D30/100*D$86)</f>
        <v>0</v>
      </c>
      <c r="E98" s="103">
        <f t="shared" si="53"/>
        <v>0</v>
      </c>
      <c r="F98" s="103">
        <f t="shared" si="53"/>
        <v>0</v>
      </c>
      <c r="G98" s="103">
        <f t="shared" si="53"/>
        <v>0</v>
      </c>
      <c r="H98" s="103">
        <f t="shared" si="53"/>
        <v>0</v>
      </c>
      <c r="I98" s="103">
        <f t="shared" si="53"/>
        <v>0</v>
      </c>
      <c r="J98" s="103">
        <f t="shared" si="53"/>
        <v>0</v>
      </c>
      <c r="K98" s="103">
        <f t="shared" si="53"/>
        <v>0</v>
      </c>
      <c r="L98" s="103">
        <f t="shared" si="53"/>
        <v>0</v>
      </c>
      <c r="M98" s="103">
        <f t="shared" si="53"/>
        <v>0</v>
      </c>
      <c r="N98" s="103">
        <f t="shared" si="53"/>
        <v>0</v>
      </c>
      <c r="O98" s="103">
        <f t="shared" si="53"/>
        <v>0</v>
      </c>
      <c r="P98" s="103" t="str">
        <f t="shared" si="53"/>
        <v/>
      </c>
      <c r="Q98" s="103" t="str">
        <f t="shared" si="53"/>
        <v/>
      </c>
      <c r="R98" s="103" t="str">
        <f t="shared" si="53"/>
        <v/>
      </c>
      <c r="S98" s="103" t="str">
        <f t="shared" si="53"/>
        <v/>
      </c>
      <c r="T98" s="103" t="str">
        <f t="shared" si="53"/>
        <v/>
      </c>
      <c r="U98" s="103" t="str">
        <f t="shared" si="53"/>
        <v/>
      </c>
      <c r="V98" s="103" t="str">
        <f t="shared" si="53"/>
        <v/>
      </c>
      <c r="W98" s="103" t="str">
        <f t="shared" si="53"/>
        <v/>
      </c>
      <c r="X98" s="103" t="str">
        <f t="shared" si="53"/>
        <v/>
      </c>
      <c r="Y98" s="103" t="str">
        <f t="shared" si="53"/>
        <v/>
      </c>
      <c r="Z98" s="103" t="str">
        <f t="shared" si="53"/>
        <v/>
      </c>
      <c r="AA98" s="103" t="str">
        <f t="shared" si="53"/>
        <v/>
      </c>
      <c r="AB98" s="103" t="str">
        <f t="shared" si="53"/>
        <v/>
      </c>
    </row>
    <row r="99" spans="1:28" ht="18" customHeight="1" outlineLevel="2" x14ac:dyDescent="0.25">
      <c r="A99" s="9" t="str">
        <f t="shared" si="41"/>
        <v>C6 [Nl/h]</v>
      </c>
      <c r="B99" s="219"/>
      <c r="C99" s="103">
        <f t="shared" si="42"/>
        <v>3.244655108343443E-4</v>
      </c>
      <c r="D99" s="103">
        <f t="shared" ref="D99:AB99" si="54">IF(D$86="","",D31/100*D$86)</f>
        <v>2.0809445149326529E-3</v>
      </c>
      <c r="E99" s="103">
        <f t="shared" si="54"/>
        <v>0</v>
      </c>
      <c r="F99" s="103">
        <f t="shared" si="54"/>
        <v>0</v>
      </c>
      <c r="G99" s="103">
        <f t="shared" si="54"/>
        <v>0</v>
      </c>
      <c r="H99" s="103">
        <f t="shared" si="54"/>
        <v>1.8126416150794789E-3</v>
      </c>
      <c r="I99" s="103">
        <f t="shared" si="54"/>
        <v>0</v>
      </c>
      <c r="J99" s="103">
        <f t="shared" si="54"/>
        <v>0</v>
      </c>
      <c r="K99" s="103">
        <f t="shared" si="54"/>
        <v>0</v>
      </c>
      <c r="L99" s="103">
        <f t="shared" si="54"/>
        <v>0</v>
      </c>
      <c r="M99" s="103">
        <f t="shared" si="54"/>
        <v>0</v>
      </c>
      <c r="N99" s="103">
        <f t="shared" si="54"/>
        <v>0</v>
      </c>
      <c r="O99" s="103">
        <f t="shared" si="54"/>
        <v>0</v>
      </c>
      <c r="P99" s="103" t="str">
        <f t="shared" si="54"/>
        <v/>
      </c>
      <c r="Q99" s="103" t="str">
        <f t="shared" si="54"/>
        <v/>
      </c>
      <c r="R99" s="103" t="str">
        <f t="shared" si="54"/>
        <v/>
      </c>
      <c r="S99" s="103" t="str">
        <f t="shared" si="54"/>
        <v/>
      </c>
      <c r="T99" s="103" t="str">
        <f t="shared" si="54"/>
        <v/>
      </c>
      <c r="U99" s="103" t="str">
        <f t="shared" si="54"/>
        <v/>
      </c>
      <c r="V99" s="103" t="str">
        <f t="shared" si="54"/>
        <v/>
      </c>
      <c r="W99" s="103" t="str">
        <f t="shared" si="54"/>
        <v/>
      </c>
      <c r="X99" s="103" t="str">
        <f t="shared" si="54"/>
        <v/>
      </c>
      <c r="Y99" s="103" t="str">
        <f t="shared" si="54"/>
        <v/>
      </c>
      <c r="Z99" s="103" t="str">
        <f t="shared" si="54"/>
        <v/>
      </c>
      <c r="AA99" s="103" t="str">
        <f t="shared" si="54"/>
        <v/>
      </c>
      <c r="AB99" s="103" t="str">
        <f t="shared" si="54"/>
        <v/>
      </c>
    </row>
    <row r="100" spans="1:28" ht="18" customHeight="1" outlineLevel="2" x14ac:dyDescent="0.25">
      <c r="A100" s="9" t="str">
        <f t="shared" si="41"/>
        <v>C6 Above [Nl/h]</v>
      </c>
      <c r="B100" s="219"/>
      <c r="C100" s="103">
        <f t="shared" si="42"/>
        <v>3.289811444613374E-2</v>
      </c>
      <c r="D100" s="103">
        <f t="shared" ref="D100:AB100" si="55">IF(D$86="","",D32/100*D$86)</f>
        <v>4.5138768818155414E-2</v>
      </c>
      <c r="E100" s="103">
        <f t="shared" si="55"/>
        <v>4.3324530162005374E-2</v>
      </c>
      <c r="F100" s="103">
        <f t="shared" si="55"/>
        <v>3.7354790640272258E-2</v>
      </c>
      <c r="G100" s="103">
        <f t="shared" si="55"/>
        <v>3.3394128785296837E-2</v>
      </c>
      <c r="H100" s="103">
        <f t="shared" si="55"/>
        <v>0.12743748926597542</v>
      </c>
      <c r="I100" s="103">
        <f t="shared" si="55"/>
        <v>6.972202201720247E-2</v>
      </c>
      <c r="J100" s="103">
        <f t="shared" si="55"/>
        <v>1.5569553396836864E-2</v>
      </c>
      <c r="K100" s="103">
        <f t="shared" si="55"/>
        <v>6.1581903680585654E-3</v>
      </c>
      <c r="L100" s="103">
        <f t="shared" si="55"/>
        <v>5.4602834202262017E-3</v>
      </c>
      <c r="M100" s="103">
        <f t="shared" si="55"/>
        <v>5.1839953150202549E-3</v>
      </c>
      <c r="N100" s="103">
        <f t="shared" si="55"/>
        <v>6.0336211645553054E-3</v>
      </c>
      <c r="O100" s="103">
        <f t="shared" si="55"/>
        <v>0</v>
      </c>
      <c r="P100" s="103" t="str">
        <f t="shared" si="55"/>
        <v/>
      </c>
      <c r="Q100" s="103" t="str">
        <f t="shared" si="55"/>
        <v/>
      </c>
      <c r="R100" s="103" t="str">
        <f t="shared" si="55"/>
        <v/>
      </c>
      <c r="S100" s="103" t="str">
        <f t="shared" si="55"/>
        <v/>
      </c>
      <c r="T100" s="103" t="str">
        <f t="shared" si="55"/>
        <v/>
      </c>
      <c r="U100" s="103" t="str">
        <f t="shared" si="55"/>
        <v/>
      </c>
      <c r="V100" s="103" t="str">
        <f t="shared" si="55"/>
        <v/>
      </c>
      <c r="W100" s="103" t="str">
        <f t="shared" si="55"/>
        <v/>
      </c>
      <c r="X100" s="103" t="str">
        <f t="shared" si="55"/>
        <v/>
      </c>
      <c r="Y100" s="103" t="str">
        <f t="shared" si="55"/>
        <v/>
      </c>
      <c r="Z100" s="103" t="str">
        <f t="shared" si="55"/>
        <v/>
      </c>
      <c r="AA100" s="103" t="str">
        <f t="shared" si="55"/>
        <v/>
      </c>
      <c r="AB100" s="103" t="str">
        <f t="shared" si="55"/>
        <v/>
      </c>
    </row>
    <row r="101" spans="1:28" ht="18" customHeight="1" outlineLevel="2" x14ac:dyDescent="0.25">
      <c r="A101" s="9" t="str">
        <f t="shared" si="41"/>
        <v>Benzene [Nl/h]</v>
      </c>
      <c r="B101" s="219"/>
      <c r="C101" s="103">
        <f t="shared" si="42"/>
        <v>0</v>
      </c>
      <c r="D101" s="103">
        <f t="shared" ref="D101:AB101" si="56">IF(D$86="","",D33/100*D$86)</f>
        <v>0</v>
      </c>
      <c r="E101" s="103">
        <f t="shared" si="56"/>
        <v>0</v>
      </c>
      <c r="F101" s="103">
        <f t="shared" si="56"/>
        <v>0</v>
      </c>
      <c r="G101" s="103">
        <f t="shared" si="56"/>
        <v>0</v>
      </c>
      <c r="H101" s="103">
        <f t="shared" si="56"/>
        <v>0</v>
      </c>
      <c r="I101" s="103">
        <f t="shared" si="56"/>
        <v>0</v>
      </c>
      <c r="J101" s="103">
        <f t="shared" si="56"/>
        <v>0</v>
      </c>
      <c r="K101" s="103">
        <f t="shared" si="56"/>
        <v>0</v>
      </c>
      <c r="L101" s="103">
        <f t="shared" si="56"/>
        <v>0</v>
      </c>
      <c r="M101" s="103">
        <f t="shared" si="56"/>
        <v>0</v>
      </c>
      <c r="N101" s="103">
        <f t="shared" si="56"/>
        <v>0</v>
      </c>
      <c r="O101" s="103">
        <f t="shared" si="56"/>
        <v>0</v>
      </c>
      <c r="P101" s="103" t="str">
        <f t="shared" si="56"/>
        <v/>
      </c>
      <c r="Q101" s="103" t="str">
        <f t="shared" si="56"/>
        <v/>
      </c>
      <c r="R101" s="103" t="str">
        <f t="shared" si="56"/>
        <v/>
      </c>
      <c r="S101" s="103" t="str">
        <f t="shared" si="56"/>
        <v/>
      </c>
      <c r="T101" s="103" t="str">
        <f t="shared" si="56"/>
        <v/>
      </c>
      <c r="U101" s="103" t="str">
        <f t="shared" si="56"/>
        <v/>
      </c>
      <c r="V101" s="103" t="str">
        <f t="shared" si="56"/>
        <v/>
      </c>
      <c r="W101" s="103" t="str">
        <f t="shared" si="56"/>
        <v/>
      </c>
      <c r="X101" s="103" t="str">
        <f t="shared" si="56"/>
        <v/>
      </c>
      <c r="Y101" s="103" t="str">
        <f t="shared" si="56"/>
        <v/>
      </c>
      <c r="Z101" s="103" t="str">
        <f t="shared" si="56"/>
        <v/>
      </c>
      <c r="AA101" s="103" t="str">
        <f t="shared" si="56"/>
        <v/>
      </c>
      <c r="AB101" s="103" t="str">
        <f t="shared" si="56"/>
        <v/>
      </c>
    </row>
    <row r="102" spans="1:28" ht="18" customHeight="1" outlineLevel="2" x14ac:dyDescent="0.25">
      <c r="A102" s="9" t="str">
        <f t="shared" si="41"/>
        <v>Toluene [Nl/h]</v>
      </c>
      <c r="B102" s="219"/>
      <c r="C102" s="103">
        <f t="shared" si="42"/>
        <v>0</v>
      </c>
      <c r="D102" s="103">
        <f t="shared" ref="D102:AB102" si="57">IF(D$86="","",D34/100*D$86)</f>
        <v>0</v>
      </c>
      <c r="E102" s="103">
        <f t="shared" si="57"/>
        <v>0</v>
      </c>
      <c r="F102" s="103">
        <f t="shared" si="57"/>
        <v>0</v>
      </c>
      <c r="G102" s="103">
        <f t="shared" si="57"/>
        <v>0</v>
      </c>
      <c r="H102" s="103">
        <f t="shared" si="57"/>
        <v>0</v>
      </c>
      <c r="I102" s="103">
        <f t="shared" si="57"/>
        <v>0</v>
      </c>
      <c r="J102" s="103">
        <f t="shared" si="57"/>
        <v>0</v>
      </c>
      <c r="K102" s="103">
        <f t="shared" si="57"/>
        <v>0</v>
      </c>
      <c r="L102" s="103">
        <f t="shared" si="57"/>
        <v>0</v>
      </c>
      <c r="M102" s="103">
        <f t="shared" si="57"/>
        <v>0</v>
      </c>
      <c r="N102" s="103">
        <f t="shared" si="57"/>
        <v>0</v>
      </c>
      <c r="O102" s="103">
        <f t="shared" si="57"/>
        <v>0</v>
      </c>
      <c r="P102" s="103" t="str">
        <f t="shared" si="57"/>
        <v/>
      </c>
      <c r="Q102" s="103" t="str">
        <f t="shared" si="57"/>
        <v/>
      </c>
      <c r="R102" s="103" t="str">
        <f t="shared" si="57"/>
        <v/>
      </c>
      <c r="S102" s="103" t="str">
        <f t="shared" si="57"/>
        <v/>
      </c>
      <c r="T102" s="103" t="str">
        <f t="shared" si="57"/>
        <v/>
      </c>
      <c r="U102" s="103" t="str">
        <f t="shared" si="57"/>
        <v/>
      </c>
      <c r="V102" s="103" t="str">
        <f t="shared" si="57"/>
        <v/>
      </c>
      <c r="W102" s="103" t="str">
        <f t="shared" si="57"/>
        <v/>
      </c>
      <c r="X102" s="103" t="str">
        <f t="shared" si="57"/>
        <v/>
      </c>
      <c r="Y102" s="103" t="str">
        <f t="shared" si="57"/>
        <v/>
      </c>
      <c r="Z102" s="103" t="str">
        <f t="shared" si="57"/>
        <v/>
      </c>
      <c r="AA102" s="103" t="str">
        <f t="shared" si="57"/>
        <v/>
      </c>
      <c r="AB102" s="103" t="str">
        <f t="shared" si="57"/>
        <v/>
      </c>
    </row>
    <row r="103" spans="1:28" ht="18" customHeight="1" outlineLevel="2" x14ac:dyDescent="0.25">
      <c r="A103" s="9" t="str">
        <f t="shared" si="41"/>
        <v>Ethylbenzene [Nl/h]</v>
      </c>
      <c r="B103" s="219"/>
      <c r="C103" s="103">
        <f t="shared" si="42"/>
        <v>0</v>
      </c>
      <c r="D103" s="103">
        <f t="shared" ref="D103:AB103" si="58">IF(D$86="","",D35/100*D$86)</f>
        <v>0</v>
      </c>
      <c r="E103" s="103">
        <f t="shared" si="58"/>
        <v>0</v>
      </c>
      <c r="F103" s="103">
        <f t="shared" si="58"/>
        <v>0</v>
      </c>
      <c r="G103" s="103">
        <f t="shared" si="58"/>
        <v>0</v>
      </c>
      <c r="H103" s="103">
        <f t="shared" si="58"/>
        <v>0</v>
      </c>
      <c r="I103" s="103">
        <f t="shared" si="58"/>
        <v>0</v>
      </c>
      <c r="J103" s="103">
        <f t="shared" si="58"/>
        <v>0</v>
      </c>
      <c r="K103" s="103">
        <f t="shared" si="58"/>
        <v>0</v>
      </c>
      <c r="L103" s="103">
        <f t="shared" si="58"/>
        <v>0</v>
      </c>
      <c r="M103" s="103">
        <f t="shared" si="58"/>
        <v>0</v>
      </c>
      <c r="N103" s="103">
        <f t="shared" si="58"/>
        <v>0</v>
      </c>
      <c r="O103" s="103">
        <f t="shared" si="58"/>
        <v>0</v>
      </c>
      <c r="P103" s="103" t="str">
        <f t="shared" si="58"/>
        <v/>
      </c>
      <c r="Q103" s="103" t="str">
        <f t="shared" si="58"/>
        <v/>
      </c>
      <c r="R103" s="103" t="str">
        <f t="shared" si="58"/>
        <v/>
      </c>
      <c r="S103" s="103" t="str">
        <f t="shared" si="58"/>
        <v/>
      </c>
      <c r="T103" s="103" t="str">
        <f t="shared" si="58"/>
        <v/>
      </c>
      <c r="U103" s="103" t="str">
        <f t="shared" si="58"/>
        <v/>
      </c>
      <c r="V103" s="103" t="str">
        <f t="shared" si="58"/>
        <v/>
      </c>
      <c r="W103" s="103" t="str">
        <f t="shared" si="58"/>
        <v/>
      </c>
      <c r="X103" s="103" t="str">
        <f t="shared" si="58"/>
        <v/>
      </c>
      <c r="Y103" s="103" t="str">
        <f t="shared" si="58"/>
        <v/>
      </c>
      <c r="Z103" s="103" t="str">
        <f t="shared" si="58"/>
        <v/>
      </c>
      <c r="AA103" s="103" t="str">
        <f t="shared" si="58"/>
        <v/>
      </c>
      <c r="AB103" s="103" t="str">
        <f t="shared" si="58"/>
        <v/>
      </c>
    </row>
    <row r="104" spans="1:28" ht="18" customHeight="1" outlineLevel="2" x14ac:dyDescent="0.25">
      <c r="A104" s="9" t="str">
        <f t="shared" si="41"/>
        <v>p-Xylene [Nl/h]</v>
      </c>
      <c r="B104" s="219"/>
      <c r="C104" s="103">
        <f t="shared" si="42"/>
        <v>0</v>
      </c>
      <c r="D104" s="103">
        <f t="shared" ref="D104:AB104" si="59">IF(D$86="","",D36/100*D$86)</f>
        <v>0</v>
      </c>
      <c r="E104" s="103">
        <f t="shared" si="59"/>
        <v>0</v>
      </c>
      <c r="F104" s="103">
        <f t="shared" si="59"/>
        <v>0</v>
      </c>
      <c r="G104" s="103">
        <f t="shared" si="59"/>
        <v>0</v>
      </c>
      <c r="H104" s="103">
        <f t="shared" si="59"/>
        <v>0</v>
      </c>
      <c r="I104" s="103">
        <f t="shared" si="59"/>
        <v>0</v>
      </c>
      <c r="J104" s="103">
        <f t="shared" si="59"/>
        <v>0</v>
      </c>
      <c r="K104" s="103">
        <f t="shared" si="59"/>
        <v>0</v>
      </c>
      <c r="L104" s="103">
        <f t="shared" si="59"/>
        <v>0</v>
      </c>
      <c r="M104" s="103">
        <f t="shared" si="59"/>
        <v>0</v>
      </c>
      <c r="N104" s="103">
        <f t="shared" si="59"/>
        <v>0</v>
      </c>
      <c r="O104" s="103">
        <f t="shared" si="59"/>
        <v>0</v>
      </c>
      <c r="P104" s="103" t="str">
        <f t="shared" si="59"/>
        <v/>
      </c>
      <c r="Q104" s="103" t="str">
        <f t="shared" si="59"/>
        <v/>
      </c>
      <c r="R104" s="103" t="str">
        <f t="shared" si="59"/>
        <v/>
      </c>
      <c r="S104" s="103" t="str">
        <f t="shared" si="59"/>
        <v/>
      </c>
      <c r="T104" s="103" t="str">
        <f t="shared" si="59"/>
        <v/>
      </c>
      <c r="U104" s="103" t="str">
        <f t="shared" si="59"/>
        <v/>
      </c>
      <c r="V104" s="103" t="str">
        <f t="shared" si="59"/>
        <v/>
      </c>
      <c r="W104" s="103" t="str">
        <f t="shared" si="59"/>
        <v/>
      </c>
      <c r="X104" s="103" t="str">
        <f t="shared" si="59"/>
        <v/>
      </c>
      <c r="Y104" s="103" t="str">
        <f t="shared" si="59"/>
        <v/>
      </c>
      <c r="Z104" s="103" t="str">
        <f t="shared" si="59"/>
        <v/>
      </c>
      <c r="AA104" s="103" t="str">
        <f t="shared" si="59"/>
        <v/>
      </c>
      <c r="AB104" s="103" t="str">
        <f t="shared" si="59"/>
        <v/>
      </c>
    </row>
    <row r="105" spans="1:28" ht="18" customHeight="1" outlineLevel="2" x14ac:dyDescent="0.25">
      <c r="A105" s="9" t="str">
        <f t="shared" si="41"/>
        <v>m-Xylene [Nl/h]</v>
      </c>
      <c r="B105" s="219"/>
      <c r="C105" s="103">
        <f t="shared" si="42"/>
        <v>3.3648324489026784E-3</v>
      </c>
      <c r="D105" s="103">
        <f t="shared" ref="D105:AB105" si="60">IF(D$86="","",D37/100*D$86)</f>
        <v>1.1307050779526618E-2</v>
      </c>
      <c r="E105" s="103">
        <f t="shared" si="60"/>
        <v>6.2763714072796061E-3</v>
      </c>
      <c r="F105" s="103">
        <f t="shared" si="60"/>
        <v>3.2356052089436336E-3</v>
      </c>
      <c r="G105" s="103">
        <f t="shared" si="60"/>
        <v>2.1943344309420299E-3</v>
      </c>
      <c r="H105" s="103">
        <f t="shared" si="60"/>
        <v>6.4424636786172846E-3</v>
      </c>
      <c r="I105" s="103">
        <f t="shared" si="60"/>
        <v>6.5702269642616525E-3</v>
      </c>
      <c r="J105" s="103">
        <f t="shared" si="60"/>
        <v>1.3638730742536345E-3</v>
      </c>
      <c r="K105" s="103">
        <f t="shared" si="60"/>
        <v>8.0331165848896737E-4</v>
      </c>
      <c r="L105" s="103">
        <f t="shared" si="60"/>
        <v>6.8672766033848088E-4</v>
      </c>
      <c r="M105" s="103">
        <f t="shared" si="60"/>
        <v>7.2825072817290083E-4</v>
      </c>
      <c r="N105" s="103">
        <f t="shared" si="60"/>
        <v>7.6977379600732068E-4</v>
      </c>
      <c r="O105" s="103">
        <f t="shared" si="60"/>
        <v>0</v>
      </c>
      <c r="P105" s="103" t="str">
        <f t="shared" si="60"/>
        <v/>
      </c>
      <c r="Q105" s="103" t="str">
        <f t="shared" si="60"/>
        <v/>
      </c>
      <c r="R105" s="103" t="str">
        <f t="shared" si="60"/>
        <v/>
      </c>
      <c r="S105" s="103" t="str">
        <f t="shared" si="60"/>
        <v/>
      </c>
      <c r="T105" s="103" t="str">
        <f t="shared" si="60"/>
        <v/>
      </c>
      <c r="U105" s="103" t="str">
        <f t="shared" si="60"/>
        <v/>
      </c>
      <c r="V105" s="103" t="str">
        <f t="shared" si="60"/>
        <v/>
      </c>
      <c r="W105" s="103" t="str">
        <f t="shared" si="60"/>
        <v/>
      </c>
      <c r="X105" s="103" t="str">
        <f t="shared" si="60"/>
        <v/>
      </c>
      <c r="Y105" s="103" t="str">
        <f t="shared" si="60"/>
        <v/>
      </c>
      <c r="Z105" s="103" t="str">
        <f t="shared" si="60"/>
        <v/>
      </c>
      <c r="AA105" s="103" t="str">
        <f t="shared" si="60"/>
        <v/>
      </c>
      <c r="AB105" s="103" t="str">
        <f t="shared" si="60"/>
        <v/>
      </c>
    </row>
    <row r="106" spans="1:28" ht="18" customHeight="1" outlineLevel="2" x14ac:dyDescent="0.25">
      <c r="A106" s="9" t="str">
        <f t="shared" si="41"/>
        <v>o-Xylene [Nl/h]</v>
      </c>
      <c r="B106" s="219"/>
      <c r="C106" s="103">
        <f t="shared" si="42"/>
        <v>0</v>
      </c>
      <c r="D106" s="103">
        <f t="shared" ref="D106:AB106" si="61">IF(D$86="","",D38/100*D$86)</f>
        <v>0</v>
      </c>
      <c r="E106" s="103">
        <f t="shared" si="61"/>
        <v>0</v>
      </c>
      <c r="F106" s="103">
        <f t="shared" si="61"/>
        <v>0</v>
      </c>
      <c r="G106" s="103">
        <f t="shared" si="61"/>
        <v>0</v>
      </c>
      <c r="H106" s="103">
        <f t="shared" si="61"/>
        <v>0</v>
      </c>
      <c r="I106" s="103">
        <f t="shared" si="61"/>
        <v>0</v>
      </c>
      <c r="J106" s="103">
        <f t="shared" si="61"/>
        <v>0</v>
      </c>
      <c r="K106" s="103">
        <f t="shared" si="61"/>
        <v>0</v>
      </c>
      <c r="L106" s="103">
        <f t="shared" si="61"/>
        <v>0</v>
      </c>
      <c r="M106" s="103">
        <f t="shared" si="61"/>
        <v>0</v>
      </c>
      <c r="N106" s="103">
        <f t="shared" si="61"/>
        <v>0</v>
      </c>
      <c r="O106" s="103">
        <f t="shared" si="61"/>
        <v>0</v>
      </c>
      <c r="P106" s="103" t="str">
        <f t="shared" si="61"/>
        <v/>
      </c>
      <c r="Q106" s="103" t="str">
        <f t="shared" si="61"/>
        <v/>
      </c>
      <c r="R106" s="103" t="str">
        <f t="shared" si="61"/>
        <v/>
      </c>
      <c r="S106" s="103" t="str">
        <f t="shared" si="61"/>
        <v/>
      </c>
      <c r="T106" s="103" t="str">
        <f t="shared" si="61"/>
        <v/>
      </c>
      <c r="U106" s="103" t="str">
        <f t="shared" si="61"/>
        <v/>
      </c>
      <c r="V106" s="103" t="str">
        <f t="shared" si="61"/>
        <v/>
      </c>
      <c r="W106" s="103" t="str">
        <f t="shared" si="61"/>
        <v/>
      </c>
      <c r="X106" s="103" t="str">
        <f t="shared" si="61"/>
        <v/>
      </c>
      <c r="Y106" s="103" t="str">
        <f t="shared" si="61"/>
        <v/>
      </c>
      <c r="Z106" s="103" t="str">
        <f t="shared" si="61"/>
        <v/>
      </c>
      <c r="AA106" s="103" t="str">
        <f t="shared" si="61"/>
        <v/>
      </c>
      <c r="AB106" s="103" t="str">
        <f t="shared" si="61"/>
        <v/>
      </c>
    </row>
    <row r="107" spans="1:28" ht="18" customHeight="1" outlineLevel="2" x14ac:dyDescent="0.25">
      <c r="A107" s="9" t="str">
        <f t="shared" si="41"/>
        <v>C6 Unknowns [Nl/h]</v>
      </c>
      <c r="B107" s="219"/>
      <c r="C107" s="103">
        <f t="shared" si="42"/>
        <v>6.0814392359428281E-2</v>
      </c>
      <c r="D107" s="103">
        <f t="shared" ref="D107:AB107" si="62">IF(D$86="","",D39/100*D$86)</f>
        <v>2.1975285130831392E-3</v>
      </c>
      <c r="E107" s="103">
        <f t="shared" si="62"/>
        <v>8.4754969614332983E-3</v>
      </c>
      <c r="F107" s="103">
        <f t="shared" si="62"/>
        <v>1.0168360496221183E-2</v>
      </c>
      <c r="G107" s="103">
        <f t="shared" si="62"/>
        <v>9.9719244445429667E-3</v>
      </c>
      <c r="H107" s="103">
        <f t="shared" si="62"/>
        <v>0.67233991733385456</v>
      </c>
      <c r="I107" s="103">
        <f t="shared" si="62"/>
        <v>8.7485909844981363E-3</v>
      </c>
      <c r="J107" s="103">
        <f t="shared" si="62"/>
        <v>3.1557531554159035E-3</v>
      </c>
      <c r="K107" s="103">
        <f t="shared" si="62"/>
        <v>4.6665540081605615E-3</v>
      </c>
      <c r="L107" s="103">
        <f t="shared" si="62"/>
        <v>3.1924851000386593E-3</v>
      </c>
      <c r="M107" s="103">
        <f t="shared" si="62"/>
        <v>3.1525590732747943E-3</v>
      </c>
      <c r="N107" s="103">
        <f t="shared" si="62"/>
        <v>3.7035382426161335E-3</v>
      </c>
      <c r="O107" s="103">
        <f t="shared" si="62"/>
        <v>0</v>
      </c>
      <c r="P107" s="103" t="str">
        <f t="shared" si="62"/>
        <v/>
      </c>
      <c r="Q107" s="103" t="str">
        <f t="shared" si="62"/>
        <v/>
      </c>
      <c r="R107" s="103" t="str">
        <f t="shared" si="62"/>
        <v/>
      </c>
      <c r="S107" s="103" t="str">
        <f t="shared" si="62"/>
        <v/>
      </c>
      <c r="T107" s="103" t="str">
        <f t="shared" si="62"/>
        <v/>
      </c>
      <c r="U107" s="103" t="str">
        <f t="shared" si="62"/>
        <v/>
      </c>
      <c r="V107" s="103" t="str">
        <f t="shared" si="62"/>
        <v/>
      </c>
      <c r="W107" s="103" t="str">
        <f t="shared" si="62"/>
        <v/>
      </c>
      <c r="X107" s="103" t="str">
        <f t="shared" si="62"/>
        <v/>
      </c>
      <c r="Y107" s="103" t="str">
        <f t="shared" si="62"/>
        <v/>
      </c>
      <c r="Z107" s="103" t="str">
        <f t="shared" si="62"/>
        <v/>
      </c>
      <c r="AA107" s="103" t="str">
        <f t="shared" si="62"/>
        <v/>
      </c>
      <c r="AB107" s="103" t="str">
        <f t="shared" si="62"/>
        <v/>
      </c>
    </row>
    <row r="108" spans="1:28" ht="18" customHeight="1" outlineLevel="2" x14ac:dyDescent="0.25">
      <c r="A108" s="9" t="str">
        <f t="shared" si="41"/>
        <v>C8 Unknowns [Nl/h]</v>
      </c>
      <c r="B108" s="219"/>
      <c r="C108" s="103">
        <f t="shared" si="42"/>
        <v>0</v>
      </c>
      <c r="D108" s="103">
        <f t="shared" ref="D108:AB108" si="63">IF(D$86="","",D40/100*D$86)</f>
        <v>0</v>
      </c>
      <c r="E108" s="103">
        <f t="shared" si="63"/>
        <v>0</v>
      </c>
      <c r="F108" s="103">
        <f t="shared" si="63"/>
        <v>0</v>
      </c>
      <c r="G108" s="103">
        <f t="shared" si="63"/>
        <v>0</v>
      </c>
      <c r="H108" s="103">
        <f t="shared" si="63"/>
        <v>0</v>
      </c>
      <c r="I108" s="103">
        <f t="shared" si="63"/>
        <v>0</v>
      </c>
      <c r="J108" s="103">
        <f t="shared" si="63"/>
        <v>0</v>
      </c>
      <c r="K108" s="103">
        <f t="shared" si="63"/>
        <v>0</v>
      </c>
      <c r="L108" s="103">
        <f t="shared" si="63"/>
        <v>0</v>
      </c>
      <c r="M108" s="103">
        <f t="shared" si="63"/>
        <v>0</v>
      </c>
      <c r="N108" s="103">
        <f t="shared" si="63"/>
        <v>0</v>
      </c>
      <c r="O108" s="103">
        <f t="shared" si="63"/>
        <v>0</v>
      </c>
      <c r="P108" s="103" t="str">
        <f t="shared" si="63"/>
        <v/>
      </c>
      <c r="Q108" s="103" t="str">
        <f t="shared" si="63"/>
        <v/>
      </c>
      <c r="R108" s="103" t="str">
        <f t="shared" si="63"/>
        <v/>
      </c>
      <c r="S108" s="103" t="str">
        <f t="shared" si="63"/>
        <v/>
      </c>
      <c r="T108" s="103" t="str">
        <f t="shared" si="63"/>
        <v/>
      </c>
      <c r="U108" s="103" t="str">
        <f t="shared" si="63"/>
        <v/>
      </c>
      <c r="V108" s="103" t="str">
        <f t="shared" si="63"/>
        <v/>
      </c>
      <c r="W108" s="103" t="str">
        <f t="shared" si="63"/>
        <v/>
      </c>
      <c r="X108" s="103" t="str">
        <f t="shared" si="63"/>
        <v/>
      </c>
      <c r="Y108" s="103" t="str">
        <f t="shared" si="63"/>
        <v/>
      </c>
      <c r="Z108" s="103" t="str">
        <f t="shared" si="63"/>
        <v/>
      </c>
      <c r="AA108" s="103" t="str">
        <f t="shared" si="63"/>
        <v/>
      </c>
      <c r="AB108" s="103" t="str">
        <f t="shared" si="63"/>
        <v/>
      </c>
    </row>
    <row r="109" spans="1:28" ht="18" customHeight="1" outlineLevel="2" x14ac:dyDescent="0.25">
      <c r="A109" s="9" t="str">
        <f t="shared" si="41"/>
        <v>C7 Unknowns [Nl/h]</v>
      </c>
      <c r="B109" s="219"/>
      <c r="C109" s="103">
        <f t="shared" si="42"/>
        <v>0</v>
      </c>
      <c r="D109" s="103">
        <f t="shared" ref="D109:AB109" si="64">IF(D$86="","",D41/100*D$86)</f>
        <v>0</v>
      </c>
      <c r="E109" s="103">
        <f t="shared" si="64"/>
        <v>0</v>
      </c>
      <c r="F109" s="103">
        <f t="shared" si="64"/>
        <v>0</v>
      </c>
      <c r="G109" s="103">
        <f t="shared" si="64"/>
        <v>0</v>
      </c>
      <c r="H109" s="103">
        <f t="shared" si="64"/>
        <v>0</v>
      </c>
      <c r="I109" s="103">
        <f t="shared" si="64"/>
        <v>0</v>
      </c>
      <c r="J109" s="103">
        <f t="shared" si="64"/>
        <v>0</v>
      </c>
      <c r="K109" s="103">
        <f t="shared" si="64"/>
        <v>0</v>
      </c>
      <c r="L109" s="103">
        <f t="shared" si="64"/>
        <v>0</v>
      </c>
      <c r="M109" s="103">
        <f t="shared" si="64"/>
        <v>0</v>
      </c>
      <c r="N109" s="103">
        <f t="shared" si="64"/>
        <v>0</v>
      </c>
      <c r="O109" s="103">
        <f t="shared" si="64"/>
        <v>0</v>
      </c>
      <c r="P109" s="103" t="str">
        <f t="shared" si="64"/>
        <v/>
      </c>
      <c r="Q109" s="103" t="str">
        <f t="shared" si="64"/>
        <v/>
      </c>
      <c r="R109" s="103" t="str">
        <f t="shared" si="64"/>
        <v/>
      </c>
      <c r="S109" s="103" t="str">
        <f t="shared" si="64"/>
        <v/>
      </c>
      <c r="T109" s="103" t="str">
        <f t="shared" si="64"/>
        <v/>
      </c>
      <c r="U109" s="103" t="str">
        <f t="shared" si="64"/>
        <v/>
      </c>
      <c r="V109" s="103" t="str">
        <f t="shared" si="64"/>
        <v/>
      </c>
      <c r="W109" s="103" t="str">
        <f t="shared" si="64"/>
        <v/>
      </c>
      <c r="X109" s="103" t="str">
        <f t="shared" si="64"/>
        <v/>
      </c>
      <c r="Y109" s="103" t="str">
        <f t="shared" si="64"/>
        <v/>
      </c>
      <c r="Z109" s="103" t="str">
        <f t="shared" si="64"/>
        <v/>
      </c>
      <c r="AA109" s="103" t="str">
        <f t="shared" si="64"/>
        <v/>
      </c>
      <c r="AB109" s="103" t="str">
        <f t="shared" si="64"/>
        <v/>
      </c>
    </row>
    <row r="110" spans="1:28" ht="18" customHeight="1" outlineLevel="2" x14ac:dyDescent="0.25">
      <c r="A110" s="9" t="str">
        <f t="shared" si="41"/>
        <v>CO2 [Nl/h]</v>
      </c>
      <c r="B110" s="219"/>
      <c r="C110" s="103">
        <f t="shared" si="42"/>
        <v>0</v>
      </c>
      <c r="D110" s="103">
        <f t="shared" ref="D110:AB110" si="65">IF(D$86="","",D42/100*D$86)</f>
        <v>0</v>
      </c>
      <c r="E110" s="103">
        <f t="shared" si="65"/>
        <v>0</v>
      </c>
      <c r="F110" s="103">
        <f t="shared" si="65"/>
        <v>0</v>
      </c>
      <c r="G110" s="103">
        <f t="shared" si="65"/>
        <v>0</v>
      </c>
      <c r="H110" s="103">
        <f t="shared" si="65"/>
        <v>0</v>
      </c>
      <c r="I110" s="103">
        <f t="shared" si="65"/>
        <v>0</v>
      </c>
      <c r="J110" s="103">
        <f t="shared" si="65"/>
        <v>0</v>
      </c>
      <c r="K110" s="103">
        <f t="shared" si="65"/>
        <v>0</v>
      </c>
      <c r="L110" s="103">
        <f t="shared" si="65"/>
        <v>0</v>
      </c>
      <c r="M110" s="103">
        <f t="shared" si="65"/>
        <v>0</v>
      </c>
      <c r="N110" s="103">
        <f t="shared" si="65"/>
        <v>0</v>
      </c>
      <c r="O110" s="103">
        <f t="shared" si="65"/>
        <v>0</v>
      </c>
      <c r="P110" s="103" t="str">
        <f t="shared" si="65"/>
        <v/>
      </c>
      <c r="Q110" s="103" t="str">
        <f t="shared" si="65"/>
        <v/>
      </c>
      <c r="R110" s="103" t="str">
        <f t="shared" si="65"/>
        <v/>
      </c>
      <c r="S110" s="103" t="str">
        <f t="shared" si="65"/>
        <v/>
      </c>
      <c r="T110" s="103" t="str">
        <f t="shared" si="65"/>
        <v/>
      </c>
      <c r="U110" s="103" t="str">
        <f t="shared" si="65"/>
        <v/>
      </c>
      <c r="V110" s="103" t="str">
        <f t="shared" si="65"/>
        <v/>
      </c>
      <c r="W110" s="103" t="str">
        <f t="shared" si="65"/>
        <v/>
      </c>
      <c r="X110" s="103" t="str">
        <f t="shared" si="65"/>
        <v/>
      </c>
      <c r="Y110" s="103" t="str">
        <f t="shared" si="65"/>
        <v/>
      </c>
      <c r="Z110" s="103" t="str">
        <f t="shared" si="65"/>
        <v/>
      </c>
      <c r="AA110" s="103" t="str">
        <f t="shared" si="65"/>
        <v/>
      </c>
      <c r="AB110" s="103" t="str">
        <f t="shared" si="65"/>
        <v/>
      </c>
    </row>
    <row r="111" spans="1:28" ht="18" customHeight="1" outlineLevel="2" x14ac:dyDescent="0.25">
      <c r="A111" s="9" t="str">
        <f t="shared" si="41"/>
        <v>Argon [Nl/h]</v>
      </c>
      <c r="B111" s="219"/>
      <c r="C111" s="103">
        <f t="shared" si="42"/>
        <v>6.6883514416114451</v>
      </c>
      <c r="D111" s="103">
        <f t="shared" ref="D111:AB111" si="66">IF(D$86="","",D43/100*D$86)</f>
        <v>6.8389035717253366</v>
      </c>
      <c r="E111" s="103">
        <f t="shared" si="66"/>
        <v>6.8949645044250154</v>
      </c>
      <c r="F111" s="103">
        <f t="shared" si="66"/>
        <v>6.8960584775583449</v>
      </c>
      <c r="G111" s="103">
        <f t="shared" si="66"/>
        <v>6.9012600403251403</v>
      </c>
      <c r="H111" s="103">
        <f t="shared" si="66"/>
        <v>4.5094131520233409</v>
      </c>
      <c r="I111" s="103">
        <f t="shared" si="66"/>
        <v>6.9047815158857135</v>
      </c>
      <c r="J111" s="103">
        <f t="shared" si="66"/>
        <v>6.8499439166460814</v>
      </c>
      <c r="K111" s="103">
        <f t="shared" si="66"/>
        <v>6.8814647162556168</v>
      </c>
      <c r="L111" s="103">
        <f t="shared" si="66"/>
        <v>6.8472912314278895</v>
      </c>
      <c r="M111" s="103">
        <f t="shared" si="66"/>
        <v>6.8685670125698177</v>
      </c>
      <c r="N111" s="103">
        <f t="shared" si="66"/>
        <v>6.8965248135509469</v>
      </c>
      <c r="O111" s="103">
        <f t="shared" si="66"/>
        <v>6.9710443469440957</v>
      </c>
      <c r="P111" s="103" t="str">
        <f t="shared" si="66"/>
        <v/>
      </c>
      <c r="Q111" s="103" t="str">
        <f t="shared" si="66"/>
        <v/>
      </c>
      <c r="R111" s="103" t="str">
        <f t="shared" si="66"/>
        <v/>
      </c>
      <c r="S111" s="103" t="str">
        <f t="shared" si="66"/>
        <v/>
      </c>
      <c r="T111" s="103" t="str">
        <f t="shared" si="66"/>
        <v/>
      </c>
      <c r="U111" s="103" t="str">
        <f t="shared" si="66"/>
        <v/>
      </c>
      <c r="V111" s="103" t="str">
        <f t="shared" si="66"/>
        <v/>
      </c>
      <c r="W111" s="103" t="str">
        <f t="shared" si="66"/>
        <v/>
      </c>
      <c r="X111" s="103" t="str">
        <f t="shared" si="66"/>
        <v/>
      </c>
      <c r="Y111" s="103" t="str">
        <f t="shared" si="66"/>
        <v/>
      </c>
      <c r="Z111" s="103" t="str">
        <f t="shared" si="66"/>
        <v/>
      </c>
      <c r="AA111" s="103" t="str">
        <f t="shared" si="66"/>
        <v/>
      </c>
      <c r="AB111" s="103" t="str">
        <f t="shared" si="66"/>
        <v/>
      </c>
    </row>
    <row r="112" spans="1:28" ht="18" customHeight="1" outlineLevel="2" x14ac:dyDescent="0.25">
      <c r="A112" s="9" t="str">
        <f t="shared" si="41"/>
        <v>CO [Nl/h]</v>
      </c>
      <c r="B112" s="219"/>
      <c r="C112" s="103">
        <f t="shared" si="42"/>
        <v>0</v>
      </c>
      <c r="D112" s="103">
        <f t="shared" ref="D112:AB112" si="67">IF(D$86="","",D44/100*D$86)</f>
        <v>0</v>
      </c>
      <c r="E112" s="103">
        <f t="shared" si="67"/>
        <v>0</v>
      </c>
      <c r="F112" s="103">
        <f t="shared" si="67"/>
        <v>0</v>
      </c>
      <c r="G112" s="103">
        <f t="shared" si="67"/>
        <v>0</v>
      </c>
      <c r="H112" s="103">
        <f t="shared" si="67"/>
        <v>0</v>
      </c>
      <c r="I112" s="103">
        <f t="shared" si="67"/>
        <v>0</v>
      </c>
      <c r="J112" s="103">
        <f t="shared" si="67"/>
        <v>0</v>
      </c>
      <c r="K112" s="103">
        <f t="shared" si="67"/>
        <v>0</v>
      </c>
      <c r="L112" s="103">
        <f t="shared" si="67"/>
        <v>0</v>
      </c>
      <c r="M112" s="103">
        <f t="shared" si="67"/>
        <v>0</v>
      </c>
      <c r="N112" s="103">
        <f t="shared" si="67"/>
        <v>0</v>
      </c>
      <c r="O112" s="103">
        <f t="shared" si="67"/>
        <v>0</v>
      </c>
      <c r="P112" s="103" t="str">
        <f t="shared" si="67"/>
        <v/>
      </c>
      <c r="Q112" s="103" t="str">
        <f t="shared" si="67"/>
        <v/>
      </c>
      <c r="R112" s="103" t="str">
        <f t="shared" si="67"/>
        <v/>
      </c>
      <c r="S112" s="103" t="str">
        <f t="shared" si="67"/>
        <v/>
      </c>
      <c r="T112" s="103" t="str">
        <f t="shared" si="67"/>
        <v/>
      </c>
      <c r="U112" s="103" t="str">
        <f t="shared" si="67"/>
        <v/>
      </c>
      <c r="V112" s="103" t="str">
        <f t="shared" si="67"/>
        <v/>
      </c>
      <c r="W112" s="103" t="str">
        <f t="shared" si="67"/>
        <v/>
      </c>
      <c r="X112" s="103" t="str">
        <f t="shared" si="67"/>
        <v/>
      </c>
      <c r="Y112" s="103" t="str">
        <f t="shared" si="67"/>
        <v/>
      </c>
      <c r="Z112" s="103" t="str">
        <f t="shared" si="67"/>
        <v/>
      </c>
      <c r="AA112" s="103" t="str">
        <f t="shared" si="67"/>
        <v/>
      </c>
      <c r="AB112" s="103" t="str">
        <f t="shared" si="67"/>
        <v/>
      </c>
    </row>
    <row r="113" spans="1:28" ht="18" customHeight="1" outlineLevel="2" x14ac:dyDescent="0.25">
      <c r="A113" s="9" t="str">
        <f t="shared" si="41"/>
        <v>H2 [Nl/h]</v>
      </c>
      <c r="B113" s="219"/>
      <c r="C113" s="103">
        <f t="shared" si="42"/>
        <v>33.302812904791146</v>
      </c>
      <c r="D113" s="103">
        <f t="shared" ref="D113:AB113" si="68">IF(D$86="","",D45/100*D$86)</f>
        <v>33.852101073812285</v>
      </c>
      <c r="E113" s="103">
        <f t="shared" si="68"/>
        <v>34.756411206644195</v>
      </c>
      <c r="F113" s="103">
        <f t="shared" si="68"/>
        <v>34.744006988649197</v>
      </c>
      <c r="G113" s="103">
        <f t="shared" si="68"/>
        <v>34.922315027135554</v>
      </c>
      <c r="H113" s="103">
        <f t="shared" si="68"/>
        <v>19.114166888439968</v>
      </c>
      <c r="I113" s="103">
        <f t="shared" si="68"/>
        <v>34.804407081937576</v>
      </c>
      <c r="J113" s="103">
        <f t="shared" si="68"/>
        <v>34.635087190596302</v>
      </c>
      <c r="K113" s="103">
        <f t="shared" si="68"/>
        <v>34.538625909934808</v>
      </c>
      <c r="L113" s="103">
        <f t="shared" si="68"/>
        <v>34.460147311727745</v>
      </c>
      <c r="M113" s="103">
        <f t="shared" si="68"/>
        <v>34.585580514450179</v>
      </c>
      <c r="N113" s="103">
        <f t="shared" si="68"/>
        <v>34.47874485499436</v>
      </c>
      <c r="O113" s="103">
        <f t="shared" si="68"/>
        <v>34.742160809171637</v>
      </c>
      <c r="P113" s="103" t="str">
        <f t="shared" si="68"/>
        <v/>
      </c>
      <c r="Q113" s="103" t="str">
        <f t="shared" si="68"/>
        <v/>
      </c>
      <c r="R113" s="103" t="str">
        <f t="shared" si="68"/>
        <v/>
      </c>
      <c r="S113" s="103" t="str">
        <f t="shared" si="68"/>
        <v/>
      </c>
      <c r="T113" s="103" t="str">
        <f t="shared" si="68"/>
        <v/>
      </c>
      <c r="U113" s="103" t="str">
        <f t="shared" si="68"/>
        <v/>
      </c>
      <c r="V113" s="103" t="str">
        <f t="shared" si="68"/>
        <v/>
      </c>
      <c r="W113" s="103" t="str">
        <f t="shared" si="68"/>
        <v/>
      </c>
      <c r="X113" s="103" t="str">
        <f t="shared" si="68"/>
        <v/>
      </c>
      <c r="Y113" s="103" t="str">
        <f t="shared" si="68"/>
        <v/>
      </c>
      <c r="Z113" s="103" t="str">
        <f t="shared" si="68"/>
        <v/>
      </c>
      <c r="AA113" s="103" t="str">
        <f t="shared" si="68"/>
        <v/>
      </c>
      <c r="AB113" s="103" t="str">
        <f t="shared" si="68"/>
        <v/>
      </c>
    </row>
    <row r="114" spans="1:28" ht="18" customHeight="1" outlineLevel="2" x14ac:dyDescent="0.25">
      <c r="A114" s="9" t="str">
        <f t="shared" si="41"/>
        <v>Acetylene [Nl/h]</v>
      </c>
      <c r="B114" s="219"/>
      <c r="C114" s="103">
        <f t="shared" si="42"/>
        <v>12.36152576001281</v>
      </c>
      <c r="D114" s="103">
        <f t="shared" ref="D114:AB114" si="69">IF(D$86="","",D46/100*D$86)</f>
        <v>12.580758109018879</v>
      </c>
      <c r="E114" s="103">
        <f t="shared" si="69"/>
        <v>12.994482777633545</v>
      </c>
      <c r="F114" s="103">
        <f t="shared" si="69"/>
        <v>13.117887738196369</v>
      </c>
      <c r="G114" s="103">
        <f t="shared" si="69"/>
        <v>13.475085138118752</v>
      </c>
      <c r="H114" s="103">
        <f t="shared" si="69"/>
        <v>5.9457232181141206</v>
      </c>
      <c r="I114" s="103">
        <f t="shared" si="69"/>
        <v>13.509033440155534</v>
      </c>
      <c r="J114" s="103">
        <f t="shared" si="69"/>
        <v>13.550792870068396</v>
      </c>
      <c r="K114" s="103">
        <f t="shared" si="69"/>
        <v>12.742003360707425</v>
      </c>
      <c r="L114" s="103">
        <f t="shared" si="69"/>
        <v>12.582578735839313</v>
      </c>
      <c r="M114" s="103">
        <f t="shared" si="69"/>
        <v>12.555550412761246</v>
      </c>
      <c r="N114" s="103">
        <f t="shared" si="69"/>
        <v>12.615597559973029</v>
      </c>
      <c r="O114" s="103">
        <f t="shared" si="69"/>
        <v>12.668815759567121</v>
      </c>
      <c r="P114" s="103" t="str">
        <f t="shared" si="69"/>
        <v/>
      </c>
      <c r="Q114" s="103" t="str">
        <f t="shared" si="69"/>
        <v/>
      </c>
      <c r="R114" s="103" t="str">
        <f t="shared" si="69"/>
        <v/>
      </c>
      <c r="S114" s="103" t="str">
        <f t="shared" si="69"/>
        <v/>
      </c>
      <c r="T114" s="103" t="str">
        <f t="shared" si="69"/>
        <v/>
      </c>
      <c r="U114" s="103" t="str">
        <f t="shared" si="69"/>
        <v/>
      </c>
      <c r="V114" s="103" t="str">
        <f t="shared" si="69"/>
        <v/>
      </c>
      <c r="W114" s="103" t="str">
        <f t="shared" si="69"/>
        <v/>
      </c>
      <c r="X114" s="103" t="str">
        <f t="shared" si="69"/>
        <v/>
      </c>
      <c r="Y114" s="103" t="str">
        <f t="shared" si="69"/>
        <v/>
      </c>
      <c r="Z114" s="103" t="str">
        <f t="shared" si="69"/>
        <v/>
      </c>
      <c r="AA114" s="103" t="str">
        <f t="shared" si="69"/>
        <v/>
      </c>
      <c r="AB114" s="103" t="str">
        <f t="shared" si="69"/>
        <v/>
      </c>
    </row>
    <row r="115" spans="1:28" ht="18" customHeight="1" outlineLevel="2" x14ac:dyDescent="0.25">
      <c r="A115" s="9" t="str">
        <f t="shared" si="41"/>
        <v>Isobutane [Nl/h]</v>
      </c>
      <c r="B115" s="219"/>
      <c r="C115" s="103">
        <f t="shared" si="42"/>
        <v>1.4147122149996228E-4</v>
      </c>
      <c r="D115" s="103">
        <f t="shared" ref="D115:AB115" si="70">IF(D$86="","",D47/100*D$86)</f>
        <v>1.133899160093771E-3</v>
      </c>
      <c r="E115" s="103">
        <f t="shared" si="70"/>
        <v>5.6375549790577627E-4</v>
      </c>
      <c r="F115" s="103">
        <f t="shared" si="70"/>
        <v>0</v>
      </c>
      <c r="G115" s="103">
        <f t="shared" si="70"/>
        <v>0</v>
      </c>
      <c r="H115" s="103">
        <f t="shared" si="70"/>
        <v>0</v>
      </c>
      <c r="I115" s="103">
        <f t="shared" si="70"/>
        <v>0</v>
      </c>
      <c r="J115" s="103">
        <f t="shared" si="70"/>
        <v>0</v>
      </c>
      <c r="K115" s="103">
        <f t="shared" si="70"/>
        <v>0</v>
      </c>
      <c r="L115" s="103">
        <f t="shared" si="70"/>
        <v>0</v>
      </c>
      <c r="M115" s="103">
        <f t="shared" si="70"/>
        <v>0</v>
      </c>
      <c r="N115" s="103">
        <f t="shared" si="70"/>
        <v>0</v>
      </c>
      <c r="O115" s="103">
        <f t="shared" si="70"/>
        <v>0</v>
      </c>
      <c r="P115" s="103" t="str">
        <f t="shared" si="70"/>
        <v/>
      </c>
      <c r="Q115" s="103" t="str">
        <f t="shared" si="70"/>
        <v/>
      </c>
      <c r="R115" s="103" t="str">
        <f t="shared" si="70"/>
        <v/>
      </c>
      <c r="S115" s="103" t="str">
        <f t="shared" si="70"/>
        <v/>
      </c>
      <c r="T115" s="103" t="str">
        <f t="shared" si="70"/>
        <v/>
      </c>
      <c r="U115" s="103" t="str">
        <f t="shared" si="70"/>
        <v/>
      </c>
      <c r="V115" s="103" t="str">
        <f t="shared" si="70"/>
        <v/>
      </c>
      <c r="W115" s="103" t="str">
        <f t="shared" si="70"/>
        <v/>
      </c>
      <c r="X115" s="103" t="str">
        <f t="shared" si="70"/>
        <v/>
      </c>
      <c r="Y115" s="103" t="str">
        <f t="shared" si="70"/>
        <v/>
      </c>
      <c r="Z115" s="103" t="str">
        <f t="shared" si="70"/>
        <v/>
      </c>
      <c r="AA115" s="103" t="str">
        <f t="shared" si="70"/>
        <v/>
      </c>
      <c r="AB115" s="103" t="str">
        <f t="shared" si="70"/>
        <v/>
      </c>
    </row>
    <row r="116" spans="1:28" ht="18" customHeight="1" outlineLevel="2" x14ac:dyDescent="0.25">
      <c r="A116" s="9" t="str">
        <f t="shared" si="41"/>
        <v>N2 [Nl/h]</v>
      </c>
      <c r="B116" s="219"/>
      <c r="C116" s="103">
        <f t="shared" si="42"/>
        <v>95.850497627534892</v>
      </c>
      <c r="D116" s="103">
        <f t="shared" ref="D116:AB116" si="71">IF(D$86="","",D48/100*D$86)</f>
        <v>91.885548781979068</v>
      </c>
      <c r="E116" s="103">
        <f t="shared" si="71"/>
        <v>93.954346202529095</v>
      </c>
      <c r="F116" s="103">
        <f t="shared" si="71"/>
        <v>93.745628905018307</v>
      </c>
      <c r="G116" s="103">
        <f t="shared" si="71"/>
        <v>93.808177018546573</v>
      </c>
      <c r="H116" s="103">
        <f t="shared" si="71"/>
        <v>115.61672627048885</v>
      </c>
      <c r="I116" s="103">
        <f t="shared" si="71"/>
        <v>93.892066391900656</v>
      </c>
      <c r="J116" s="103">
        <f t="shared" si="71"/>
        <v>93.437684251711829</v>
      </c>
      <c r="K116" s="103">
        <f t="shared" si="71"/>
        <v>94.832539922734213</v>
      </c>
      <c r="L116" s="103">
        <f t="shared" si="71"/>
        <v>94.782608433663327</v>
      </c>
      <c r="M116" s="103">
        <f t="shared" si="71"/>
        <v>94.876140741001421</v>
      </c>
      <c r="N116" s="103">
        <f t="shared" si="71"/>
        <v>94.804115785760487</v>
      </c>
      <c r="O116" s="103">
        <f t="shared" si="71"/>
        <v>94.570388825084834</v>
      </c>
      <c r="P116" s="103" t="str">
        <f t="shared" si="71"/>
        <v/>
      </c>
      <c r="Q116" s="103" t="str">
        <f t="shared" si="71"/>
        <v/>
      </c>
      <c r="R116" s="103" t="str">
        <f t="shared" si="71"/>
        <v/>
      </c>
      <c r="S116" s="103" t="str">
        <f t="shared" si="71"/>
        <v/>
      </c>
      <c r="T116" s="103" t="str">
        <f t="shared" si="71"/>
        <v/>
      </c>
      <c r="U116" s="103" t="str">
        <f t="shared" si="71"/>
        <v/>
      </c>
      <c r="V116" s="103" t="str">
        <f t="shared" si="71"/>
        <v/>
      </c>
      <c r="W116" s="103" t="str">
        <f t="shared" si="71"/>
        <v/>
      </c>
      <c r="X116" s="103" t="str">
        <f t="shared" si="71"/>
        <v/>
      </c>
      <c r="Y116" s="103" t="str">
        <f t="shared" si="71"/>
        <v/>
      </c>
      <c r="Z116" s="103" t="str">
        <f t="shared" si="71"/>
        <v/>
      </c>
      <c r="AA116" s="103" t="str">
        <f t="shared" si="71"/>
        <v/>
      </c>
      <c r="AB116" s="103" t="str">
        <f t="shared" si="71"/>
        <v/>
      </c>
    </row>
    <row r="117" spans="1:28" ht="18" customHeight="1" outlineLevel="2" x14ac:dyDescent="0.25">
      <c r="A117" s="9" t="str">
        <f t="shared" si="41"/>
        <v/>
      </c>
      <c r="B117" s="219"/>
      <c r="C117" s="103" t="str">
        <f t="shared" si="42"/>
        <v/>
      </c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</row>
    <row r="118" spans="1:28" ht="18" customHeight="1" outlineLevel="2" x14ac:dyDescent="0.25">
      <c r="A118" s="9" t="str">
        <f t="shared" si="41"/>
        <v/>
      </c>
      <c r="B118" s="219"/>
      <c r="C118" s="103" t="str">
        <f t="shared" si="42"/>
        <v/>
      </c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</row>
    <row r="120" spans="1:28" ht="18" customHeight="1" x14ac:dyDescent="0.25">
      <c r="A120" s="11" t="s">
        <v>255</v>
      </c>
      <c r="B120" s="244"/>
      <c r="C120" s="217" t="s">
        <v>256</v>
      </c>
      <c r="D120" s="233" t="s">
        <v>257</v>
      </c>
      <c r="E120" s="249" t="str">
        <f t="shared" ref="E120:AB120" si="72">E$17</f>
        <v/>
      </c>
      <c r="F120" s="249" t="str">
        <f t="shared" si="72"/>
        <v/>
      </c>
      <c r="G120" s="249" t="str">
        <f t="shared" si="72"/>
        <v/>
      </c>
      <c r="H120" s="249" t="str">
        <f t="shared" si="72"/>
        <v/>
      </c>
      <c r="I120" s="249" t="str">
        <f t="shared" si="72"/>
        <v/>
      </c>
      <c r="J120" s="249" t="str">
        <f t="shared" si="72"/>
        <v/>
      </c>
      <c r="K120" s="249" t="str">
        <f t="shared" si="72"/>
        <v/>
      </c>
      <c r="L120" s="249" t="str">
        <f t="shared" si="72"/>
        <v/>
      </c>
      <c r="M120" s="249" t="str">
        <f t="shared" si="72"/>
        <v/>
      </c>
      <c r="N120" s="249" t="str">
        <f t="shared" si="72"/>
        <v/>
      </c>
      <c r="O120" s="249" t="str">
        <f t="shared" si="72"/>
        <v/>
      </c>
      <c r="P120" s="249" t="str">
        <f t="shared" si="72"/>
        <v/>
      </c>
      <c r="Q120" s="249" t="str">
        <f t="shared" si="72"/>
        <v/>
      </c>
      <c r="R120" s="249" t="str">
        <f t="shared" si="72"/>
        <v/>
      </c>
      <c r="S120" s="249" t="str">
        <f t="shared" si="72"/>
        <v/>
      </c>
      <c r="T120" s="249" t="str">
        <f t="shared" si="72"/>
        <v/>
      </c>
      <c r="U120" s="249" t="str">
        <f t="shared" si="72"/>
        <v/>
      </c>
      <c r="V120" s="249" t="str">
        <f t="shared" si="72"/>
        <v/>
      </c>
      <c r="W120" s="249" t="str">
        <f t="shared" si="72"/>
        <v/>
      </c>
      <c r="X120" s="249" t="str">
        <f t="shared" si="72"/>
        <v/>
      </c>
      <c r="Y120" s="249" t="str">
        <f t="shared" si="72"/>
        <v/>
      </c>
      <c r="Z120" s="249" t="str">
        <f t="shared" si="72"/>
        <v/>
      </c>
      <c r="AA120" s="249" t="str">
        <f t="shared" si="72"/>
        <v/>
      </c>
      <c r="AB120" s="249" t="str">
        <f t="shared" si="72"/>
        <v/>
      </c>
    </row>
    <row r="121" spans="1:28" ht="18" customHeight="1" x14ac:dyDescent="0.25">
      <c r="A121" s="11" t="s">
        <v>258</v>
      </c>
      <c r="B121" s="244"/>
      <c r="C121" s="233">
        <f t="shared" ref="C121:C149" si="73">IFERROR(AVERAGE(D121:AB121), "")</f>
        <v>4.1613012773084705E-2</v>
      </c>
      <c r="D121" s="233">
        <f t="shared" ref="D121:AB121" si="74">IFERROR((12.011*$AD52/$B20)*D52,"")</f>
        <v>4.1038979285243089E-2</v>
      </c>
      <c r="E121" s="233">
        <f t="shared" si="74"/>
        <v>4.1547624785177081E-2</v>
      </c>
      <c r="F121" s="233">
        <f t="shared" si="74"/>
        <v>4.1426734814730186E-2</v>
      </c>
      <c r="G121" s="233">
        <f t="shared" si="74"/>
        <v>4.2072394311409356E-2</v>
      </c>
      <c r="H121" s="233">
        <f t="shared" si="74"/>
        <v>4.0779583410101364E-2</v>
      </c>
      <c r="I121" s="233">
        <f t="shared" si="74"/>
        <v>4.1941844817435348E-2</v>
      </c>
      <c r="J121" s="233">
        <f t="shared" si="74"/>
        <v>4.2389953094533084E-2</v>
      </c>
      <c r="K121" s="233">
        <f t="shared" si="74"/>
        <v>4.1815838017272858E-2</v>
      </c>
      <c r="L121" s="233">
        <f t="shared" si="74"/>
        <v>4.1910334631061169E-2</v>
      </c>
      <c r="M121" s="233">
        <f t="shared" si="74"/>
        <v>4.16360892318225E-2</v>
      </c>
      <c r="N121" s="233">
        <f t="shared" si="74"/>
        <v>4.1631509792316015E-2</v>
      </c>
      <c r="O121" s="233">
        <f t="shared" si="74"/>
        <v>4.1165267085914434E-2</v>
      </c>
      <c r="P121" s="233" t="str">
        <f t="shared" si="74"/>
        <v/>
      </c>
      <c r="Q121" s="233" t="str">
        <f t="shared" si="74"/>
        <v/>
      </c>
      <c r="R121" s="233" t="str">
        <f t="shared" si="74"/>
        <v/>
      </c>
      <c r="S121" s="233" t="str">
        <f t="shared" si="74"/>
        <v/>
      </c>
      <c r="T121" s="233" t="str">
        <f t="shared" si="74"/>
        <v/>
      </c>
      <c r="U121" s="233" t="str">
        <f t="shared" si="74"/>
        <v/>
      </c>
      <c r="V121" s="233" t="str">
        <f t="shared" si="74"/>
        <v/>
      </c>
      <c r="W121" s="233" t="str">
        <f t="shared" si="74"/>
        <v/>
      </c>
      <c r="X121" s="233" t="str">
        <f t="shared" si="74"/>
        <v/>
      </c>
      <c r="Y121" s="233" t="str">
        <f t="shared" si="74"/>
        <v/>
      </c>
      <c r="Z121" s="233" t="str">
        <f t="shared" si="74"/>
        <v/>
      </c>
      <c r="AA121" s="233" t="str">
        <f t="shared" si="74"/>
        <v/>
      </c>
      <c r="AB121" s="233" t="str">
        <f t="shared" si="74"/>
        <v/>
      </c>
    </row>
    <row r="122" spans="1:28" ht="18" customHeight="1" x14ac:dyDescent="0.25">
      <c r="A122" s="11" t="s">
        <v>259</v>
      </c>
      <c r="B122" s="244"/>
      <c r="C122" s="233">
        <f t="shared" si="73"/>
        <v>4.5772733425337937E-4</v>
      </c>
      <c r="D122" s="233">
        <f t="shared" ref="D122:AB122" si="75">IFERROR((12.011*$AD53/$B21)*D53,"")</f>
        <v>2.5471321565742529E-4</v>
      </c>
      <c r="E122" s="233">
        <f t="shared" si="75"/>
        <v>1.5052043256982351E-4</v>
      </c>
      <c r="F122" s="233">
        <f t="shared" si="75"/>
        <v>1.1523936541575786E-4</v>
      </c>
      <c r="G122" s="233">
        <f t="shared" si="75"/>
        <v>9.3555440206096572E-5</v>
      </c>
      <c r="H122" s="233">
        <f t="shared" si="75"/>
        <v>4.2986173166048398E-3</v>
      </c>
      <c r="I122" s="233">
        <f t="shared" si="75"/>
        <v>8.7394861781253926E-5</v>
      </c>
      <c r="J122" s="233">
        <f t="shared" si="75"/>
        <v>7.3652783795964159E-5</v>
      </c>
      <c r="K122" s="233">
        <f t="shared" si="75"/>
        <v>1.3695127761583382E-4</v>
      </c>
      <c r="L122" s="233">
        <f t="shared" si="75"/>
        <v>8.4276016592917528E-5</v>
      </c>
      <c r="M122" s="233">
        <f t="shared" si="75"/>
        <v>7.7933883476840392E-5</v>
      </c>
      <c r="N122" s="233">
        <f t="shared" si="75"/>
        <v>7.7458567774394045E-5</v>
      </c>
      <c r="O122" s="233">
        <f t="shared" si="75"/>
        <v>4.2414849549405282E-5</v>
      </c>
      <c r="P122" s="233" t="str">
        <f t="shared" si="75"/>
        <v/>
      </c>
      <c r="Q122" s="233" t="str">
        <f t="shared" si="75"/>
        <v/>
      </c>
      <c r="R122" s="233" t="str">
        <f t="shared" si="75"/>
        <v/>
      </c>
      <c r="S122" s="233" t="str">
        <f t="shared" si="75"/>
        <v/>
      </c>
      <c r="T122" s="233" t="str">
        <f t="shared" si="75"/>
        <v/>
      </c>
      <c r="U122" s="233" t="str">
        <f t="shared" si="75"/>
        <v/>
      </c>
      <c r="V122" s="233" t="str">
        <f t="shared" si="75"/>
        <v/>
      </c>
      <c r="W122" s="233" t="str">
        <f t="shared" si="75"/>
        <v/>
      </c>
      <c r="X122" s="233" t="str">
        <f t="shared" si="75"/>
        <v/>
      </c>
      <c r="Y122" s="233" t="str">
        <f t="shared" si="75"/>
        <v/>
      </c>
      <c r="Z122" s="233" t="str">
        <f t="shared" si="75"/>
        <v/>
      </c>
      <c r="AA122" s="233" t="str">
        <f t="shared" si="75"/>
        <v/>
      </c>
      <c r="AB122" s="233" t="str">
        <f t="shared" si="75"/>
        <v/>
      </c>
    </row>
    <row r="123" spans="1:28" ht="18" customHeight="1" x14ac:dyDescent="0.25">
      <c r="A123" s="11" t="s">
        <v>260</v>
      </c>
      <c r="B123" s="244"/>
      <c r="C123" s="233">
        <f t="shared" si="73"/>
        <v>5.7337851891190554E-2</v>
      </c>
      <c r="D123" s="233">
        <f t="shared" ref="D123:AB123" si="76">IFERROR((12.011*$AD54/$B22)*D54,"")</f>
        <v>5.1889974426114045E-2</v>
      </c>
      <c r="E123" s="233">
        <f t="shared" si="76"/>
        <v>5.2381078651131334E-2</v>
      </c>
      <c r="F123" s="233">
        <f t="shared" si="76"/>
        <v>5.2319723876363682E-2</v>
      </c>
      <c r="G123" s="233">
        <f t="shared" si="76"/>
        <v>5.3078648739550552E-2</v>
      </c>
      <c r="H123" s="233">
        <f t="shared" si="76"/>
        <v>0.10962602716840618</v>
      </c>
      <c r="I123" s="233">
        <f t="shared" si="76"/>
        <v>5.2979656671224139E-2</v>
      </c>
      <c r="J123" s="233">
        <f t="shared" si="76"/>
        <v>5.326174583714241E-2</v>
      </c>
      <c r="K123" s="233">
        <f t="shared" si="76"/>
        <v>5.2823101288144818E-2</v>
      </c>
      <c r="L123" s="233">
        <f t="shared" si="76"/>
        <v>5.2796853613340827E-2</v>
      </c>
      <c r="M123" s="233">
        <f t="shared" si="76"/>
        <v>5.2430812250159796E-2</v>
      </c>
      <c r="N123" s="233">
        <f t="shared" si="76"/>
        <v>5.2479964720565701E-2</v>
      </c>
      <c r="O123" s="233">
        <f t="shared" si="76"/>
        <v>5.1986635452143069E-2</v>
      </c>
      <c r="P123" s="233" t="str">
        <f t="shared" si="76"/>
        <v/>
      </c>
      <c r="Q123" s="233" t="str">
        <f t="shared" si="76"/>
        <v/>
      </c>
      <c r="R123" s="233" t="str">
        <f t="shared" si="76"/>
        <v/>
      </c>
      <c r="S123" s="233" t="str">
        <f t="shared" si="76"/>
        <v/>
      </c>
      <c r="T123" s="233" t="str">
        <f t="shared" si="76"/>
        <v/>
      </c>
      <c r="U123" s="233" t="str">
        <f t="shared" si="76"/>
        <v/>
      </c>
      <c r="V123" s="233" t="str">
        <f t="shared" si="76"/>
        <v/>
      </c>
      <c r="W123" s="233" t="str">
        <f t="shared" si="76"/>
        <v/>
      </c>
      <c r="X123" s="233" t="str">
        <f t="shared" si="76"/>
        <v/>
      </c>
      <c r="Y123" s="233" t="str">
        <f t="shared" si="76"/>
        <v/>
      </c>
      <c r="Z123" s="233" t="str">
        <f t="shared" si="76"/>
        <v/>
      </c>
      <c r="AA123" s="233" t="str">
        <f t="shared" si="76"/>
        <v/>
      </c>
      <c r="AB123" s="233" t="str">
        <f t="shared" si="76"/>
        <v/>
      </c>
    </row>
    <row r="124" spans="1:28" ht="18" customHeight="1" x14ac:dyDescent="0.25">
      <c r="A124" s="11" t="s">
        <v>261</v>
      </c>
      <c r="B124" s="244"/>
      <c r="C124" s="233">
        <f t="shared" si="73"/>
        <v>1.5563396104722264E-5</v>
      </c>
      <c r="D124" s="233">
        <f t="shared" ref="D124:AB124" si="77">IFERROR((12.011*$AD55/$B23)*D55,"")</f>
        <v>0</v>
      </c>
      <c r="E124" s="233">
        <f t="shared" si="77"/>
        <v>0</v>
      </c>
      <c r="F124" s="233">
        <f t="shared" si="77"/>
        <v>0</v>
      </c>
      <c r="G124" s="233">
        <f t="shared" si="77"/>
        <v>0</v>
      </c>
      <c r="H124" s="233">
        <f t="shared" si="77"/>
        <v>1.8676075325666717E-4</v>
      </c>
      <c r="I124" s="233">
        <f t="shared" si="77"/>
        <v>0</v>
      </c>
      <c r="J124" s="233">
        <f t="shared" si="77"/>
        <v>0</v>
      </c>
      <c r="K124" s="233">
        <f t="shared" si="77"/>
        <v>0</v>
      </c>
      <c r="L124" s="233">
        <f t="shared" si="77"/>
        <v>0</v>
      </c>
      <c r="M124" s="233">
        <f t="shared" si="77"/>
        <v>0</v>
      </c>
      <c r="N124" s="233">
        <f t="shared" si="77"/>
        <v>0</v>
      </c>
      <c r="O124" s="233">
        <f t="shared" si="77"/>
        <v>0</v>
      </c>
      <c r="P124" s="233" t="str">
        <f t="shared" si="77"/>
        <v/>
      </c>
      <c r="Q124" s="233" t="str">
        <f t="shared" si="77"/>
        <v/>
      </c>
      <c r="R124" s="233" t="str">
        <f t="shared" si="77"/>
        <v/>
      </c>
      <c r="S124" s="233" t="str">
        <f t="shared" si="77"/>
        <v/>
      </c>
      <c r="T124" s="233" t="str">
        <f t="shared" si="77"/>
        <v/>
      </c>
      <c r="U124" s="233" t="str">
        <f t="shared" si="77"/>
        <v/>
      </c>
      <c r="V124" s="233" t="str">
        <f t="shared" si="77"/>
        <v/>
      </c>
      <c r="W124" s="233" t="str">
        <f t="shared" si="77"/>
        <v/>
      </c>
      <c r="X124" s="233" t="str">
        <f t="shared" si="77"/>
        <v/>
      </c>
      <c r="Y124" s="233" t="str">
        <f t="shared" si="77"/>
        <v/>
      </c>
      <c r="Z124" s="233" t="str">
        <f t="shared" si="77"/>
        <v/>
      </c>
      <c r="AA124" s="233" t="str">
        <f t="shared" si="77"/>
        <v/>
      </c>
      <c r="AB124" s="233" t="str">
        <f t="shared" si="77"/>
        <v/>
      </c>
    </row>
    <row r="125" spans="1:28" ht="18" customHeight="1" x14ac:dyDescent="0.25">
      <c r="A125" s="11" t="s">
        <v>262</v>
      </c>
      <c r="B125" s="244"/>
      <c r="C125" s="233">
        <f t="shared" si="73"/>
        <v>1.2489854022231897E-4</v>
      </c>
      <c r="D125" s="233">
        <f t="shared" ref="D125:AB125" si="78">IFERROR((12.011*$AD56/$B24)*D56,"")</f>
        <v>2.5704369371587602E-4</v>
      </c>
      <c r="E125" s="233">
        <f t="shared" si="78"/>
        <v>2.0320736644434872E-4</v>
      </c>
      <c r="F125" s="233">
        <f t="shared" si="78"/>
        <v>1.2877162284839666E-4</v>
      </c>
      <c r="G125" s="233">
        <f t="shared" si="78"/>
        <v>8.7057207382792637E-5</v>
      </c>
      <c r="H125" s="233">
        <f t="shared" si="78"/>
        <v>5.751997200927738E-4</v>
      </c>
      <c r="I125" s="233">
        <f t="shared" si="78"/>
        <v>5.3009998129613053E-5</v>
      </c>
      <c r="J125" s="233">
        <f t="shared" si="78"/>
        <v>4.5202590839483891E-5</v>
      </c>
      <c r="K125" s="233">
        <f t="shared" si="78"/>
        <v>3.7041055842211192E-5</v>
      </c>
      <c r="L125" s="233">
        <f t="shared" si="78"/>
        <v>5.0613767679517907E-5</v>
      </c>
      <c r="M125" s="233">
        <f t="shared" si="78"/>
        <v>3.6198448547148461E-5</v>
      </c>
      <c r="N125" s="233">
        <f t="shared" si="78"/>
        <v>2.5437011145665209E-5</v>
      </c>
      <c r="O125" s="233">
        <f t="shared" si="78"/>
        <v>0</v>
      </c>
      <c r="P125" s="233" t="str">
        <f t="shared" si="78"/>
        <v/>
      </c>
      <c r="Q125" s="233" t="str">
        <f t="shared" si="78"/>
        <v/>
      </c>
      <c r="R125" s="233" t="str">
        <f t="shared" si="78"/>
        <v/>
      </c>
      <c r="S125" s="233" t="str">
        <f t="shared" si="78"/>
        <v/>
      </c>
      <c r="T125" s="233" t="str">
        <f t="shared" si="78"/>
        <v/>
      </c>
      <c r="U125" s="233" t="str">
        <f t="shared" si="78"/>
        <v/>
      </c>
      <c r="V125" s="233" t="str">
        <f t="shared" si="78"/>
        <v/>
      </c>
      <c r="W125" s="233" t="str">
        <f t="shared" si="78"/>
        <v/>
      </c>
      <c r="X125" s="233" t="str">
        <f t="shared" si="78"/>
        <v/>
      </c>
      <c r="Y125" s="233" t="str">
        <f t="shared" si="78"/>
        <v/>
      </c>
      <c r="Z125" s="233" t="str">
        <f t="shared" si="78"/>
        <v/>
      </c>
      <c r="AA125" s="233" t="str">
        <f t="shared" si="78"/>
        <v/>
      </c>
      <c r="AB125" s="233" t="str">
        <f t="shared" si="78"/>
        <v/>
      </c>
    </row>
    <row r="126" spans="1:28" ht="18" customHeight="1" x14ac:dyDescent="0.25">
      <c r="A126" s="11" t="s">
        <v>263</v>
      </c>
      <c r="B126" s="244"/>
      <c r="C126" s="233">
        <f t="shared" si="73"/>
        <v>3.0718753374216384E-5</v>
      </c>
      <c r="D126" s="233">
        <f t="shared" ref="D126:AB126" si="79">IFERROR((12.011*$AD57/$B25)*D57,"")</f>
        <v>1.6200840571850373E-5</v>
      </c>
      <c r="E126" s="233">
        <f t="shared" si="79"/>
        <v>0</v>
      </c>
      <c r="F126" s="233">
        <f t="shared" si="79"/>
        <v>0</v>
      </c>
      <c r="G126" s="233">
        <f t="shared" si="79"/>
        <v>0</v>
      </c>
      <c r="H126" s="233">
        <f t="shared" si="79"/>
        <v>3.2252914214202824E-4</v>
      </c>
      <c r="I126" s="233">
        <f t="shared" si="79"/>
        <v>0</v>
      </c>
      <c r="J126" s="233">
        <f t="shared" si="79"/>
        <v>0</v>
      </c>
      <c r="K126" s="233">
        <f t="shared" si="79"/>
        <v>0</v>
      </c>
      <c r="L126" s="233">
        <f t="shared" si="79"/>
        <v>0</v>
      </c>
      <c r="M126" s="233">
        <f t="shared" si="79"/>
        <v>1.4594599944738902E-5</v>
      </c>
      <c r="N126" s="233">
        <f t="shared" si="79"/>
        <v>1.530045783197907E-5</v>
      </c>
      <c r="O126" s="233">
        <f t="shared" si="79"/>
        <v>0</v>
      </c>
      <c r="P126" s="233" t="str">
        <f t="shared" si="79"/>
        <v/>
      </c>
      <c r="Q126" s="233" t="str">
        <f t="shared" si="79"/>
        <v/>
      </c>
      <c r="R126" s="233" t="str">
        <f t="shared" si="79"/>
        <v/>
      </c>
      <c r="S126" s="233" t="str">
        <f t="shared" si="79"/>
        <v/>
      </c>
      <c r="T126" s="233" t="str">
        <f t="shared" si="79"/>
        <v/>
      </c>
      <c r="U126" s="233" t="str">
        <f t="shared" si="79"/>
        <v/>
      </c>
      <c r="V126" s="233" t="str">
        <f t="shared" si="79"/>
        <v/>
      </c>
      <c r="W126" s="233" t="str">
        <f t="shared" si="79"/>
        <v/>
      </c>
      <c r="X126" s="233" t="str">
        <f t="shared" si="79"/>
        <v/>
      </c>
      <c r="Y126" s="233" t="str">
        <f t="shared" si="79"/>
        <v/>
      </c>
      <c r="Z126" s="233" t="str">
        <f t="shared" si="79"/>
        <v/>
      </c>
      <c r="AA126" s="233" t="str">
        <f t="shared" si="79"/>
        <v/>
      </c>
      <c r="AB126" s="233" t="str">
        <f t="shared" si="79"/>
        <v/>
      </c>
    </row>
    <row r="127" spans="1:28" ht="18" customHeight="1" x14ac:dyDescent="0.25">
      <c r="A127" s="11" t="s">
        <v>264</v>
      </c>
      <c r="B127" s="244"/>
      <c r="C127" s="233">
        <f t="shared" si="73"/>
        <v>0</v>
      </c>
      <c r="D127" s="233">
        <f t="shared" ref="D127:AB127" si="80">IFERROR((12.011*$AD58/$B26)*D58,"")</f>
        <v>0</v>
      </c>
      <c r="E127" s="233">
        <f t="shared" si="80"/>
        <v>0</v>
      </c>
      <c r="F127" s="233">
        <f t="shared" si="80"/>
        <v>0</v>
      </c>
      <c r="G127" s="233">
        <f t="shared" si="80"/>
        <v>0</v>
      </c>
      <c r="H127" s="233">
        <f t="shared" si="80"/>
        <v>0</v>
      </c>
      <c r="I127" s="233">
        <f t="shared" si="80"/>
        <v>0</v>
      </c>
      <c r="J127" s="233">
        <f t="shared" si="80"/>
        <v>0</v>
      </c>
      <c r="K127" s="233">
        <f t="shared" si="80"/>
        <v>0</v>
      </c>
      <c r="L127" s="233">
        <f t="shared" si="80"/>
        <v>0</v>
      </c>
      <c r="M127" s="233">
        <f t="shared" si="80"/>
        <v>0</v>
      </c>
      <c r="N127" s="233">
        <f t="shared" si="80"/>
        <v>0</v>
      </c>
      <c r="O127" s="233">
        <f t="shared" si="80"/>
        <v>0</v>
      </c>
      <c r="P127" s="233" t="str">
        <f t="shared" si="80"/>
        <v/>
      </c>
      <c r="Q127" s="233" t="str">
        <f t="shared" si="80"/>
        <v/>
      </c>
      <c r="R127" s="233" t="str">
        <f t="shared" si="80"/>
        <v/>
      </c>
      <c r="S127" s="233" t="str">
        <f t="shared" si="80"/>
        <v/>
      </c>
      <c r="T127" s="233" t="str">
        <f t="shared" si="80"/>
        <v/>
      </c>
      <c r="U127" s="233" t="str">
        <f t="shared" si="80"/>
        <v/>
      </c>
      <c r="V127" s="233" t="str">
        <f t="shared" si="80"/>
        <v/>
      </c>
      <c r="W127" s="233" t="str">
        <f t="shared" si="80"/>
        <v/>
      </c>
      <c r="X127" s="233" t="str">
        <f t="shared" si="80"/>
        <v/>
      </c>
      <c r="Y127" s="233" t="str">
        <f t="shared" si="80"/>
        <v/>
      </c>
      <c r="Z127" s="233" t="str">
        <f t="shared" si="80"/>
        <v/>
      </c>
      <c r="AA127" s="233" t="str">
        <f t="shared" si="80"/>
        <v/>
      </c>
      <c r="AB127" s="233" t="str">
        <f t="shared" si="80"/>
        <v/>
      </c>
    </row>
    <row r="128" spans="1:28" ht="18" customHeight="1" x14ac:dyDescent="0.25">
      <c r="A128" s="11" t="s">
        <v>265</v>
      </c>
      <c r="B128" s="244"/>
      <c r="C128" s="233">
        <f t="shared" si="73"/>
        <v>0</v>
      </c>
      <c r="D128" s="233">
        <f t="shared" ref="D128:AB128" si="81">IFERROR((12.011*$AD59/$B27)*D59,"")</f>
        <v>0</v>
      </c>
      <c r="E128" s="233">
        <f t="shared" si="81"/>
        <v>0</v>
      </c>
      <c r="F128" s="233">
        <f t="shared" si="81"/>
        <v>0</v>
      </c>
      <c r="G128" s="233">
        <f t="shared" si="81"/>
        <v>0</v>
      </c>
      <c r="H128" s="233">
        <f t="shared" si="81"/>
        <v>0</v>
      </c>
      <c r="I128" s="233">
        <f t="shared" si="81"/>
        <v>0</v>
      </c>
      <c r="J128" s="233">
        <f t="shared" si="81"/>
        <v>0</v>
      </c>
      <c r="K128" s="233">
        <f t="shared" si="81"/>
        <v>0</v>
      </c>
      <c r="L128" s="233">
        <f t="shared" si="81"/>
        <v>0</v>
      </c>
      <c r="M128" s="233">
        <f t="shared" si="81"/>
        <v>0</v>
      </c>
      <c r="N128" s="233">
        <f t="shared" si="81"/>
        <v>0</v>
      </c>
      <c r="O128" s="233">
        <f t="shared" si="81"/>
        <v>0</v>
      </c>
      <c r="P128" s="233" t="str">
        <f t="shared" si="81"/>
        <v/>
      </c>
      <c r="Q128" s="233" t="str">
        <f t="shared" si="81"/>
        <v/>
      </c>
      <c r="R128" s="233" t="str">
        <f t="shared" si="81"/>
        <v/>
      </c>
      <c r="S128" s="233" t="str">
        <f t="shared" si="81"/>
        <v/>
      </c>
      <c r="T128" s="233" t="str">
        <f t="shared" si="81"/>
        <v/>
      </c>
      <c r="U128" s="233" t="str">
        <f t="shared" si="81"/>
        <v/>
      </c>
      <c r="V128" s="233" t="str">
        <f t="shared" si="81"/>
        <v/>
      </c>
      <c r="W128" s="233" t="str">
        <f t="shared" si="81"/>
        <v/>
      </c>
      <c r="X128" s="233" t="str">
        <f t="shared" si="81"/>
        <v/>
      </c>
      <c r="Y128" s="233" t="str">
        <f t="shared" si="81"/>
        <v/>
      </c>
      <c r="Z128" s="233" t="str">
        <f t="shared" si="81"/>
        <v/>
      </c>
      <c r="AA128" s="233" t="str">
        <f t="shared" si="81"/>
        <v/>
      </c>
      <c r="AB128" s="233" t="str">
        <f t="shared" si="81"/>
        <v/>
      </c>
    </row>
    <row r="129" spans="1:28" ht="18" customHeight="1" x14ac:dyDescent="0.25">
      <c r="A129" s="11" t="s">
        <v>266</v>
      </c>
      <c r="B129" s="244"/>
      <c r="C129" s="233">
        <f t="shared" si="73"/>
        <v>0</v>
      </c>
      <c r="D129" s="233">
        <f t="shared" ref="D129:AB129" si="82">IFERROR((12.011*$AD60/$B28)*D60,"")</f>
        <v>0</v>
      </c>
      <c r="E129" s="233">
        <f t="shared" si="82"/>
        <v>0</v>
      </c>
      <c r="F129" s="233">
        <f t="shared" si="82"/>
        <v>0</v>
      </c>
      <c r="G129" s="233">
        <f t="shared" si="82"/>
        <v>0</v>
      </c>
      <c r="H129" s="233">
        <f t="shared" si="82"/>
        <v>0</v>
      </c>
      <c r="I129" s="233">
        <f t="shared" si="82"/>
        <v>0</v>
      </c>
      <c r="J129" s="233">
        <f t="shared" si="82"/>
        <v>0</v>
      </c>
      <c r="K129" s="233">
        <f t="shared" si="82"/>
        <v>0</v>
      </c>
      <c r="L129" s="233">
        <f t="shared" si="82"/>
        <v>0</v>
      </c>
      <c r="M129" s="233">
        <f t="shared" si="82"/>
        <v>0</v>
      </c>
      <c r="N129" s="233">
        <f t="shared" si="82"/>
        <v>0</v>
      </c>
      <c r="O129" s="233">
        <f t="shared" si="82"/>
        <v>0</v>
      </c>
      <c r="P129" s="233" t="str">
        <f t="shared" si="82"/>
        <v/>
      </c>
      <c r="Q129" s="233" t="str">
        <f t="shared" si="82"/>
        <v/>
      </c>
      <c r="R129" s="233" t="str">
        <f t="shared" si="82"/>
        <v/>
      </c>
      <c r="S129" s="233" t="str">
        <f t="shared" si="82"/>
        <v/>
      </c>
      <c r="T129" s="233" t="str">
        <f t="shared" si="82"/>
        <v/>
      </c>
      <c r="U129" s="233" t="str">
        <f t="shared" si="82"/>
        <v/>
      </c>
      <c r="V129" s="233" t="str">
        <f t="shared" si="82"/>
        <v/>
      </c>
      <c r="W129" s="233" t="str">
        <f t="shared" si="82"/>
        <v/>
      </c>
      <c r="X129" s="233" t="str">
        <f t="shared" si="82"/>
        <v/>
      </c>
      <c r="Y129" s="233" t="str">
        <f t="shared" si="82"/>
        <v/>
      </c>
      <c r="Z129" s="233" t="str">
        <f t="shared" si="82"/>
        <v/>
      </c>
      <c r="AA129" s="233" t="str">
        <f t="shared" si="82"/>
        <v/>
      </c>
      <c r="AB129" s="233" t="str">
        <f t="shared" si="82"/>
        <v/>
      </c>
    </row>
    <row r="130" spans="1:28" ht="18" customHeight="1" x14ac:dyDescent="0.25">
      <c r="A130" s="11" t="s">
        <v>267</v>
      </c>
      <c r="B130" s="244"/>
      <c r="C130" s="233">
        <f t="shared" si="73"/>
        <v>3.6118337250421683E-3</v>
      </c>
      <c r="D130" s="233">
        <f t="shared" ref="D130:AB130" si="83">IFERROR((12.011*$AD61/$B29)*D61,"")</f>
        <v>8.8461732646294089E-5</v>
      </c>
      <c r="E130" s="233">
        <f t="shared" si="83"/>
        <v>3.3840793715232085E-4</v>
      </c>
      <c r="F130" s="233">
        <f t="shared" si="83"/>
        <v>4.0593584486978173E-4</v>
      </c>
      <c r="G130" s="233">
        <f t="shared" si="83"/>
        <v>3.9779378185009673E-4</v>
      </c>
      <c r="H130" s="233">
        <f t="shared" si="83"/>
        <v>4.1046513325125343E-2</v>
      </c>
      <c r="I130" s="233">
        <f t="shared" si="83"/>
        <v>3.4881533904386816E-4</v>
      </c>
      <c r="J130" s="233">
        <f t="shared" si="83"/>
        <v>1.2683041462381277E-4</v>
      </c>
      <c r="K130" s="233">
        <f t="shared" si="83"/>
        <v>1.8669075493047189E-4</v>
      </c>
      <c r="L130" s="233">
        <f t="shared" si="83"/>
        <v>1.2835638641466065E-4</v>
      </c>
      <c r="M130" s="233">
        <f t="shared" si="83"/>
        <v>1.2635851004787102E-4</v>
      </c>
      <c r="N130" s="233">
        <f t="shared" si="83"/>
        <v>1.4784067380149777E-4</v>
      </c>
      <c r="O130" s="233">
        <f t="shared" si="83"/>
        <v>0</v>
      </c>
      <c r="P130" s="233" t="str">
        <f t="shared" si="83"/>
        <v/>
      </c>
      <c r="Q130" s="233" t="str">
        <f t="shared" si="83"/>
        <v/>
      </c>
      <c r="R130" s="233" t="str">
        <f t="shared" si="83"/>
        <v/>
      </c>
      <c r="S130" s="233" t="str">
        <f t="shared" si="83"/>
        <v/>
      </c>
      <c r="T130" s="233" t="str">
        <f t="shared" si="83"/>
        <v/>
      </c>
      <c r="U130" s="233" t="str">
        <f t="shared" si="83"/>
        <v/>
      </c>
      <c r="V130" s="233" t="str">
        <f t="shared" si="83"/>
        <v/>
      </c>
      <c r="W130" s="233" t="str">
        <f t="shared" si="83"/>
        <v/>
      </c>
      <c r="X130" s="233" t="str">
        <f t="shared" si="83"/>
        <v/>
      </c>
      <c r="Y130" s="233" t="str">
        <f t="shared" si="83"/>
        <v/>
      </c>
      <c r="Z130" s="233" t="str">
        <f t="shared" si="83"/>
        <v/>
      </c>
      <c r="AA130" s="233" t="str">
        <f t="shared" si="83"/>
        <v/>
      </c>
      <c r="AB130" s="233" t="str">
        <f t="shared" si="83"/>
        <v/>
      </c>
    </row>
    <row r="131" spans="1:28" ht="18" customHeight="1" x14ac:dyDescent="0.25">
      <c r="A131" s="11" t="s">
        <v>268</v>
      </c>
      <c r="B131" s="244"/>
      <c r="C131" s="233">
        <f t="shared" si="73"/>
        <v>0</v>
      </c>
      <c r="D131" s="233">
        <f t="shared" ref="D131:AB131" si="84">IFERROR((12.011*$AD62/$B30)*D62,"")</f>
        <v>0</v>
      </c>
      <c r="E131" s="233">
        <f t="shared" si="84"/>
        <v>0</v>
      </c>
      <c r="F131" s="233">
        <f t="shared" si="84"/>
        <v>0</v>
      </c>
      <c r="G131" s="233">
        <f t="shared" si="84"/>
        <v>0</v>
      </c>
      <c r="H131" s="233">
        <f t="shared" si="84"/>
        <v>0</v>
      </c>
      <c r="I131" s="233">
        <f t="shared" si="84"/>
        <v>0</v>
      </c>
      <c r="J131" s="233">
        <f t="shared" si="84"/>
        <v>0</v>
      </c>
      <c r="K131" s="233">
        <f t="shared" si="84"/>
        <v>0</v>
      </c>
      <c r="L131" s="233">
        <f t="shared" si="84"/>
        <v>0</v>
      </c>
      <c r="M131" s="233">
        <f t="shared" si="84"/>
        <v>0</v>
      </c>
      <c r="N131" s="233">
        <f t="shared" si="84"/>
        <v>0</v>
      </c>
      <c r="O131" s="233">
        <f t="shared" si="84"/>
        <v>0</v>
      </c>
      <c r="P131" s="233" t="str">
        <f t="shared" si="84"/>
        <v/>
      </c>
      <c r="Q131" s="233" t="str">
        <f t="shared" si="84"/>
        <v/>
      </c>
      <c r="R131" s="233" t="str">
        <f t="shared" si="84"/>
        <v/>
      </c>
      <c r="S131" s="233" t="str">
        <f t="shared" si="84"/>
        <v/>
      </c>
      <c r="T131" s="233" t="str">
        <f t="shared" si="84"/>
        <v/>
      </c>
      <c r="U131" s="233" t="str">
        <f t="shared" si="84"/>
        <v/>
      </c>
      <c r="V131" s="233" t="str">
        <f t="shared" si="84"/>
        <v/>
      </c>
      <c r="W131" s="233" t="str">
        <f t="shared" si="84"/>
        <v/>
      </c>
      <c r="X131" s="233" t="str">
        <f t="shared" si="84"/>
        <v/>
      </c>
      <c r="Y131" s="233" t="str">
        <f t="shared" si="84"/>
        <v/>
      </c>
      <c r="Z131" s="233" t="str">
        <f t="shared" si="84"/>
        <v/>
      </c>
      <c r="AA131" s="233" t="str">
        <f t="shared" si="84"/>
        <v/>
      </c>
      <c r="AB131" s="233" t="str">
        <f t="shared" si="84"/>
        <v/>
      </c>
    </row>
    <row r="132" spans="1:28" ht="18" customHeight="1" x14ac:dyDescent="0.25">
      <c r="A132" s="11" t="s">
        <v>269</v>
      </c>
      <c r="B132" s="244"/>
      <c r="C132" s="233">
        <f t="shared" si="73"/>
        <v>2.4303854708355426E-5</v>
      </c>
      <c r="D132" s="233">
        <f t="shared" ref="D132:AB132" si="85">IFERROR((12.011*$AD63/$B31)*D63,"")</f>
        <v>1.2565294800667286E-4</v>
      </c>
      <c r="E132" s="233">
        <f t="shared" si="85"/>
        <v>0</v>
      </c>
      <c r="F132" s="233">
        <f t="shared" si="85"/>
        <v>0</v>
      </c>
      <c r="G132" s="233">
        <f t="shared" si="85"/>
        <v>0</v>
      </c>
      <c r="H132" s="233">
        <f t="shared" si="85"/>
        <v>1.6599330849359224E-4</v>
      </c>
      <c r="I132" s="233">
        <f t="shared" si="85"/>
        <v>0</v>
      </c>
      <c r="J132" s="233">
        <f t="shared" si="85"/>
        <v>0</v>
      </c>
      <c r="K132" s="233">
        <f t="shared" si="85"/>
        <v>0</v>
      </c>
      <c r="L132" s="233">
        <f t="shared" si="85"/>
        <v>0</v>
      </c>
      <c r="M132" s="233">
        <f t="shared" si="85"/>
        <v>0</v>
      </c>
      <c r="N132" s="233">
        <f t="shared" si="85"/>
        <v>0</v>
      </c>
      <c r="O132" s="233">
        <f t="shared" si="85"/>
        <v>0</v>
      </c>
      <c r="P132" s="233" t="str">
        <f t="shared" si="85"/>
        <v/>
      </c>
      <c r="Q132" s="233" t="str">
        <f t="shared" si="85"/>
        <v/>
      </c>
      <c r="R132" s="233" t="str">
        <f t="shared" si="85"/>
        <v/>
      </c>
      <c r="S132" s="233" t="str">
        <f t="shared" si="85"/>
        <v/>
      </c>
      <c r="T132" s="233" t="str">
        <f t="shared" si="85"/>
        <v/>
      </c>
      <c r="U132" s="233" t="str">
        <f t="shared" si="85"/>
        <v/>
      </c>
      <c r="V132" s="233" t="str">
        <f t="shared" si="85"/>
        <v/>
      </c>
      <c r="W132" s="233" t="str">
        <f t="shared" si="85"/>
        <v/>
      </c>
      <c r="X132" s="233" t="str">
        <f t="shared" si="85"/>
        <v/>
      </c>
      <c r="Y132" s="233" t="str">
        <f t="shared" si="85"/>
        <v/>
      </c>
      <c r="Z132" s="233" t="str">
        <f t="shared" si="85"/>
        <v/>
      </c>
      <c r="AA132" s="233" t="str">
        <f t="shared" si="85"/>
        <v/>
      </c>
      <c r="AB132" s="233" t="str">
        <f t="shared" si="85"/>
        <v/>
      </c>
    </row>
    <row r="133" spans="1:28" ht="18" customHeight="1" x14ac:dyDescent="0.25">
      <c r="A133" s="11" t="s">
        <v>270</v>
      </c>
      <c r="B133" s="244"/>
      <c r="C133" s="233">
        <f t="shared" si="73"/>
        <v>2.308821569794691E-3</v>
      </c>
      <c r="D133" s="233">
        <f t="shared" ref="D133:AB133" si="86">IFERROR((12.011*$AD64/$B32)*D64,"")</f>
        <v>2.7255985590641605E-3</v>
      </c>
      <c r="E133" s="233">
        <f t="shared" si="86"/>
        <v>2.5947796831735891E-3</v>
      </c>
      <c r="F133" s="233">
        <f t="shared" si="86"/>
        <v>2.2368869353315991E-3</v>
      </c>
      <c r="G133" s="233">
        <f t="shared" si="86"/>
        <v>1.9982065931659649E-3</v>
      </c>
      <c r="H133" s="233">
        <f t="shared" si="86"/>
        <v>1.1670133959960076E-2</v>
      </c>
      <c r="I133" s="233">
        <f t="shared" si="86"/>
        <v>4.1698333123324615E-3</v>
      </c>
      <c r="J133" s="233">
        <f t="shared" si="86"/>
        <v>9.3861567219196676E-4</v>
      </c>
      <c r="K133" s="233">
        <f t="shared" si="86"/>
        <v>3.695480241334186E-4</v>
      </c>
      <c r="L133" s="233">
        <f t="shared" si="86"/>
        <v>3.2930251512135433E-4</v>
      </c>
      <c r="M133" s="233">
        <f t="shared" si="86"/>
        <v>3.1167152250409518E-4</v>
      </c>
      <c r="N133" s="233">
        <f t="shared" si="86"/>
        <v>3.6128206055760579E-4</v>
      </c>
      <c r="O133" s="233">
        <f t="shared" si="86"/>
        <v>0</v>
      </c>
      <c r="P133" s="233" t="str">
        <f t="shared" si="86"/>
        <v/>
      </c>
      <c r="Q133" s="233" t="str">
        <f t="shared" si="86"/>
        <v/>
      </c>
      <c r="R133" s="233" t="str">
        <f t="shared" si="86"/>
        <v/>
      </c>
      <c r="S133" s="233" t="str">
        <f t="shared" si="86"/>
        <v/>
      </c>
      <c r="T133" s="233" t="str">
        <f t="shared" si="86"/>
        <v/>
      </c>
      <c r="U133" s="233" t="str">
        <f t="shared" si="86"/>
        <v/>
      </c>
      <c r="V133" s="233" t="str">
        <f t="shared" si="86"/>
        <v/>
      </c>
      <c r="W133" s="233" t="str">
        <f t="shared" si="86"/>
        <v/>
      </c>
      <c r="X133" s="233" t="str">
        <f t="shared" si="86"/>
        <v/>
      </c>
      <c r="Y133" s="233" t="str">
        <f t="shared" si="86"/>
        <v/>
      </c>
      <c r="Z133" s="233" t="str">
        <f t="shared" si="86"/>
        <v/>
      </c>
      <c r="AA133" s="233" t="str">
        <f t="shared" si="86"/>
        <v/>
      </c>
      <c r="AB133" s="233" t="str">
        <f t="shared" si="86"/>
        <v/>
      </c>
    </row>
    <row r="134" spans="1:28" ht="18" customHeight="1" x14ac:dyDescent="0.25">
      <c r="A134" s="11" t="s">
        <v>271</v>
      </c>
      <c r="B134" s="244"/>
      <c r="C134" s="233">
        <f t="shared" si="73"/>
        <v>0</v>
      </c>
      <c r="D134" s="233">
        <f t="shared" ref="D134:AB134" si="87">IFERROR((12.011*$AD65/$B33)*D65,"")</f>
        <v>0</v>
      </c>
      <c r="E134" s="233">
        <f t="shared" si="87"/>
        <v>0</v>
      </c>
      <c r="F134" s="233">
        <f t="shared" si="87"/>
        <v>0</v>
      </c>
      <c r="G134" s="233">
        <f t="shared" si="87"/>
        <v>0</v>
      </c>
      <c r="H134" s="233">
        <f t="shared" si="87"/>
        <v>0</v>
      </c>
      <c r="I134" s="233">
        <f t="shared" si="87"/>
        <v>0</v>
      </c>
      <c r="J134" s="233">
        <f t="shared" si="87"/>
        <v>0</v>
      </c>
      <c r="K134" s="233">
        <f t="shared" si="87"/>
        <v>0</v>
      </c>
      <c r="L134" s="233">
        <f t="shared" si="87"/>
        <v>0</v>
      </c>
      <c r="M134" s="233">
        <f t="shared" si="87"/>
        <v>0</v>
      </c>
      <c r="N134" s="233">
        <f t="shared" si="87"/>
        <v>0</v>
      </c>
      <c r="O134" s="233">
        <f t="shared" si="87"/>
        <v>0</v>
      </c>
      <c r="P134" s="233" t="str">
        <f t="shared" si="87"/>
        <v/>
      </c>
      <c r="Q134" s="233" t="str">
        <f t="shared" si="87"/>
        <v/>
      </c>
      <c r="R134" s="233" t="str">
        <f t="shared" si="87"/>
        <v/>
      </c>
      <c r="S134" s="233" t="str">
        <f t="shared" si="87"/>
        <v/>
      </c>
      <c r="T134" s="233" t="str">
        <f t="shared" si="87"/>
        <v/>
      </c>
      <c r="U134" s="233" t="str">
        <f t="shared" si="87"/>
        <v/>
      </c>
      <c r="V134" s="233" t="str">
        <f t="shared" si="87"/>
        <v/>
      </c>
      <c r="W134" s="233" t="str">
        <f t="shared" si="87"/>
        <v/>
      </c>
      <c r="X134" s="233" t="str">
        <f t="shared" si="87"/>
        <v/>
      </c>
      <c r="Y134" s="233" t="str">
        <f t="shared" si="87"/>
        <v/>
      </c>
      <c r="Z134" s="233" t="str">
        <f t="shared" si="87"/>
        <v/>
      </c>
      <c r="AA134" s="233" t="str">
        <f t="shared" si="87"/>
        <v/>
      </c>
      <c r="AB134" s="233" t="str">
        <f t="shared" si="87"/>
        <v/>
      </c>
    </row>
    <row r="135" spans="1:28" ht="18" customHeight="1" x14ac:dyDescent="0.25">
      <c r="A135" s="11" t="s">
        <v>272</v>
      </c>
      <c r="B135" s="244"/>
      <c r="C135" s="233">
        <f t="shared" si="73"/>
        <v>0</v>
      </c>
      <c r="D135" s="233">
        <f t="shared" ref="D135:AB135" si="88">IFERROR((12.011*$AD66/$B34)*D66,"")</f>
        <v>0</v>
      </c>
      <c r="E135" s="233">
        <f t="shared" si="88"/>
        <v>0</v>
      </c>
      <c r="F135" s="233">
        <f t="shared" si="88"/>
        <v>0</v>
      </c>
      <c r="G135" s="233">
        <f t="shared" si="88"/>
        <v>0</v>
      </c>
      <c r="H135" s="233">
        <f t="shared" si="88"/>
        <v>0</v>
      </c>
      <c r="I135" s="233">
        <f t="shared" si="88"/>
        <v>0</v>
      </c>
      <c r="J135" s="233">
        <f t="shared" si="88"/>
        <v>0</v>
      </c>
      <c r="K135" s="233">
        <f t="shared" si="88"/>
        <v>0</v>
      </c>
      <c r="L135" s="233">
        <f t="shared" si="88"/>
        <v>0</v>
      </c>
      <c r="M135" s="233">
        <f t="shared" si="88"/>
        <v>0</v>
      </c>
      <c r="N135" s="233">
        <f t="shared" si="88"/>
        <v>0</v>
      </c>
      <c r="O135" s="233">
        <f t="shared" si="88"/>
        <v>0</v>
      </c>
      <c r="P135" s="233" t="str">
        <f t="shared" si="88"/>
        <v/>
      </c>
      <c r="Q135" s="233" t="str">
        <f t="shared" si="88"/>
        <v/>
      </c>
      <c r="R135" s="233" t="str">
        <f t="shared" si="88"/>
        <v/>
      </c>
      <c r="S135" s="233" t="str">
        <f t="shared" si="88"/>
        <v/>
      </c>
      <c r="T135" s="233" t="str">
        <f t="shared" si="88"/>
        <v/>
      </c>
      <c r="U135" s="233" t="str">
        <f t="shared" si="88"/>
        <v/>
      </c>
      <c r="V135" s="233" t="str">
        <f t="shared" si="88"/>
        <v/>
      </c>
      <c r="W135" s="233" t="str">
        <f t="shared" si="88"/>
        <v/>
      </c>
      <c r="X135" s="233" t="str">
        <f t="shared" si="88"/>
        <v/>
      </c>
      <c r="Y135" s="233" t="str">
        <f t="shared" si="88"/>
        <v/>
      </c>
      <c r="Z135" s="233" t="str">
        <f t="shared" si="88"/>
        <v/>
      </c>
      <c r="AA135" s="233" t="str">
        <f t="shared" si="88"/>
        <v/>
      </c>
      <c r="AB135" s="233" t="str">
        <f t="shared" si="88"/>
        <v/>
      </c>
    </row>
    <row r="136" spans="1:28" ht="18" customHeight="1" x14ac:dyDescent="0.25">
      <c r="A136" s="11" t="s">
        <v>273</v>
      </c>
      <c r="B136" s="244"/>
      <c r="C136" s="233">
        <f t="shared" si="73"/>
        <v>0</v>
      </c>
      <c r="D136" s="233">
        <f t="shared" ref="D136:AB136" si="89">IFERROR((12.011*$AD67/$B35)*D67,"")</f>
        <v>0</v>
      </c>
      <c r="E136" s="233">
        <f t="shared" si="89"/>
        <v>0</v>
      </c>
      <c r="F136" s="233">
        <f t="shared" si="89"/>
        <v>0</v>
      </c>
      <c r="G136" s="233">
        <f t="shared" si="89"/>
        <v>0</v>
      </c>
      <c r="H136" s="233">
        <f t="shared" si="89"/>
        <v>0</v>
      </c>
      <c r="I136" s="233">
        <f t="shared" si="89"/>
        <v>0</v>
      </c>
      <c r="J136" s="233">
        <f t="shared" si="89"/>
        <v>0</v>
      </c>
      <c r="K136" s="233">
        <f t="shared" si="89"/>
        <v>0</v>
      </c>
      <c r="L136" s="233">
        <f t="shared" si="89"/>
        <v>0</v>
      </c>
      <c r="M136" s="233">
        <f t="shared" si="89"/>
        <v>0</v>
      </c>
      <c r="N136" s="233">
        <f t="shared" si="89"/>
        <v>0</v>
      </c>
      <c r="O136" s="233">
        <f t="shared" si="89"/>
        <v>0</v>
      </c>
      <c r="P136" s="233" t="str">
        <f t="shared" si="89"/>
        <v/>
      </c>
      <c r="Q136" s="233" t="str">
        <f t="shared" si="89"/>
        <v/>
      </c>
      <c r="R136" s="233" t="str">
        <f t="shared" si="89"/>
        <v/>
      </c>
      <c r="S136" s="233" t="str">
        <f t="shared" si="89"/>
        <v/>
      </c>
      <c r="T136" s="233" t="str">
        <f t="shared" si="89"/>
        <v/>
      </c>
      <c r="U136" s="233" t="str">
        <f t="shared" si="89"/>
        <v/>
      </c>
      <c r="V136" s="233" t="str">
        <f t="shared" si="89"/>
        <v/>
      </c>
      <c r="W136" s="233" t="str">
        <f t="shared" si="89"/>
        <v/>
      </c>
      <c r="X136" s="233" t="str">
        <f t="shared" si="89"/>
        <v/>
      </c>
      <c r="Y136" s="233" t="str">
        <f t="shared" si="89"/>
        <v/>
      </c>
      <c r="Z136" s="233" t="str">
        <f t="shared" si="89"/>
        <v/>
      </c>
      <c r="AA136" s="233" t="str">
        <f t="shared" si="89"/>
        <v/>
      </c>
      <c r="AB136" s="233" t="str">
        <f t="shared" si="89"/>
        <v/>
      </c>
    </row>
    <row r="137" spans="1:28" ht="18" customHeight="1" x14ac:dyDescent="0.25">
      <c r="A137" s="11" t="s">
        <v>274</v>
      </c>
      <c r="B137" s="244"/>
      <c r="C137" s="233">
        <f t="shared" si="73"/>
        <v>0</v>
      </c>
      <c r="D137" s="233">
        <f t="shared" ref="D137:AB137" si="90">IFERROR((12.011*$AD68/$B36)*D68,"")</f>
        <v>0</v>
      </c>
      <c r="E137" s="233">
        <f t="shared" si="90"/>
        <v>0</v>
      </c>
      <c r="F137" s="233">
        <f t="shared" si="90"/>
        <v>0</v>
      </c>
      <c r="G137" s="233">
        <f t="shared" si="90"/>
        <v>0</v>
      </c>
      <c r="H137" s="233">
        <f t="shared" si="90"/>
        <v>0</v>
      </c>
      <c r="I137" s="233">
        <f t="shared" si="90"/>
        <v>0</v>
      </c>
      <c r="J137" s="233">
        <f t="shared" si="90"/>
        <v>0</v>
      </c>
      <c r="K137" s="233">
        <f t="shared" si="90"/>
        <v>0</v>
      </c>
      <c r="L137" s="233">
        <f t="shared" si="90"/>
        <v>0</v>
      </c>
      <c r="M137" s="233">
        <f t="shared" si="90"/>
        <v>0</v>
      </c>
      <c r="N137" s="233">
        <f t="shared" si="90"/>
        <v>0</v>
      </c>
      <c r="O137" s="233">
        <f t="shared" si="90"/>
        <v>0</v>
      </c>
      <c r="P137" s="233" t="str">
        <f t="shared" si="90"/>
        <v/>
      </c>
      <c r="Q137" s="233" t="str">
        <f t="shared" si="90"/>
        <v/>
      </c>
      <c r="R137" s="233" t="str">
        <f t="shared" si="90"/>
        <v/>
      </c>
      <c r="S137" s="233" t="str">
        <f t="shared" si="90"/>
        <v/>
      </c>
      <c r="T137" s="233" t="str">
        <f t="shared" si="90"/>
        <v/>
      </c>
      <c r="U137" s="233" t="str">
        <f t="shared" si="90"/>
        <v/>
      </c>
      <c r="V137" s="233" t="str">
        <f t="shared" si="90"/>
        <v/>
      </c>
      <c r="W137" s="233" t="str">
        <f t="shared" si="90"/>
        <v/>
      </c>
      <c r="X137" s="233" t="str">
        <f t="shared" si="90"/>
        <v/>
      </c>
      <c r="Y137" s="233" t="str">
        <f t="shared" si="90"/>
        <v/>
      </c>
      <c r="Z137" s="233" t="str">
        <f t="shared" si="90"/>
        <v/>
      </c>
      <c r="AA137" s="233" t="str">
        <f t="shared" si="90"/>
        <v/>
      </c>
      <c r="AB137" s="233" t="str">
        <f t="shared" si="90"/>
        <v/>
      </c>
    </row>
    <row r="138" spans="1:28" ht="18" customHeight="1" x14ac:dyDescent="0.25">
      <c r="A138" s="11" t="s">
        <v>275</v>
      </c>
      <c r="B138" s="244"/>
      <c r="C138" s="233">
        <f t="shared" si="73"/>
        <v>2.9203812594301795E-4</v>
      </c>
      <c r="D138" s="233">
        <f t="shared" ref="D138:AB138" si="91">IFERROR((12.011*$AD69/$B37)*D69,"")</f>
        <v>9.1033294641825911E-4</v>
      </c>
      <c r="E138" s="233">
        <f t="shared" si="91"/>
        <v>5.012033891119732E-4</v>
      </c>
      <c r="F138" s="233">
        <f t="shared" si="91"/>
        <v>2.5834019843134207E-4</v>
      </c>
      <c r="G138" s="233">
        <f t="shared" si="91"/>
        <v>1.7507003723960053E-4</v>
      </c>
      <c r="H138" s="233">
        <f t="shared" si="91"/>
        <v>7.8662790773938445E-4</v>
      </c>
      <c r="I138" s="233">
        <f t="shared" si="91"/>
        <v>5.2392344097352075E-4</v>
      </c>
      <c r="J138" s="233">
        <f t="shared" si="91"/>
        <v>1.0962871871329565E-4</v>
      </c>
      <c r="K138" s="233">
        <f t="shared" si="91"/>
        <v>6.4274777364837325E-5</v>
      </c>
      <c r="L138" s="233">
        <f t="shared" si="91"/>
        <v>5.5220856586597385E-5</v>
      </c>
      <c r="M138" s="233">
        <f t="shared" si="91"/>
        <v>5.8378399778955602E-5</v>
      </c>
      <c r="N138" s="233">
        <f t="shared" si="91"/>
        <v>6.1456838958449264E-5</v>
      </c>
      <c r="O138" s="233">
        <f t="shared" si="91"/>
        <v>0</v>
      </c>
      <c r="P138" s="233" t="str">
        <f t="shared" si="91"/>
        <v/>
      </c>
      <c r="Q138" s="233" t="str">
        <f t="shared" si="91"/>
        <v/>
      </c>
      <c r="R138" s="233" t="str">
        <f t="shared" si="91"/>
        <v/>
      </c>
      <c r="S138" s="233" t="str">
        <f t="shared" si="91"/>
        <v/>
      </c>
      <c r="T138" s="233" t="str">
        <f t="shared" si="91"/>
        <v/>
      </c>
      <c r="U138" s="233" t="str">
        <f t="shared" si="91"/>
        <v/>
      </c>
      <c r="V138" s="233" t="str">
        <f t="shared" si="91"/>
        <v/>
      </c>
      <c r="W138" s="233" t="str">
        <f t="shared" si="91"/>
        <v/>
      </c>
      <c r="X138" s="233" t="str">
        <f t="shared" si="91"/>
        <v/>
      </c>
      <c r="Y138" s="233" t="str">
        <f t="shared" si="91"/>
        <v/>
      </c>
      <c r="Z138" s="233" t="str">
        <f t="shared" si="91"/>
        <v/>
      </c>
      <c r="AA138" s="233" t="str">
        <f t="shared" si="91"/>
        <v/>
      </c>
      <c r="AB138" s="233" t="str">
        <f t="shared" si="91"/>
        <v/>
      </c>
    </row>
    <row r="139" spans="1:28" ht="18" customHeight="1" x14ac:dyDescent="0.25">
      <c r="A139" s="11" t="s">
        <v>276</v>
      </c>
      <c r="B139" s="244"/>
      <c r="C139" s="233">
        <f t="shared" si="73"/>
        <v>0</v>
      </c>
      <c r="D139" s="233">
        <f t="shared" ref="D139:AB139" si="92">IFERROR((12.011*$AD70/$B38)*D70,"")</f>
        <v>0</v>
      </c>
      <c r="E139" s="233">
        <f t="shared" si="92"/>
        <v>0</v>
      </c>
      <c r="F139" s="233">
        <f t="shared" si="92"/>
        <v>0</v>
      </c>
      <c r="G139" s="233">
        <f t="shared" si="92"/>
        <v>0</v>
      </c>
      <c r="H139" s="233">
        <f t="shared" si="92"/>
        <v>0</v>
      </c>
      <c r="I139" s="233">
        <f t="shared" si="92"/>
        <v>0</v>
      </c>
      <c r="J139" s="233">
        <f t="shared" si="92"/>
        <v>0</v>
      </c>
      <c r="K139" s="233">
        <f t="shared" si="92"/>
        <v>0</v>
      </c>
      <c r="L139" s="233">
        <f t="shared" si="92"/>
        <v>0</v>
      </c>
      <c r="M139" s="233">
        <f t="shared" si="92"/>
        <v>0</v>
      </c>
      <c r="N139" s="233">
        <f t="shared" si="92"/>
        <v>0</v>
      </c>
      <c r="O139" s="233">
        <f t="shared" si="92"/>
        <v>0</v>
      </c>
      <c r="P139" s="233" t="str">
        <f t="shared" si="92"/>
        <v/>
      </c>
      <c r="Q139" s="233" t="str">
        <f t="shared" si="92"/>
        <v/>
      </c>
      <c r="R139" s="233" t="str">
        <f t="shared" si="92"/>
        <v/>
      </c>
      <c r="S139" s="233" t="str">
        <f t="shared" si="92"/>
        <v/>
      </c>
      <c r="T139" s="233" t="str">
        <f t="shared" si="92"/>
        <v/>
      </c>
      <c r="U139" s="233" t="str">
        <f t="shared" si="92"/>
        <v/>
      </c>
      <c r="V139" s="233" t="str">
        <f t="shared" si="92"/>
        <v/>
      </c>
      <c r="W139" s="233" t="str">
        <f t="shared" si="92"/>
        <v/>
      </c>
      <c r="X139" s="233" t="str">
        <f t="shared" si="92"/>
        <v/>
      </c>
      <c r="Y139" s="233" t="str">
        <f t="shared" si="92"/>
        <v/>
      </c>
      <c r="Z139" s="233" t="str">
        <f t="shared" si="92"/>
        <v/>
      </c>
      <c r="AA139" s="233" t="str">
        <f t="shared" si="92"/>
        <v/>
      </c>
      <c r="AB139" s="233" t="str">
        <f t="shared" si="92"/>
        <v/>
      </c>
    </row>
    <row r="140" spans="1:28" ht="18" customHeight="1" x14ac:dyDescent="0.25">
      <c r="A140" s="11" t="s">
        <v>277</v>
      </c>
      <c r="B140" s="244"/>
      <c r="C140" s="233">
        <f t="shared" si="73"/>
        <v>5.4177505875632531E-3</v>
      </c>
      <c r="D140" s="233">
        <f t="shared" ref="D140:AB140" si="93">IFERROR((12.011*$AD71/$B39)*D71,"")</f>
        <v>1.3269259896944117E-4</v>
      </c>
      <c r="E140" s="233">
        <f t="shared" si="93"/>
        <v>5.0761190572848141E-4</v>
      </c>
      <c r="F140" s="233">
        <f t="shared" si="93"/>
        <v>6.0890376730467265E-4</v>
      </c>
      <c r="G140" s="233">
        <f t="shared" si="93"/>
        <v>5.9669067277514515E-4</v>
      </c>
      <c r="H140" s="233">
        <f t="shared" si="93"/>
        <v>6.1569769987688025E-2</v>
      </c>
      <c r="I140" s="233">
        <f t="shared" si="93"/>
        <v>5.2322300856580232E-4</v>
      </c>
      <c r="J140" s="233">
        <f t="shared" si="93"/>
        <v>1.9024562193571917E-4</v>
      </c>
      <c r="K140" s="233">
        <f t="shared" si="93"/>
        <v>2.8003613239570784E-4</v>
      </c>
      <c r="L140" s="233">
        <f t="shared" si="93"/>
        <v>1.9253457962199098E-4</v>
      </c>
      <c r="M140" s="233">
        <f t="shared" si="93"/>
        <v>1.8953776507180654E-4</v>
      </c>
      <c r="N140" s="233">
        <f t="shared" si="93"/>
        <v>2.2176101070224669E-4</v>
      </c>
      <c r="O140" s="233">
        <f t="shared" si="93"/>
        <v>0</v>
      </c>
      <c r="P140" s="233" t="str">
        <f t="shared" si="93"/>
        <v/>
      </c>
      <c r="Q140" s="233" t="str">
        <f t="shared" si="93"/>
        <v/>
      </c>
      <c r="R140" s="233" t="str">
        <f t="shared" si="93"/>
        <v/>
      </c>
      <c r="S140" s="233" t="str">
        <f t="shared" si="93"/>
        <v/>
      </c>
      <c r="T140" s="233" t="str">
        <f t="shared" si="93"/>
        <v/>
      </c>
      <c r="U140" s="233" t="str">
        <f t="shared" si="93"/>
        <v/>
      </c>
      <c r="V140" s="233" t="str">
        <f t="shared" si="93"/>
        <v/>
      </c>
      <c r="W140" s="233" t="str">
        <f t="shared" si="93"/>
        <v/>
      </c>
      <c r="X140" s="233" t="str">
        <f t="shared" si="93"/>
        <v/>
      </c>
      <c r="Y140" s="233" t="str">
        <f t="shared" si="93"/>
        <v/>
      </c>
      <c r="Z140" s="233" t="str">
        <f t="shared" si="93"/>
        <v/>
      </c>
      <c r="AA140" s="233" t="str">
        <f t="shared" si="93"/>
        <v/>
      </c>
      <c r="AB140" s="233" t="str">
        <f t="shared" si="93"/>
        <v/>
      </c>
    </row>
    <row r="141" spans="1:28" ht="18" customHeight="1" x14ac:dyDescent="0.25">
      <c r="A141" s="11" t="s">
        <v>278</v>
      </c>
      <c r="B141" s="244"/>
      <c r="C141" s="233">
        <f t="shared" si="73"/>
        <v>0</v>
      </c>
      <c r="D141" s="233">
        <f t="shared" ref="D141:AB141" si="94">IFERROR((12.011*$AD72/$B40)*D72,"")</f>
        <v>0</v>
      </c>
      <c r="E141" s="233">
        <f t="shared" si="94"/>
        <v>0</v>
      </c>
      <c r="F141" s="233">
        <f t="shared" si="94"/>
        <v>0</v>
      </c>
      <c r="G141" s="233">
        <f t="shared" si="94"/>
        <v>0</v>
      </c>
      <c r="H141" s="233">
        <f t="shared" si="94"/>
        <v>0</v>
      </c>
      <c r="I141" s="233">
        <f t="shared" si="94"/>
        <v>0</v>
      </c>
      <c r="J141" s="233">
        <f t="shared" si="94"/>
        <v>0</v>
      </c>
      <c r="K141" s="233">
        <f t="shared" si="94"/>
        <v>0</v>
      </c>
      <c r="L141" s="233">
        <f t="shared" si="94"/>
        <v>0</v>
      </c>
      <c r="M141" s="233">
        <f t="shared" si="94"/>
        <v>0</v>
      </c>
      <c r="N141" s="233">
        <f t="shared" si="94"/>
        <v>0</v>
      </c>
      <c r="O141" s="233">
        <f t="shared" si="94"/>
        <v>0</v>
      </c>
      <c r="P141" s="233" t="str">
        <f t="shared" si="94"/>
        <v/>
      </c>
      <c r="Q141" s="233" t="str">
        <f t="shared" si="94"/>
        <v/>
      </c>
      <c r="R141" s="233" t="str">
        <f t="shared" si="94"/>
        <v/>
      </c>
      <c r="S141" s="233" t="str">
        <f t="shared" si="94"/>
        <v/>
      </c>
      <c r="T141" s="233" t="str">
        <f t="shared" si="94"/>
        <v/>
      </c>
      <c r="U141" s="233" t="str">
        <f t="shared" si="94"/>
        <v/>
      </c>
      <c r="V141" s="233" t="str">
        <f t="shared" si="94"/>
        <v/>
      </c>
      <c r="W141" s="233" t="str">
        <f t="shared" si="94"/>
        <v/>
      </c>
      <c r="X141" s="233" t="str">
        <f t="shared" si="94"/>
        <v/>
      </c>
      <c r="Y141" s="233" t="str">
        <f t="shared" si="94"/>
        <v/>
      </c>
      <c r="Z141" s="233" t="str">
        <f t="shared" si="94"/>
        <v/>
      </c>
      <c r="AA141" s="233" t="str">
        <f t="shared" si="94"/>
        <v/>
      </c>
      <c r="AB141" s="233" t="str">
        <f t="shared" si="94"/>
        <v/>
      </c>
    </row>
    <row r="142" spans="1:28" ht="18" customHeight="1" x14ac:dyDescent="0.25">
      <c r="A142" s="11" t="s">
        <v>279</v>
      </c>
      <c r="B142" s="244"/>
      <c r="C142" s="233">
        <f t="shared" si="73"/>
        <v>0</v>
      </c>
      <c r="D142" s="233">
        <f t="shared" ref="D142:AB142" si="95">IFERROR((12.011*$AD73/$B41)*D73,"")</f>
        <v>0</v>
      </c>
      <c r="E142" s="233">
        <f t="shared" si="95"/>
        <v>0</v>
      </c>
      <c r="F142" s="233">
        <f t="shared" si="95"/>
        <v>0</v>
      </c>
      <c r="G142" s="233">
        <f t="shared" si="95"/>
        <v>0</v>
      </c>
      <c r="H142" s="233">
        <f t="shared" si="95"/>
        <v>0</v>
      </c>
      <c r="I142" s="233">
        <f t="shared" si="95"/>
        <v>0</v>
      </c>
      <c r="J142" s="233">
        <f t="shared" si="95"/>
        <v>0</v>
      </c>
      <c r="K142" s="233">
        <f t="shared" si="95"/>
        <v>0</v>
      </c>
      <c r="L142" s="233">
        <f t="shared" si="95"/>
        <v>0</v>
      </c>
      <c r="M142" s="233">
        <f t="shared" si="95"/>
        <v>0</v>
      </c>
      <c r="N142" s="233">
        <f t="shared" si="95"/>
        <v>0</v>
      </c>
      <c r="O142" s="233">
        <f t="shared" si="95"/>
        <v>0</v>
      </c>
      <c r="P142" s="233" t="str">
        <f t="shared" si="95"/>
        <v/>
      </c>
      <c r="Q142" s="233" t="str">
        <f t="shared" si="95"/>
        <v/>
      </c>
      <c r="R142" s="233" t="str">
        <f t="shared" si="95"/>
        <v/>
      </c>
      <c r="S142" s="233" t="str">
        <f t="shared" si="95"/>
        <v/>
      </c>
      <c r="T142" s="233" t="str">
        <f t="shared" si="95"/>
        <v/>
      </c>
      <c r="U142" s="233" t="str">
        <f t="shared" si="95"/>
        <v/>
      </c>
      <c r="V142" s="233" t="str">
        <f t="shared" si="95"/>
        <v/>
      </c>
      <c r="W142" s="233" t="str">
        <f t="shared" si="95"/>
        <v/>
      </c>
      <c r="X142" s="233" t="str">
        <f t="shared" si="95"/>
        <v/>
      </c>
      <c r="Y142" s="233" t="str">
        <f t="shared" si="95"/>
        <v/>
      </c>
      <c r="Z142" s="233" t="str">
        <f t="shared" si="95"/>
        <v/>
      </c>
      <c r="AA142" s="233" t="str">
        <f t="shared" si="95"/>
        <v/>
      </c>
      <c r="AB142" s="233" t="str">
        <f t="shared" si="95"/>
        <v/>
      </c>
    </row>
    <row r="143" spans="1:28" ht="18" customHeight="1" x14ac:dyDescent="0.25">
      <c r="A143" s="11" t="s">
        <v>280</v>
      </c>
      <c r="B143" s="244"/>
      <c r="C143" s="233">
        <f t="shared" si="73"/>
        <v>0</v>
      </c>
      <c r="D143" s="233">
        <f t="shared" ref="D143:AB143" si="96">IFERROR((12.011*$AD74/$B42)*D74,"")</f>
        <v>0</v>
      </c>
      <c r="E143" s="233">
        <f t="shared" si="96"/>
        <v>0</v>
      </c>
      <c r="F143" s="233">
        <f t="shared" si="96"/>
        <v>0</v>
      </c>
      <c r="G143" s="233">
        <f t="shared" si="96"/>
        <v>0</v>
      </c>
      <c r="H143" s="233">
        <f t="shared" si="96"/>
        <v>0</v>
      </c>
      <c r="I143" s="233">
        <f t="shared" si="96"/>
        <v>0</v>
      </c>
      <c r="J143" s="233">
        <f t="shared" si="96"/>
        <v>0</v>
      </c>
      <c r="K143" s="233">
        <f t="shared" si="96"/>
        <v>0</v>
      </c>
      <c r="L143" s="233">
        <f t="shared" si="96"/>
        <v>0</v>
      </c>
      <c r="M143" s="233">
        <f t="shared" si="96"/>
        <v>0</v>
      </c>
      <c r="N143" s="233">
        <f t="shared" si="96"/>
        <v>0</v>
      </c>
      <c r="O143" s="233">
        <f t="shared" si="96"/>
        <v>0</v>
      </c>
      <c r="P143" s="233" t="str">
        <f t="shared" si="96"/>
        <v/>
      </c>
      <c r="Q143" s="233" t="str">
        <f t="shared" si="96"/>
        <v/>
      </c>
      <c r="R143" s="233" t="str">
        <f t="shared" si="96"/>
        <v/>
      </c>
      <c r="S143" s="233" t="str">
        <f t="shared" si="96"/>
        <v/>
      </c>
      <c r="T143" s="233" t="str">
        <f t="shared" si="96"/>
        <v/>
      </c>
      <c r="U143" s="233" t="str">
        <f t="shared" si="96"/>
        <v/>
      </c>
      <c r="V143" s="233" t="str">
        <f t="shared" si="96"/>
        <v/>
      </c>
      <c r="W143" s="233" t="str">
        <f t="shared" si="96"/>
        <v/>
      </c>
      <c r="X143" s="233" t="str">
        <f t="shared" si="96"/>
        <v/>
      </c>
      <c r="Y143" s="233" t="str">
        <f t="shared" si="96"/>
        <v/>
      </c>
      <c r="Z143" s="233" t="str">
        <f t="shared" si="96"/>
        <v/>
      </c>
      <c r="AA143" s="233" t="str">
        <f t="shared" si="96"/>
        <v/>
      </c>
      <c r="AB143" s="233" t="str">
        <f t="shared" si="96"/>
        <v/>
      </c>
    </row>
    <row r="144" spans="1:28" ht="18" customHeight="1" x14ac:dyDescent="0.25">
      <c r="A144" s="11" t="s">
        <v>281</v>
      </c>
      <c r="B144" s="244"/>
      <c r="C144" s="233">
        <f t="shared" si="73"/>
        <v>0</v>
      </c>
      <c r="D144" s="233">
        <f t="shared" ref="D144:AB144" si="97">IFERROR((12.011*$AD75/$B43)*D75,"")</f>
        <v>0</v>
      </c>
      <c r="E144" s="233">
        <f t="shared" si="97"/>
        <v>0</v>
      </c>
      <c r="F144" s="233">
        <f t="shared" si="97"/>
        <v>0</v>
      </c>
      <c r="G144" s="233">
        <f t="shared" si="97"/>
        <v>0</v>
      </c>
      <c r="H144" s="233">
        <f t="shared" si="97"/>
        <v>0</v>
      </c>
      <c r="I144" s="233">
        <f t="shared" si="97"/>
        <v>0</v>
      </c>
      <c r="J144" s="233">
        <f t="shared" si="97"/>
        <v>0</v>
      </c>
      <c r="K144" s="233">
        <f t="shared" si="97"/>
        <v>0</v>
      </c>
      <c r="L144" s="233">
        <f t="shared" si="97"/>
        <v>0</v>
      </c>
      <c r="M144" s="233">
        <f t="shared" si="97"/>
        <v>0</v>
      </c>
      <c r="N144" s="233">
        <f t="shared" si="97"/>
        <v>0</v>
      </c>
      <c r="O144" s="233">
        <f t="shared" si="97"/>
        <v>0</v>
      </c>
      <c r="P144" s="233" t="str">
        <f t="shared" si="97"/>
        <v/>
      </c>
      <c r="Q144" s="233" t="str">
        <f t="shared" si="97"/>
        <v/>
      </c>
      <c r="R144" s="233" t="str">
        <f t="shared" si="97"/>
        <v/>
      </c>
      <c r="S144" s="233" t="str">
        <f t="shared" si="97"/>
        <v/>
      </c>
      <c r="T144" s="233" t="str">
        <f t="shared" si="97"/>
        <v/>
      </c>
      <c r="U144" s="233" t="str">
        <f t="shared" si="97"/>
        <v/>
      </c>
      <c r="V144" s="233" t="str">
        <f t="shared" si="97"/>
        <v/>
      </c>
      <c r="W144" s="233" t="str">
        <f t="shared" si="97"/>
        <v/>
      </c>
      <c r="X144" s="233" t="str">
        <f t="shared" si="97"/>
        <v/>
      </c>
      <c r="Y144" s="233" t="str">
        <f t="shared" si="97"/>
        <v/>
      </c>
      <c r="Z144" s="233" t="str">
        <f t="shared" si="97"/>
        <v/>
      </c>
      <c r="AA144" s="233" t="str">
        <f t="shared" si="97"/>
        <v/>
      </c>
      <c r="AB144" s="233" t="str">
        <f t="shared" si="97"/>
        <v/>
      </c>
    </row>
    <row r="145" spans="1:28" ht="18" customHeight="1" x14ac:dyDescent="0.25">
      <c r="A145" s="11" t="s">
        <v>282</v>
      </c>
      <c r="B145" s="244"/>
      <c r="C145" s="233">
        <f t="shared" si="73"/>
        <v>0</v>
      </c>
      <c r="D145" s="233">
        <f t="shared" ref="D145:AB145" si="98">IFERROR((12.011*$AD76/$B44)*D76,"")</f>
        <v>0</v>
      </c>
      <c r="E145" s="233">
        <f t="shared" si="98"/>
        <v>0</v>
      </c>
      <c r="F145" s="233">
        <f t="shared" si="98"/>
        <v>0</v>
      </c>
      <c r="G145" s="233">
        <f t="shared" si="98"/>
        <v>0</v>
      </c>
      <c r="H145" s="233">
        <f t="shared" si="98"/>
        <v>0</v>
      </c>
      <c r="I145" s="233">
        <f t="shared" si="98"/>
        <v>0</v>
      </c>
      <c r="J145" s="233">
        <f t="shared" si="98"/>
        <v>0</v>
      </c>
      <c r="K145" s="233">
        <f t="shared" si="98"/>
        <v>0</v>
      </c>
      <c r="L145" s="233">
        <f t="shared" si="98"/>
        <v>0</v>
      </c>
      <c r="M145" s="233">
        <f t="shared" si="98"/>
        <v>0</v>
      </c>
      <c r="N145" s="233">
        <f t="shared" si="98"/>
        <v>0</v>
      </c>
      <c r="O145" s="233">
        <f t="shared" si="98"/>
        <v>0</v>
      </c>
      <c r="P145" s="233" t="str">
        <f t="shared" si="98"/>
        <v/>
      </c>
      <c r="Q145" s="233" t="str">
        <f t="shared" si="98"/>
        <v/>
      </c>
      <c r="R145" s="233" t="str">
        <f t="shared" si="98"/>
        <v/>
      </c>
      <c r="S145" s="233" t="str">
        <f t="shared" si="98"/>
        <v/>
      </c>
      <c r="T145" s="233" t="str">
        <f t="shared" si="98"/>
        <v/>
      </c>
      <c r="U145" s="233" t="str">
        <f t="shared" si="98"/>
        <v/>
      </c>
      <c r="V145" s="233" t="str">
        <f t="shared" si="98"/>
        <v/>
      </c>
      <c r="W145" s="233" t="str">
        <f t="shared" si="98"/>
        <v/>
      </c>
      <c r="X145" s="233" t="str">
        <f t="shared" si="98"/>
        <v/>
      </c>
      <c r="Y145" s="233" t="str">
        <f t="shared" si="98"/>
        <v/>
      </c>
      <c r="Z145" s="233" t="str">
        <f t="shared" si="98"/>
        <v/>
      </c>
      <c r="AA145" s="233" t="str">
        <f t="shared" si="98"/>
        <v/>
      </c>
      <c r="AB145" s="233" t="str">
        <f t="shared" si="98"/>
        <v/>
      </c>
    </row>
    <row r="146" spans="1:28" ht="18" customHeight="1" x14ac:dyDescent="0.25">
      <c r="A146" s="11" t="s">
        <v>283</v>
      </c>
      <c r="B146" s="244"/>
      <c r="C146" s="233">
        <f t="shared" si="73"/>
        <v>0</v>
      </c>
      <c r="D146" s="233">
        <f t="shared" ref="D146:AB146" si="99">IFERROR((12.011*$AD77/$B45)*D77,"")</f>
        <v>0</v>
      </c>
      <c r="E146" s="233">
        <f t="shared" si="99"/>
        <v>0</v>
      </c>
      <c r="F146" s="233">
        <f t="shared" si="99"/>
        <v>0</v>
      </c>
      <c r="G146" s="233">
        <f t="shared" si="99"/>
        <v>0</v>
      </c>
      <c r="H146" s="233">
        <f t="shared" si="99"/>
        <v>0</v>
      </c>
      <c r="I146" s="233">
        <f t="shared" si="99"/>
        <v>0</v>
      </c>
      <c r="J146" s="233">
        <f t="shared" si="99"/>
        <v>0</v>
      </c>
      <c r="K146" s="233">
        <f t="shared" si="99"/>
        <v>0</v>
      </c>
      <c r="L146" s="233">
        <f t="shared" si="99"/>
        <v>0</v>
      </c>
      <c r="M146" s="233">
        <f t="shared" si="99"/>
        <v>0</v>
      </c>
      <c r="N146" s="233">
        <f t="shared" si="99"/>
        <v>0</v>
      </c>
      <c r="O146" s="233">
        <f t="shared" si="99"/>
        <v>0</v>
      </c>
      <c r="P146" s="233" t="str">
        <f t="shared" si="99"/>
        <v/>
      </c>
      <c r="Q146" s="233" t="str">
        <f t="shared" si="99"/>
        <v/>
      </c>
      <c r="R146" s="233" t="str">
        <f t="shared" si="99"/>
        <v/>
      </c>
      <c r="S146" s="233" t="str">
        <f t="shared" si="99"/>
        <v/>
      </c>
      <c r="T146" s="233" t="str">
        <f t="shared" si="99"/>
        <v/>
      </c>
      <c r="U146" s="233" t="str">
        <f t="shared" si="99"/>
        <v/>
      </c>
      <c r="V146" s="233" t="str">
        <f t="shared" si="99"/>
        <v/>
      </c>
      <c r="W146" s="233" t="str">
        <f t="shared" si="99"/>
        <v/>
      </c>
      <c r="X146" s="233" t="str">
        <f t="shared" si="99"/>
        <v/>
      </c>
      <c r="Y146" s="233" t="str">
        <f t="shared" si="99"/>
        <v/>
      </c>
      <c r="Z146" s="233" t="str">
        <f t="shared" si="99"/>
        <v/>
      </c>
      <c r="AA146" s="233" t="str">
        <f t="shared" si="99"/>
        <v/>
      </c>
      <c r="AB146" s="233" t="str">
        <f t="shared" si="99"/>
        <v/>
      </c>
    </row>
    <row r="147" spans="1:28" ht="18" customHeight="1" x14ac:dyDescent="0.25">
      <c r="A147" s="11" t="s">
        <v>284</v>
      </c>
      <c r="B147" s="244"/>
      <c r="C147" s="233">
        <f t="shared" si="73"/>
        <v>0.2523138067926109</v>
      </c>
      <c r="D147" s="233">
        <f t="shared" ref="D147:AB147" si="100">IFERROR((12.011*$AD78/$B46)*D78,"")</f>
        <v>0.25321984531757014</v>
      </c>
      <c r="E147" s="233">
        <f t="shared" si="100"/>
        <v>0.25942054673314835</v>
      </c>
      <c r="F147" s="233">
        <f t="shared" si="100"/>
        <v>0.26184264630913723</v>
      </c>
      <c r="G147" s="233">
        <f t="shared" si="100"/>
        <v>0.26876984014743827</v>
      </c>
      <c r="H147" s="233">
        <f t="shared" si="100"/>
        <v>0.1814939147653219</v>
      </c>
      <c r="I147" s="233">
        <f t="shared" si="100"/>
        <v>0.26930954298425908</v>
      </c>
      <c r="J147" s="233">
        <f t="shared" si="100"/>
        <v>0.27230467554831228</v>
      </c>
      <c r="K147" s="233">
        <f t="shared" si="100"/>
        <v>0.25487910592882512</v>
      </c>
      <c r="L147" s="233">
        <f t="shared" si="100"/>
        <v>0.25294626093802691</v>
      </c>
      <c r="M147" s="233">
        <f t="shared" si="100"/>
        <v>0.25162108086041801</v>
      </c>
      <c r="N147" s="233">
        <f t="shared" si="100"/>
        <v>0.25179953891301809</v>
      </c>
      <c r="O147" s="233">
        <f t="shared" si="100"/>
        <v>0.25015868306585592</v>
      </c>
      <c r="P147" s="233" t="str">
        <f t="shared" si="100"/>
        <v/>
      </c>
      <c r="Q147" s="233" t="str">
        <f t="shared" si="100"/>
        <v/>
      </c>
      <c r="R147" s="233" t="str">
        <f t="shared" si="100"/>
        <v/>
      </c>
      <c r="S147" s="233" t="str">
        <f t="shared" si="100"/>
        <v/>
      </c>
      <c r="T147" s="233" t="str">
        <f t="shared" si="100"/>
        <v/>
      </c>
      <c r="U147" s="233" t="str">
        <f t="shared" si="100"/>
        <v/>
      </c>
      <c r="V147" s="233" t="str">
        <f t="shared" si="100"/>
        <v/>
      </c>
      <c r="W147" s="233" t="str">
        <f t="shared" si="100"/>
        <v/>
      </c>
      <c r="X147" s="233" t="str">
        <f t="shared" si="100"/>
        <v/>
      </c>
      <c r="Y147" s="233" t="str">
        <f t="shared" si="100"/>
        <v/>
      </c>
      <c r="Z147" s="233" t="str">
        <f t="shared" si="100"/>
        <v/>
      </c>
      <c r="AA147" s="233" t="str">
        <f t="shared" si="100"/>
        <v/>
      </c>
      <c r="AB147" s="233" t="str">
        <f t="shared" si="100"/>
        <v/>
      </c>
    </row>
    <row r="148" spans="1:28" ht="18" customHeight="1" x14ac:dyDescent="0.25">
      <c r="A148" s="11" t="s">
        <v>285</v>
      </c>
      <c r="B148" s="244"/>
      <c r="C148" s="233">
        <f t="shared" si="73"/>
        <v>5.67956179138196E-6</v>
      </c>
      <c r="D148" s="233">
        <f t="shared" ref="D148:AB148" si="101">IFERROR((12.011*$AD79/$B47)*D79,"")</f>
        <v>4.5645225420689548E-5</v>
      </c>
      <c r="E148" s="233">
        <f t="shared" si="101"/>
        <v>2.2509516075893965E-5</v>
      </c>
      <c r="F148" s="233">
        <f t="shared" si="101"/>
        <v>0</v>
      </c>
      <c r="G148" s="233">
        <f t="shared" si="101"/>
        <v>0</v>
      </c>
      <c r="H148" s="233">
        <f t="shared" si="101"/>
        <v>0</v>
      </c>
      <c r="I148" s="233">
        <f t="shared" si="101"/>
        <v>0</v>
      </c>
      <c r="J148" s="233">
        <f t="shared" si="101"/>
        <v>0</v>
      </c>
      <c r="K148" s="233">
        <f t="shared" si="101"/>
        <v>0</v>
      </c>
      <c r="L148" s="233">
        <f t="shared" si="101"/>
        <v>0</v>
      </c>
      <c r="M148" s="233">
        <f t="shared" si="101"/>
        <v>0</v>
      </c>
      <c r="N148" s="233">
        <f t="shared" si="101"/>
        <v>0</v>
      </c>
      <c r="O148" s="233">
        <f t="shared" si="101"/>
        <v>0</v>
      </c>
      <c r="P148" s="233" t="str">
        <f t="shared" si="101"/>
        <v/>
      </c>
      <c r="Q148" s="233" t="str">
        <f t="shared" si="101"/>
        <v/>
      </c>
      <c r="R148" s="233" t="str">
        <f t="shared" si="101"/>
        <v/>
      </c>
      <c r="S148" s="233" t="str">
        <f t="shared" si="101"/>
        <v/>
      </c>
      <c r="T148" s="233" t="str">
        <f t="shared" si="101"/>
        <v/>
      </c>
      <c r="U148" s="233" t="str">
        <f t="shared" si="101"/>
        <v/>
      </c>
      <c r="V148" s="233" t="str">
        <f t="shared" si="101"/>
        <v/>
      </c>
      <c r="W148" s="233" t="str">
        <f t="shared" si="101"/>
        <v/>
      </c>
      <c r="X148" s="233" t="str">
        <f t="shared" si="101"/>
        <v/>
      </c>
      <c r="Y148" s="233" t="str">
        <f t="shared" si="101"/>
        <v/>
      </c>
      <c r="Z148" s="233" t="str">
        <f t="shared" si="101"/>
        <v/>
      </c>
      <c r="AA148" s="233" t="str">
        <f t="shared" si="101"/>
        <v/>
      </c>
      <c r="AB148" s="233" t="str">
        <f t="shared" si="101"/>
        <v/>
      </c>
    </row>
    <row r="149" spans="1:28" ht="18" customHeight="1" x14ac:dyDescent="0.25">
      <c r="A149" s="11" t="s">
        <v>286</v>
      </c>
      <c r="B149" s="244"/>
      <c r="C149" s="233">
        <f t="shared" si="73"/>
        <v>0</v>
      </c>
      <c r="D149" s="233">
        <f t="shared" ref="D149:AB149" si="102">IFERROR((12.011*$AD80/$B48)*D80,"")</f>
        <v>0</v>
      </c>
      <c r="E149" s="233">
        <f t="shared" si="102"/>
        <v>0</v>
      </c>
      <c r="F149" s="233">
        <f t="shared" si="102"/>
        <v>0</v>
      </c>
      <c r="G149" s="233">
        <f t="shared" si="102"/>
        <v>0</v>
      </c>
      <c r="H149" s="233">
        <f t="shared" si="102"/>
        <v>0</v>
      </c>
      <c r="I149" s="233">
        <f t="shared" si="102"/>
        <v>0</v>
      </c>
      <c r="J149" s="233">
        <f t="shared" si="102"/>
        <v>0</v>
      </c>
      <c r="K149" s="233">
        <f t="shared" si="102"/>
        <v>0</v>
      </c>
      <c r="L149" s="233">
        <f t="shared" si="102"/>
        <v>0</v>
      </c>
      <c r="M149" s="233">
        <f t="shared" si="102"/>
        <v>0</v>
      </c>
      <c r="N149" s="233">
        <f t="shared" si="102"/>
        <v>0</v>
      </c>
      <c r="O149" s="233">
        <f t="shared" si="102"/>
        <v>0</v>
      </c>
      <c r="P149" s="233" t="str">
        <f t="shared" si="102"/>
        <v/>
      </c>
      <c r="Q149" s="233" t="str">
        <f t="shared" si="102"/>
        <v/>
      </c>
      <c r="R149" s="233" t="str">
        <f t="shared" si="102"/>
        <v/>
      </c>
      <c r="S149" s="233" t="str">
        <f t="shared" si="102"/>
        <v/>
      </c>
      <c r="T149" s="233" t="str">
        <f t="shared" si="102"/>
        <v/>
      </c>
      <c r="U149" s="233" t="str">
        <f t="shared" si="102"/>
        <v/>
      </c>
      <c r="V149" s="233" t="str">
        <f t="shared" si="102"/>
        <v/>
      </c>
      <c r="W149" s="233" t="str">
        <f t="shared" si="102"/>
        <v/>
      </c>
      <c r="X149" s="233" t="str">
        <f t="shared" si="102"/>
        <v/>
      </c>
      <c r="Y149" s="233" t="str">
        <f t="shared" si="102"/>
        <v/>
      </c>
      <c r="Z149" s="233" t="str">
        <f t="shared" si="102"/>
        <v/>
      </c>
      <c r="AA149" s="233" t="str">
        <f t="shared" si="102"/>
        <v/>
      </c>
      <c r="AB149" s="233" t="str">
        <f t="shared" si="102"/>
        <v/>
      </c>
    </row>
    <row r="150" spans="1:28" ht="18" customHeight="1" x14ac:dyDescent="0.25">
      <c r="A150" s="252" t="s">
        <v>44</v>
      </c>
      <c r="B150" s="244"/>
      <c r="C150" s="253">
        <f>SUM(C121:C149)</f>
        <v>0.36355400690568368</v>
      </c>
      <c r="D150" s="253">
        <f t="shared" ref="D150:AB150" si="103">IF(SUM(D121:D149)=0,"",SUM(D121:D149))</f>
        <v>0.35070514078939791</v>
      </c>
      <c r="E150" s="253">
        <f t="shared" si="103"/>
        <v>0.35766749039971318</v>
      </c>
      <c r="F150" s="253">
        <f t="shared" si="103"/>
        <v>0.35934318273443266</v>
      </c>
      <c r="G150" s="253">
        <f t="shared" si="103"/>
        <v>0.36726925693101786</v>
      </c>
      <c r="H150" s="253">
        <f t="shared" si="103"/>
        <v>0.45252167076493216</v>
      </c>
      <c r="I150" s="253">
        <f t="shared" si="103"/>
        <v>0.36993724443374509</v>
      </c>
      <c r="J150" s="253">
        <f t="shared" si="103"/>
        <v>0.369440550282088</v>
      </c>
      <c r="K150" s="253">
        <f t="shared" si="103"/>
        <v>0.35059258725652526</v>
      </c>
      <c r="L150" s="253">
        <f t="shared" si="103"/>
        <v>0.34849375330444599</v>
      </c>
      <c r="M150" s="253">
        <f t="shared" si="103"/>
        <v>0.34650265547177178</v>
      </c>
      <c r="N150" s="253">
        <f t="shared" si="103"/>
        <v>0.34682155004667164</v>
      </c>
      <c r="O150" s="253">
        <f t="shared" si="103"/>
        <v>0.34335300045346284</v>
      </c>
      <c r="P150" s="253" t="str">
        <f t="shared" si="103"/>
        <v/>
      </c>
      <c r="Q150" s="253" t="str">
        <f t="shared" si="103"/>
        <v/>
      </c>
      <c r="R150" s="253" t="str">
        <f t="shared" si="103"/>
        <v/>
      </c>
      <c r="S150" s="253" t="str">
        <f t="shared" si="103"/>
        <v/>
      </c>
      <c r="T150" s="253" t="str">
        <f t="shared" si="103"/>
        <v/>
      </c>
      <c r="U150" s="253" t="str">
        <f t="shared" si="103"/>
        <v/>
      </c>
      <c r="V150" s="253" t="str">
        <f t="shared" si="103"/>
        <v/>
      </c>
      <c r="W150" s="253" t="str">
        <f t="shared" si="103"/>
        <v/>
      </c>
      <c r="X150" s="253" t="str">
        <f t="shared" si="103"/>
        <v/>
      </c>
      <c r="Y150" s="253" t="str">
        <f t="shared" si="103"/>
        <v/>
      </c>
      <c r="Z150" s="253" t="str">
        <f t="shared" si="103"/>
        <v/>
      </c>
      <c r="AA150" s="253" t="str">
        <f t="shared" si="103"/>
        <v/>
      </c>
      <c r="AB150" s="253" t="str">
        <f t="shared" si="103"/>
        <v/>
      </c>
    </row>
  </sheetData>
  <sheetProtection sheet="1" objects="1" scenarios="1"/>
  <mergeCells count="1">
    <mergeCell ref="H5:K5"/>
  </mergeCells>
  <conditionalFormatting sqref="B52:AB84">
    <cfRule type="expression" dxfId="80" priority="3">
      <formula>NOT(B52="")</formula>
    </cfRule>
  </conditionalFormatting>
  <conditionalFormatting sqref="B88:AB118">
    <cfRule type="expression" dxfId="79" priority="6">
      <formula>NOT(B88="")</formula>
    </cfRule>
  </conditionalFormatting>
  <conditionalFormatting sqref="C121:C149">
    <cfRule type="expression" dxfId="78" priority="2">
      <formula>NOT(C121="")</formula>
    </cfRule>
  </conditionalFormatting>
  <conditionalFormatting sqref="D15:AB16">
    <cfRule type="expression" dxfId="77" priority="19">
      <formula>NOT(D15="")</formula>
    </cfRule>
  </conditionalFormatting>
  <conditionalFormatting sqref="D16:AB16">
    <cfRule type="expression" dxfId="76" priority="22">
      <formula>OR(D16&lt;$C$5, D16&gt;$C$6)</formula>
    </cfRule>
  </conditionalFormatting>
  <conditionalFormatting sqref="D17:AB18">
    <cfRule type="containsText" dxfId="75" priority="21" operator="containsText" text="ERROR">
      <formula>NOT(ISERROR(SEARCH("ERROR",D17)))</formula>
    </cfRule>
  </conditionalFormatting>
  <conditionalFormatting sqref="D20:AB49 B20:B49">
    <cfRule type="expression" dxfId="74" priority="18">
      <formula>NOT(B20="")</formula>
    </cfRule>
  </conditionalFormatting>
  <conditionalFormatting sqref="D20:AB49">
    <cfRule type="expression" dxfId="73" priority="11">
      <formula>C20&gt;$AE20</formula>
    </cfRule>
  </conditionalFormatting>
  <conditionalFormatting sqref="D120:AB149">
    <cfRule type="expression" dxfId="72" priority="1">
      <formula>NOT(D120="")</formula>
    </cfRule>
  </conditionalFormatting>
  <conditionalFormatting sqref="K6">
    <cfRule type="containsText" dxfId="71" priority="12" operator="containsText" text="Pass">
      <formula>NOT(ISERROR(SEARCH("Pass",K6)))</formula>
    </cfRule>
    <cfRule type="containsText" dxfId="70" priority="13" operator="containsText" text="Fail">
      <formula>NOT(ISERROR(SEARCH("Fail",K6)))</formula>
    </cfRule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AE150"/>
  <sheetViews>
    <sheetView showGridLines="0" topLeftCell="A13" zoomScaleNormal="100" workbookViewId="0">
      <selection activeCell="D20" sqref="D20:N25"/>
    </sheetView>
  </sheetViews>
  <sheetFormatPr defaultColWidth="9.140625" defaultRowHeight="18" customHeight="1" outlineLevelRow="2" x14ac:dyDescent="0.25"/>
  <cols>
    <col min="1" max="1" width="38.42578125" style="1" customWidth="1"/>
    <col min="2" max="2" width="17.85546875" style="1" hidden="1" customWidth="1"/>
    <col min="3" max="4" width="17.85546875" style="1" customWidth="1"/>
    <col min="5" max="28" width="15.42578125" style="1" bestFit="1" customWidth="1"/>
    <col min="29" max="30" width="12.85546875" style="1" customWidth="1"/>
    <col min="31" max="32" width="9.140625" style="1" customWidth="1"/>
    <col min="33" max="16384" width="9.140625" style="1"/>
  </cols>
  <sheetData>
    <row r="1" spans="1:29" s="2" customFormat="1" ht="18" customHeight="1" x14ac:dyDescent="0.25">
      <c r="A1" s="9" t="s">
        <v>0</v>
      </c>
      <c r="B1" s="34"/>
      <c r="C1" s="34" t="str">
        <f>'R5_MB'!C1</f>
        <v>R6-C1-S1</v>
      </c>
    </row>
    <row r="2" spans="1:29" s="2" customFormat="1" ht="18" customHeight="1" x14ac:dyDescent="0.25">
      <c r="A2" s="9" t="s">
        <v>1</v>
      </c>
      <c r="B2" s="46"/>
      <c r="C2" s="46" t="str">
        <f>'R5_MB'!C2</f>
        <v/>
      </c>
      <c r="D2" s="45"/>
      <c r="E2" s="45"/>
      <c r="F2" s="45"/>
      <c r="G2" s="45"/>
      <c r="H2" s="45"/>
      <c r="I2" s="45"/>
      <c r="J2" s="44"/>
      <c r="K2" s="141"/>
      <c r="L2" s="141"/>
      <c r="M2" s="141"/>
      <c r="N2" s="141"/>
    </row>
    <row r="3" spans="1:29" s="2" customFormat="1" ht="18" customHeight="1" x14ac:dyDescent="0.25">
      <c r="A3" s="9" t="s">
        <v>3</v>
      </c>
      <c r="B3" s="43"/>
      <c r="C3" s="43">
        <f>Run_Plan!$B$3</f>
        <v>45425.583333333336</v>
      </c>
      <c r="D3" s="91"/>
      <c r="E3" s="9" t="s">
        <v>126</v>
      </c>
      <c r="F3" s="41">
        <f>(C6-C5)*1440</f>
        <v>5.9999999986030161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</row>
    <row r="4" spans="1:29" s="2" customFormat="1" ht="18" customHeight="1" x14ac:dyDescent="0.25">
      <c r="A4" s="9" t="s">
        <v>123</v>
      </c>
      <c r="B4" s="43"/>
      <c r="C4" s="43" t="str">
        <f>Liq!B4</f>
        <v>C1-S1</v>
      </c>
      <c r="D4" s="93"/>
      <c r="E4" s="12" t="s">
        <v>127</v>
      </c>
      <c r="F4" s="40">
        <f>24*((C5+C6)/2-C3)</f>
        <v>17.916666666569654</v>
      </c>
    </row>
    <row r="5" spans="1:29" s="2" customFormat="1" ht="18" customHeight="1" x14ac:dyDescent="0.25">
      <c r="A5" s="9" t="s">
        <v>124</v>
      </c>
      <c r="B5" s="92"/>
      <c r="C5" s="92">
        <f>Liq!B5</f>
        <v>45426.327777777777</v>
      </c>
      <c r="D5" s="91"/>
      <c r="E5" s="79" t="s">
        <v>212</v>
      </c>
      <c r="F5" s="158">
        <f>Gas!G20</f>
        <v>0.22890922011282697</v>
      </c>
      <c r="H5" s="257" t="s">
        <v>213</v>
      </c>
      <c r="I5" s="258"/>
      <c r="J5" s="258"/>
      <c r="K5" s="259"/>
    </row>
    <row r="6" spans="1:29" s="2" customFormat="1" ht="18" customHeight="1" x14ac:dyDescent="0.25">
      <c r="A6" s="9" t="s">
        <v>125</v>
      </c>
      <c r="B6" s="43"/>
      <c r="C6" s="43">
        <f>Liq!B6</f>
        <v>45426.331944444442</v>
      </c>
      <c r="D6" s="42"/>
      <c r="E6" s="42"/>
      <c r="H6" s="185">
        <f t="array" ref="H6">MIN(IF(D16:XFD16&lt;&gt;0,D16:XFD16))</f>
        <v>0</v>
      </c>
      <c r="I6" s="185">
        <f t="array" ref="I6">MAX(IF(D16:XFD16&lt;&gt;0,D16:XFD16))</f>
        <v>0</v>
      </c>
      <c r="J6" s="70"/>
      <c r="K6" s="186" t="str">
        <f>IF(AND(H7=TRUE,I7=TRUE),"Pass","Fail")</f>
        <v>Pass</v>
      </c>
    </row>
    <row r="7" spans="1:29" s="2" customFormat="1" ht="18" customHeight="1" x14ac:dyDescent="0.25">
      <c r="H7" s="70" t="b">
        <f>IF(Liq!H3&gt;'R1_MB'!H6,"NA",TRUE)</f>
        <v>1</v>
      </c>
      <c r="I7" s="70" t="b">
        <f>IF(Liq!H6&lt;'R1_MB'!I6,"NA",TRUE)</f>
        <v>1</v>
      </c>
    </row>
    <row r="8" spans="1:29" s="2" customFormat="1" ht="18" customHeight="1" x14ac:dyDescent="0.25">
      <c r="A8" s="9" t="s">
        <v>214</v>
      </c>
      <c r="B8" s="43"/>
      <c r="C8" s="94">
        <f>Liq!G13</f>
        <v>0.50000000002910383</v>
      </c>
      <c r="D8" s="42"/>
      <c r="E8" s="42"/>
    </row>
    <row r="9" spans="1:29" s="2" customFormat="1" ht="18" customHeight="1" x14ac:dyDescent="0.25">
      <c r="A9" s="9" t="s">
        <v>215</v>
      </c>
      <c r="B9" s="43"/>
      <c r="C9" s="94">
        <f>IFERROR(Gas!G12-Gas!G20,"")</f>
        <v>2.5568050656014587</v>
      </c>
      <c r="D9" s="142" t="s">
        <v>216</v>
      </c>
      <c r="E9" s="42"/>
    </row>
    <row r="10" spans="1:29" s="2" customFormat="1" ht="18" customHeight="1" x14ac:dyDescent="0.25">
      <c r="A10" s="9" t="s">
        <v>217</v>
      </c>
      <c r="B10" s="43"/>
      <c r="C10" s="94">
        <f>Liq!G40</f>
        <v>0</v>
      </c>
      <c r="D10" s="42"/>
      <c r="E10" s="42"/>
    </row>
    <row r="11" spans="1:29" s="2" customFormat="1" ht="18" customHeight="1" x14ac:dyDescent="0.25">
      <c r="A11" s="9" t="s">
        <v>218</v>
      </c>
      <c r="B11" s="43"/>
      <c r="C11" s="94">
        <f>Liq!G41</f>
        <v>0</v>
      </c>
      <c r="D11" s="42"/>
      <c r="E11" s="42"/>
    </row>
    <row r="12" spans="1:29" s="2" customFormat="1" ht="18" customHeight="1" x14ac:dyDescent="0.25">
      <c r="A12" s="9" t="s">
        <v>219</v>
      </c>
      <c r="B12" s="43"/>
      <c r="C12" s="94">
        <f>SUM(C52:C74,C76:C80)</f>
        <v>3.1657485673778645</v>
      </c>
      <c r="D12" s="142" t="s">
        <v>216</v>
      </c>
      <c r="E12" s="42"/>
    </row>
    <row r="13" spans="1:29" s="2" customFormat="1" ht="18" customHeight="1" x14ac:dyDescent="0.25">
      <c r="A13" s="9" t="s">
        <v>220</v>
      </c>
      <c r="B13" s="43"/>
      <c r="C13" s="36">
        <f>IFERROR(100*(C12+C11+C10)/(C9+C8),"")</f>
        <v>103.56396627878621</v>
      </c>
      <c r="D13" s="142"/>
      <c r="E13" s="42"/>
    </row>
    <row r="14" spans="1:29" s="2" customFormat="1" ht="18" customHeight="1" x14ac:dyDescent="0.25"/>
    <row r="15" spans="1:29" ht="18" customHeight="1" outlineLevel="1" x14ac:dyDescent="0.25">
      <c r="A15" s="9" t="s">
        <v>221</v>
      </c>
      <c r="B15" s="143"/>
      <c r="C15" s="151"/>
      <c r="D15" s="130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</row>
    <row r="16" spans="1:29" s="134" customFormat="1" ht="18" customHeight="1" outlineLevel="1" x14ac:dyDescent="0.25">
      <c r="A16" s="139" t="s">
        <v>222</v>
      </c>
      <c r="B16" s="144"/>
      <c r="C16" s="152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31" ht="18" customHeight="1" outlineLevel="1" x14ac:dyDescent="0.25">
      <c r="A17" s="9" t="s">
        <v>223</v>
      </c>
      <c r="B17" s="145"/>
      <c r="C17" s="153"/>
      <c r="D17" s="148" t="str">
        <f t="shared" ref="D17:AB17" si="0">IF(D15="", "", (D16-$D$16)*1440)</f>
        <v/>
      </c>
      <c r="E17" s="140" t="str">
        <f t="shared" si="0"/>
        <v/>
      </c>
      <c r="F17" s="140" t="str">
        <f t="shared" si="0"/>
        <v/>
      </c>
      <c r="G17" s="140" t="str">
        <f t="shared" si="0"/>
        <v/>
      </c>
      <c r="H17" s="140" t="str">
        <f t="shared" si="0"/>
        <v/>
      </c>
      <c r="I17" s="140" t="str">
        <f t="shared" si="0"/>
        <v/>
      </c>
      <c r="J17" s="140" t="str">
        <f t="shared" si="0"/>
        <v/>
      </c>
      <c r="K17" s="140" t="str">
        <f t="shared" si="0"/>
        <v/>
      </c>
      <c r="L17" s="140" t="str">
        <f t="shared" si="0"/>
        <v/>
      </c>
      <c r="M17" s="140" t="str">
        <f t="shared" si="0"/>
        <v/>
      </c>
      <c r="N17" s="140" t="str">
        <f t="shared" si="0"/>
        <v/>
      </c>
      <c r="O17" s="140" t="str">
        <f t="shared" si="0"/>
        <v/>
      </c>
      <c r="P17" s="140" t="str">
        <f t="shared" si="0"/>
        <v/>
      </c>
      <c r="Q17" s="140" t="str">
        <f t="shared" si="0"/>
        <v/>
      </c>
      <c r="R17" s="140" t="str">
        <f t="shared" si="0"/>
        <v/>
      </c>
      <c r="S17" s="140" t="str">
        <f t="shared" si="0"/>
        <v/>
      </c>
      <c r="T17" s="140" t="str">
        <f t="shared" si="0"/>
        <v/>
      </c>
      <c r="U17" s="140" t="str">
        <f t="shared" si="0"/>
        <v/>
      </c>
      <c r="V17" s="140" t="str">
        <f t="shared" si="0"/>
        <v/>
      </c>
      <c r="W17" s="140" t="str">
        <f t="shared" si="0"/>
        <v/>
      </c>
      <c r="X17" s="140" t="str">
        <f t="shared" si="0"/>
        <v/>
      </c>
      <c r="Y17" s="140" t="str">
        <f t="shared" si="0"/>
        <v/>
      </c>
      <c r="Z17" s="140" t="str">
        <f t="shared" si="0"/>
        <v/>
      </c>
      <c r="AA17" s="140" t="str">
        <f t="shared" si="0"/>
        <v/>
      </c>
      <c r="AB17" s="140" t="str">
        <f t="shared" si="0"/>
        <v/>
      </c>
    </row>
    <row r="18" spans="1:31" ht="18" customHeight="1" outlineLevel="1" x14ac:dyDescent="0.25">
      <c r="A18" s="9" t="s">
        <v>224</v>
      </c>
      <c r="B18" s="146"/>
      <c r="C18" s="154"/>
      <c r="D18" s="149"/>
      <c r="E18" s="140" t="str">
        <f t="shared" ref="E18:AB18" si="1">IF(E17="", "", E17-D17)</f>
        <v/>
      </c>
      <c r="F18" s="140" t="str">
        <f t="shared" si="1"/>
        <v/>
      </c>
      <c r="G18" s="140" t="str">
        <f t="shared" si="1"/>
        <v/>
      </c>
      <c r="H18" s="140" t="str">
        <f t="shared" si="1"/>
        <v/>
      </c>
      <c r="I18" s="140" t="str">
        <f t="shared" si="1"/>
        <v/>
      </c>
      <c r="J18" s="140" t="str">
        <f t="shared" si="1"/>
        <v/>
      </c>
      <c r="K18" s="140" t="str">
        <f t="shared" si="1"/>
        <v/>
      </c>
      <c r="L18" s="140" t="str">
        <f t="shared" si="1"/>
        <v/>
      </c>
      <c r="M18" s="140" t="str">
        <f t="shared" si="1"/>
        <v/>
      </c>
      <c r="N18" s="140" t="str">
        <f t="shared" si="1"/>
        <v/>
      </c>
      <c r="O18" s="140" t="str">
        <f t="shared" si="1"/>
        <v/>
      </c>
      <c r="P18" s="140" t="str">
        <f t="shared" si="1"/>
        <v/>
      </c>
      <c r="Q18" s="140" t="str">
        <f t="shared" si="1"/>
        <v/>
      </c>
      <c r="R18" s="140" t="str">
        <f t="shared" si="1"/>
        <v/>
      </c>
      <c r="S18" s="140" t="str">
        <f t="shared" si="1"/>
        <v/>
      </c>
      <c r="T18" s="140" t="str">
        <f t="shared" si="1"/>
        <v/>
      </c>
      <c r="U18" s="140" t="str">
        <f t="shared" si="1"/>
        <v/>
      </c>
      <c r="V18" s="140" t="str">
        <f t="shared" si="1"/>
        <v/>
      </c>
      <c r="W18" s="140" t="str">
        <f t="shared" si="1"/>
        <v/>
      </c>
      <c r="X18" s="140" t="str">
        <f t="shared" si="1"/>
        <v/>
      </c>
      <c r="Y18" s="140" t="str">
        <f t="shared" si="1"/>
        <v/>
      </c>
      <c r="Z18" s="140" t="str">
        <f t="shared" si="1"/>
        <v/>
      </c>
      <c r="AA18" s="140" t="str">
        <f t="shared" si="1"/>
        <v/>
      </c>
      <c r="AB18" s="140" t="str">
        <f t="shared" si="1"/>
        <v/>
      </c>
      <c r="AC18" s="2"/>
      <c r="AD18" s="135"/>
    </row>
    <row r="19" spans="1:31" ht="18" customHeight="1" outlineLevel="1" x14ac:dyDescent="0.25">
      <c r="A19" s="9" t="s">
        <v>225</v>
      </c>
      <c r="B19" s="147" t="s">
        <v>60</v>
      </c>
      <c r="C19" s="155"/>
      <c r="D19" s="16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</row>
    <row r="20" spans="1:31" ht="18" customHeight="1" outlineLevel="1" x14ac:dyDescent="0.25">
      <c r="A20" s="9" t="s">
        <v>34</v>
      </c>
      <c r="B20" s="127">
        <v>16.04</v>
      </c>
      <c r="C20" s="156"/>
      <c r="D20" s="119">
        <v>2.5955300000000001</v>
      </c>
      <c r="E20" s="119">
        <v>2.591018</v>
      </c>
      <c r="F20" s="119">
        <v>2.5989819999999999</v>
      </c>
      <c r="G20" s="119">
        <v>2.640193</v>
      </c>
      <c r="H20" s="119">
        <v>1.181611</v>
      </c>
      <c r="I20" s="119">
        <v>2.6319530000000002</v>
      </c>
      <c r="J20" s="119">
        <v>2.6369440000000002</v>
      </c>
      <c r="K20" s="119">
        <v>2.6071529999999998</v>
      </c>
      <c r="L20" s="119">
        <v>2.6083660000000002</v>
      </c>
      <c r="M20" s="119">
        <v>2.606401</v>
      </c>
      <c r="N20" s="119">
        <v>2.6090409999999999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92">
        <f t="shared" ref="AC20:AC48" si="2">IFERROR(_xlfn.STDEV.S(E20:AB20),"")</f>
        <v>0.45340352228519543</v>
      </c>
      <c r="AD20" s="192">
        <f t="shared" ref="AD20:AD48" si="3">IFERROR(AVERAGE(E20:AB20),"")</f>
        <v>2.4711661999999999</v>
      </c>
      <c r="AE20" s="189">
        <f t="shared" ref="AE20:AE48" si="4">IFERROR(AD20+(2*AC20),"")</f>
        <v>3.3779732445703905</v>
      </c>
    </row>
    <row r="21" spans="1:31" ht="18" customHeight="1" outlineLevel="1" x14ac:dyDescent="0.25">
      <c r="A21" s="9" t="s">
        <v>35</v>
      </c>
      <c r="B21" s="127">
        <v>30.07</v>
      </c>
      <c r="C21" s="156"/>
      <c r="D21" s="119">
        <v>2.2330000000000002E-3</v>
      </c>
      <c r="E21" s="119">
        <v>2.16E-3</v>
      </c>
      <c r="F21" s="119">
        <v>2.1210000000000001E-3</v>
      </c>
      <c r="G21" s="119">
        <v>2.0110000000000002E-3</v>
      </c>
      <c r="H21" s="119">
        <v>7.4434E-2</v>
      </c>
      <c r="I21" s="119">
        <v>1.843E-3</v>
      </c>
      <c r="J21" s="119">
        <v>1.6540000000000001E-3</v>
      </c>
      <c r="K21" s="119">
        <v>2.2369999999999998E-3</v>
      </c>
      <c r="L21" s="119">
        <v>1.756E-3</v>
      </c>
      <c r="M21" s="119">
        <v>1.7880000000000001E-3</v>
      </c>
      <c r="N21" s="119">
        <v>1.825E-3</v>
      </c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92">
        <f t="shared" si="2"/>
        <v>2.2927712084578639E-2</v>
      </c>
      <c r="AD21" s="192">
        <f t="shared" si="3"/>
        <v>9.182899999999999E-3</v>
      </c>
      <c r="AE21" s="189">
        <f t="shared" si="4"/>
        <v>5.5038324169157278E-2</v>
      </c>
    </row>
    <row r="22" spans="1:31" ht="18" customHeight="1" outlineLevel="1" x14ac:dyDescent="0.25">
      <c r="A22" s="9" t="s">
        <v>33</v>
      </c>
      <c r="B22" s="127">
        <v>28.05</v>
      </c>
      <c r="C22" s="156"/>
      <c r="D22" s="119">
        <v>1.6243179999999999</v>
      </c>
      <c r="E22" s="119">
        <v>1.624973</v>
      </c>
      <c r="F22" s="119">
        <v>1.6316569999999999</v>
      </c>
      <c r="G22" s="119">
        <v>1.65873</v>
      </c>
      <c r="H22" s="119">
        <v>1.679902</v>
      </c>
      <c r="I22" s="119">
        <v>1.658701</v>
      </c>
      <c r="J22" s="119">
        <v>1.6513910000000001</v>
      </c>
      <c r="K22" s="119">
        <v>1.641327</v>
      </c>
      <c r="L22" s="119">
        <v>1.640325</v>
      </c>
      <c r="M22" s="119">
        <v>1.6399859999999999</v>
      </c>
      <c r="N22" s="119">
        <v>1.642328</v>
      </c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92">
        <f t="shared" si="2"/>
        <v>1.5792548376440792E-2</v>
      </c>
      <c r="AD22" s="192">
        <f t="shared" si="3"/>
        <v>1.6469320000000003</v>
      </c>
      <c r="AE22" s="189">
        <f t="shared" si="4"/>
        <v>1.678517096752882</v>
      </c>
    </row>
    <row r="23" spans="1:31" ht="18" customHeight="1" outlineLevel="1" x14ac:dyDescent="0.25">
      <c r="A23" s="9" t="s">
        <v>57</v>
      </c>
      <c r="B23" s="127">
        <v>44.1</v>
      </c>
      <c r="C23" s="156"/>
      <c r="D23" s="119">
        <v>0</v>
      </c>
      <c r="E23" s="119">
        <v>0</v>
      </c>
      <c r="F23" s="119">
        <v>0</v>
      </c>
      <c r="G23" s="119">
        <v>0</v>
      </c>
      <c r="H23" s="119">
        <v>2.0479999999999999E-3</v>
      </c>
      <c r="I23" s="119">
        <v>0</v>
      </c>
      <c r="J23" s="119">
        <v>0</v>
      </c>
      <c r="K23" s="119">
        <v>0</v>
      </c>
      <c r="L23" s="119">
        <v>0</v>
      </c>
      <c r="M23" s="119">
        <v>0</v>
      </c>
      <c r="N23" s="119">
        <v>0</v>
      </c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92">
        <f t="shared" si="2"/>
        <v>6.4763446480248406E-4</v>
      </c>
      <c r="AD23" s="192">
        <f t="shared" si="3"/>
        <v>2.0479999999999999E-4</v>
      </c>
      <c r="AE23" s="189">
        <f t="shared" si="4"/>
        <v>1.5000689296049681E-3</v>
      </c>
    </row>
    <row r="24" spans="1:31" ht="18" customHeight="1" outlineLevel="1" x14ac:dyDescent="0.25">
      <c r="A24" s="9" t="s">
        <v>56</v>
      </c>
      <c r="B24" s="127">
        <v>42.08</v>
      </c>
      <c r="C24" s="156"/>
      <c r="D24" s="119">
        <v>1.766E-3</v>
      </c>
      <c r="E24" s="119">
        <v>1.067E-3</v>
      </c>
      <c r="F24" s="119">
        <v>6.78E-4</v>
      </c>
      <c r="G24" s="119">
        <v>4.8000000000000001E-4</v>
      </c>
      <c r="H24" s="119">
        <v>8.7430000000000008E-3</v>
      </c>
      <c r="I24" s="119">
        <v>3.4000000000000002E-4</v>
      </c>
      <c r="J24" s="119">
        <v>2.5000000000000001E-4</v>
      </c>
      <c r="K24" s="119">
        <v>0</v>
      </c>
      <c r="L24" s="119">
        <v>0</v>
      </c>
      <c r="M24" s="119">
        <v>0</v>
      </c>
      <c r="N24" s="119">
        <v>0</v>
      </c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92">
        <f t="shared" si="2"/>
        <v>2.6892375127533829E-3</v>
      </c>
      <c r="AD24" s="192">
        <f t="shared" si="3"/>
        <v>1.1558E-3</v>
      </c>
      <c r="AE24" s="189">
        <f t="shared" si="4"/>
        <v>6.5342750255067659E-3</v>
      </c>
    </row>
    <row r="25" spans="1:31" ht="18" customHeight="1" outlineLevel="1" x14ac:dyDescent="0.25">
      <c r="A25" s="9" t="s">
        <v>226</v>
      </c>
      <c r="B25" s="127">
        <v>58.12</v>
      </c>
      <c r="C25" s="156"/>
      <c r="D25" s="119">
        <v>0</v>
      </c>
      <c r="E25" s="119">
        <v>0</v>
      </c>
      <c r="F25" s="119">
        <v>0</v>
      </c>
      <c r="G25" s="119">
        <v>0</v>
      </c>
      <c r="H25" s="119">
        <v>3.2729999999999999E-3</v>
      </c>
      <c r="I25" s="119">
        <v>0</v>
      </c>
      <c r="J25" s="119">
        <v>0</v>
      </c>
      <c r="K25" s="119">
        <v>0</v>
      </c>
      <c r="L25" s="119">
        <v>0</v>
      </c>
      <c r="M25" s="119">
        <v>2.0900000000000001E-4</v>
      </c>
      <c r="N25" s="119">
        <v>2.6699999999999998E-4</v>
      </c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92">
        <f t="shared" si="2"/>
        <v>1.0231758239260087E-3</v>
      </c>
      <c r="AD25" s="192">
        <f t="shared" si="3"/>
        <v>3.7489999999999995E-4</v>
      </c>
      <c r="AE25" s="189">
        <f t="shared" si="4"/>
        <v>2.4212516478520174E-3</v>
      </c>
    </row>
    <row r="26" spans="1:31" ht="18" customHeight="1" outlineLevel="1" x14ac:dyDescent="0.25">
      <c r="A26" s="9" t="s">
        <v>227</v>
      </c>
      <c r="B26" s="127">
        <v>72.150000000000006</v>
      </c>
      <c r="C26" s="156"/>
      <c r="D26" s="119">
        <v>0</v>
      </c>
      <c r="E26" s="119">
        <v>0</v>
      </c>
      <c r="F26" s="119">
        <v>0</v>
      </c>
      <c r="G26" s="119">
        <v>0</v>
      </c>
      <c r="H26" s="119">
        <v>0</v>
      </c>
      <c r="I26" s="119">
        <v>0</v>
      </c>
      <c r="J26" s="119">
        <v>0</v>
      </c>
      <c r="K26" s="119">
        <v>0</v>
      </c>
      <c r="L26" s="119">
        <v>0</v>
      </c>
      <c r="M26" s="119">
        <v>0</v>
      </c>
      <c r="N26" s="119">
        <v>0</v>
      </c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92">
        <f t="shared" si="2"/>
        <v>0</v>
      </c>
      <c r="AD26" s="192">
        <f t="shared" si="3"/>
        <v>0</v>
      </c>
      <c r="AE26" s="189">
        <f t="shared" si="4"/>
        <v>0</v>
      </c>
    </row>
    <row r="27" spans="1:31" ht="18" customHeight="1" outlineLevel="1" x14ac:dyDescent="0.25">
      <c r="A27" s="9" t="s">
        <v>228</v>
      </c>
      <c r="B27" s="127">
        <v>86.18</v>
      </c>
      <c r="C27" s="156"/>
      <c r="D27" s="119">
        <v>0</v>
      </c>
      <c r="E27" s="119">
        <v>0</v>
      </c>
      <c r="F27" s="119">
        <v>0</v>
      </c>
      <c r="G27" s="119">
        <v>0</v>
      </c>
      <c r="H27" s="119">
        <v>0</v>
      </c>
      <c r="I27" s="119">
        <v>0</v>
      </c>
      <c r="J27" s="119">
        <v>0</v>
      </c>
      <c r="K27" s="119">
        <v>0</v>
      </c>
      <c r="L27" s="119">
        <v>0</v>
      </c>
      <c r="M27" s="119">
        <v>0</v>
      </c>
      <c r="N27" s="119">
        <v>0</v>
      </c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92">
        <f t="shared" si="2"/>
        <v>0</v>
      </c>
      <c r="AD27" s="192">
        <f t="shared" si="3"/>
        <v>0</v>
      </c>
      <c r="AE27" s="189">
        <f t="shared" si="4"/>
        <v>0</v>
      </c>
    </row>
    <row r="28" spans="1:31" ht="18" customHeight="1" outlineLevel="1" x14ac:dyDescent="0.25">
      <c r="A28" s="9" t="s">
        <v>229</v>
      </c>
      <c r="B28" s="127">
        <v>86.18</v>
      </c>
      <c r="C28" s="156"/>
      <c r="D28" s="119">
        <v>0</v>
      </c>
      <c r="E28" s="119">
        <v>0</v>
      </c>
      <c r="F28" s="119">
        <v>0</v>
      </c>
      <c r="G28" s="119">
        <v>0</v>
      </c>
      <c r="H28" s="119">
        <v>0</v>
      </c>
      <c r="I28" s="119">
        <v>0</v>
      </c>
      <c r="J28" s="119">
        <v>0</v>
      </c>
      <c r="K28" s="119">
        <v>0</v>
      </c>
      <c r="L28" s="119">
        <v>0</v>
      </c>
      <c r="M28" s="119">
        <v>0</v>
      </c>
      <c r="N28" s="119">
        <v>0</v>
      </c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92">
        <f t="shared" si="2"/>
        <v>0</v>
      </c>
      <c r="AD28" s="192">
        <f t="shared" si="3"/>
        <v>0</v>
      </c>
      <c r="AE28" s="189">
        <f t="shared" si="4"/>
        <v>0</v>
      </c>
    </row>
    <row r="29" spans="1:31" ht="18" customHeight="1" outlineLevel="1" x14ac:dyDescent="0.25">
      <c r="A29" s="9" t="s">
        <v>230</v>
      </c>
      <c r="B29" s="127">
        <v>58.12</v>
      </c>
      <c r="C29" s="156"/>
      <c r="D29" s="119">
        <v>6.4700000000000001E-4</v>
      </c>
      <c r="E29" s="119">
        <v>2.869E-3</v>
      </c>
      <c r="F29" s="119">
        <v>3.4559999999999999E-3</v>
      </c>
      <c r="G29" s="119">
        <v>3.7469999999999999E-3</v>
      </c>
      <c r="H29" s="119">
        <v>0.40368599999999999</v>
      </c>
      <c r="I29" s="119">
        <v>2.3210000000000001E-3</v>
      </c>
      <c r="J29" s="119">
        <v>5.8200000000000005E-4</v>
      </c>
      <c r="K29" s="119">
        <v>1.5319999999999999E-3</v>
      </c>
      <c r="L29" s="119">
        <v>1.0579999999999999E-3</v>
      </c>
      <c r="M29" s="119">
        <v>9.8700000000000003E-4</v>
      </c>
      <c r="N29" s="119">
        <v>1.005E-3</v>
      </c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92">
        <f t="shared" si="2"/>
        <v>0.12704470409361157</v>
      </c>
      <c r="AD29" s="192">
        <f t="shared" si="3"/>
        <v>4.2124300000000003E-2</v>
      </c>
      <c r="AE29" s="189">
        <f t="shared" si="4"/>
        <v>0.29621370818722315</v>
      </c>
    </row>
    <row r="30" spans="1:31" ht="18" customHeight="1" outlineLevel="1" x14ac:dyDescent="0.25">
      <c r="A30" s="9" t="s">
        <v>231</v>
      </c>
      <c r="B30" s="127">
        <v>72.150000000000006</v>
      </c>
      <c r="C30" s="156"/>
      <c r="D30" s="119">
        <v>0</v>
      </c>
      <c r="E30" s="119">
        <v>0</v>
      </c>
      <c r="F30" s="119">
        <v>0</v>
      </c>
      <c r="G30" s="119">
        <v>0</v>
      </c>
      <c r="H30" s="119">
        <v>0</v>
      </c>
      <c r="I30" s="119">
        <v>0</v>
      </c>
      <c r="J30" s="119">
        <v>0</v>
      </c>
      <c r="K30" s="119">
        <v>0</v>
      </c>
      <c r="L30" s="119">
        <v>0</v>
      </c>
      <c r="M30" s="119">
        <v>0</v>
      </c>
      <c r="N30" s="119">
        <v>0</v>
      </c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92">
        <f t="shared" si="2"/>
        <v>0</v>
      </c>
      <c r="AD30" s="192">
        <f t="shared" si="3"/>
        <v>0</v>
      </c>
      <c r="AE30" s="189">
        <f t="shared" si="4"/>
        <v>0</v>
      </c>
    </row>
    <row r="31" spans="1:31" ht="18" customHeight="1" outlineLevel="1" x14ac:dyDescent="0.25">
      <c r="A31" s="9" t="s">
        <v>232</v>
      </c>
      <c r="B31" s="127">
        <v>86.18</v>
      </c>
      <c r="C31" s="156"/>
      <c r="D31" s="119">
        <v>8.5999999999999998E-4</v>
      </c>
      <c r="E31" s="119">
        <v>0</v>
      </c>
      <c r="F31" s="119">
        <v>0</v>
      </c>
      <c r="G31" s="119">
        <v>0</v>
      </c>
      <c r="H31" s="119">
        <v>1.951E-3</v>
      </c>
      <c r="I31" s="119">
        <v>0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92">
        <f t="shared" si="2"/>
        <v>6.1696037149885084E-4</v>
      </c>
      <c r="AD31" s="192">
        <f t="shared" si="3"/>
        <v>1.951E-4</v>
      </c>
      <c r="AE31" s="189">
        <f t="shared" si="4"/>
        <v>1.4290207429977016E-3</v>
      </c>
    </row>
    <row r="32" spans="1:31" ht="18" customHeight="1" outlineLevel="1" x14ac:dyDescent="0.25">
      <c r="A32" s="9" t="s">
        <v>233</v>
      </c>
      <c r="B32" s="127">
        <v>100.21</v>
      </c>
      <c r="C32" s="156"/>
      <c r="D32" s="119">
        <v>2.3553999999999999E-2</v>
      </c>
      <c r="E32" s="119">
        <v>1.8369E-2</v>
      </c>
      <c r="F32" s="119">
        <v>1.4756999999999999E-2</v>
      </c>
      <c r="G32" s="119">
        <v>1.3837E-2</v>
      </c>
      <c r="H32" s="119">
        <v>9.7403000000000003E-2</v>
      </c>
      <c r="I32" s="119">
        <v>2.8976999999999999E-2</v>
      </c>
      <c r="J32" s="119">
        <v>2.7299999999999998E-3</v>
      </c>
      <c r="K32" s="119">
        <v>1.967E-3</v>
      </c>
      <c r="L32" s="119">
        <v>1.843E-3</v>
      </c>
      <c r="M32" s="119">
        <v>1.8799999999999999E-3</v>
      </c>
      <c r="N32" s="119">
        <v>2.6940000000000002E-3</v>
      </c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92">
        <f t="shared" si="2"/>
        <v>2.9243679100695318E-2</v>
      </c>
      <c r="AD32" s="192">
        <f t="shared" si="3"/>
        <v>1.8445700000000002E-2</v>
      </c>
      <c r="AE32" s="189">
        <f t="shared" si="4"/>
        <v>7.6933058201390639E-2</v>
      </c>
    </row>
    <row r="33" spans="1:31" ht="18" customHeight="1" outlineLevel="1" x14ac:dyDescent="0.25">
      <c r="A33" s="9" t="s">
        <v>234</v>
      </c>
      <c r="B33" s="127">
        <v>78.11</v>
      </c>
      <c r="C33" s="156"/>
      <c r="D33" s="119">
        <v>0</v>
      </c>
      <c r="E33" s="119">
        <v>0</v>
      </c>
      <c r="F33" s="119">
        <v>0</v>
      </c>
      <c r="G33" s="119">
        <v>0</v>
      </c>
      <c r="H33" s="119">
        <v>0</v>
      </c>
      <c r="I33" s="119">
        <v>0</v>
      </c>
      <c r="J33" s="119">
        <v>0</v>
      </c>
      <c r="K33" s="119">
        <v>0</v>
      </c>
      <c r="L33" s="119">
        <v>0</v>
      </c>
      <c r="M33" s="119">
        <v>0</v>
      </c>
      <c r="N33" s="119">
        <v>0</v>
      </c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92">
        <f t="shared" si="2"/>
        <v>0</v>
      </c>
      <c r="AD33" s="192">
        <f t="shared" si="3"/>
        <v>0</v>
      </c>
      <c r="AE33" s="189">
        <f t="shared" si="4"/>
        <v>0</v>
      </c>
    </row>
    <row r="34" spans="1:31" ht="18" customHeight="1" outlineLevel="1" x14ac:dyDescent="0.25">
      <c r="A34" s="9" t="s">
        <v>235</v>
      </c>
      <c r="B34" s="127">
        <v>92.14</v>
      </c>
      <c r="C34" s="156"/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>
        <v>0</v>
      </c>
      <c r="M34" s="119">
        <v>0</v>
      </c>
      <c r="N34" s="119">
        <v>0</v>
      </c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92">
        <f t="shared" si="2"/>
        <v>0</v>
      </c>
      <c r="AD34" s="192">
        <f t="shared" si="3"/>
        <v>0</v>
      </c>
      <c r="AE34" s="189">
        <f t="shared" si="4"/>
        <v>0</v>
      </c>
    </row>
    <row r="35" spans="1:31" ht="18" customHeight="1" outlineLevel="1" x14ac:dyDescent="0.25">
      <c r="A35" s="9" t="s">
        <v>236</v>
      </c>
      <c r="B35" s="127">
        <v>106.167</v>
      </c>
      <c r="C35" s="156"/>
      <c r="D35" s="119">
        <v>0</v>
      </c>
      <c r="E35" s="119">
        <v>0</v>
      </c>
      <c r="F35" s="119">
        <v>0</v>
      </c>
      <c r="G35" s="119">
        <v>0</v>
      </c>
      <c r="H35" s="119">
        <v>0</v>
      </c>
      <c r="I35" s="119">
        <v>0</v>
      </c>
      <c r="J35" s="119">
        <v>0</v>
      </c>
      <c r="K35" s="119">
        <v>0</v>
      </c>
      <c r="L35" s="119">
        <v>0</v>
      </c>
      <c r="M35" s="119">
        <v>0</v>
      </c>
      <c r="N35" s="119">
        <v>0</v>
      </c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92">
        <f t="shared" si="2"/>
        <v>0</v>
      </c>
      <c r="AD35" s="192">
        <f t="shared" si="3"/>
        <v>0</v>
      </c>
      <c r="AE35" s="189">
        <f t="shared" si="4"/>
        <v>0</v>
      </c>
    </row>
    <row r="36" spans="1:31" ht="18" customHeight="1" outlineLevel="1" x14ac:dyDescent="0.25">
      <c r="A36" s="9" t="s">
        <v>237</v>
      </c>
      <c r="B36" s="127">
        <v>106.167</v>
      </c>
      <c r="C36" s="156"/>
      <c r="D36" s="119">
        <v>0</v>
      </c>
      <c r="E36" s="119">
        <v>0</v>
      </c>
      <c r="F36" s="119">
        <v>0</v>
      </c>
      <c r="G36" s="119">
        <v>0</v>
      </c>
      <c r="H36" s="119">
        <v>0</v>
      </c>
      <c r="I36" s="119">
        <v>0</v>
      </c>
      <c r="J36" s="119">
        <v>0</v>
      </c>
      <c r="K36" s="119">
        <v>0</v>
      </c>
      <c r="L36" s="119">
        <v>0</v>
      </c>
      <c r="M36" s="119">
        <v>0</v>
      </c>
      <c r="N36" s="119">
        <v>0</v>
      </c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92">
        <f t="shared" si="2"/>
        <v>0</v>
      </c>
      <c r="AD36" s="192">
        <f t="shared" si="3"/>
        <v>0</v>
      </c>
      <c r="AE36" s="189">
        <f t="shared" si="4"/>
        <v>0</v>
      </c>
    </row>
    <row r="37" spans="1:31" ht="18" customHeight="1" outlineLevel="1" x14ac:dyDescent="0.25">
      <c r="A37" s="9" t="s">
        <v>238</v>
      </c>
      <c r="B37" s="127">
        <v>106.167</v>
      </c>
      <c r="C37" s="156"/>
      <c r="D37" s="119">
        <v>6.2940000000000001E-3</v>
      </c>
      <c r="E37" s="119">
        <v>3.5999999999999999E-3</v>
      </c>
      <c r="F37" s="119">
        <v>1.4400000000000001E-3</v>
      </c>
      <c r="G37" s="119">
        <v>1.15E-3</v>
      </c>
      <c r="H37" s="119">
        <v>4.3579999999999999E-3</v>
      </c>
      <c r="I37" s="119">
        <v>4.3660000000000001E-3</v>
      </c>
      <c r="J37" s="119">
        <v>0</v>
      </c>
      <c r="K37" s="119">
        <v>3.1300000000000002E-4</v>
      </c>
      <c r="L37" s="119">
        <v>3.2600000000000001E-4</v>
      </c>
      <c r="M37" s="119">
        <v>3.2200000000000002E-4</v>
      </c>
      <c r="N37" s="119">
        <v>3.6000000000000002E-4</v>
      </c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92">
        <f t="shared" si="2"/>
        <v>1.7792078917940484E-3</v>
      </c>
      <c r="AD37" s="192">
        <f t="shared" si="3"/>
        <v>1.6234999999999999E-3</v>
      </c>
      <c r="AE37" s="189">
        <f t="shared" si="4"/>
        <v>5.1819157835880968E-3</v>
      </c>
    </row>
    <row r="38" spans="1:31" ht="18" customHeight="1" outlineLevel="1" x14ac:dyDescent="0.25">
      <c r="A38" s="9" t="s">
        <v>239</v>
      </c>
      <c r="B38" s="127">
        <v>106.167</v>
      </c>
      <c r="C38" s="156"/>
      <c r="D38" s="119">
        <v>0</v>
      </c>
      <c r="E38" s="119">
        <v>0</v>
      </c>
      <c r="F38" s="119">
        <v>0</v>
      </c>
      <c r="G38" s="119">
        <v>0</v>
      </c>
      <c r="H38" s="119">
        <v>0</v>
      </c>
      <c r="I38" s="119">
        <v>0</v>
      </c>
      <c r="J38" s="119">
        <v>0</v>
      </c>
      <c r="K38" s="119">
        <v>0</v>
      </c>
      <c r="L38" s="119">
        <v>0</v>
      </c>
      <c r="M38" s="119">
        <v>0</v>
      </c>
      <c r="N38" s="119">
        <v>0</v>
      </c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92">
        <f t="shared" si="2"/>
        <v>0</v>
      </c>
      <c r="AD38" s="192">
        <f t="shared" si="3"/>
        <v>0</v>
      </c>
      <c r="AE38" s="189">
        <f t="shared" si="4"/>
        <v>0</v>
      </c>
    </row>
    <row r="39" spans="1:31" ht="18" customHeight="1" outlineLevel="1" x14ac:dyDescent="0.25">
      <c r="A39" s="9" t="s">
        <v>240</v>
      </c>
      <c r="B39" s="127">
        <v>86.18</v>
      </c>
      <c r="C39" s="156"/>
      <c r="D39" s="119">
        <v>6.4700000000000001E-4</v>
      </c>
      <c r="E39" s="119">
        <v>2.869E-3</v>
      </c>
      <c r="F39" s="119">
        <v>3.4559999999999999E-3</v>
      </c>
      <c r="G39" s="119">
        <v>3.7469999999999999E-3</v>
      </c>
      <c r="H39" s="119">
        <v>0.40368599999999999</v>
      </c>
      <c r="I39" s="119">
        <v>2.3210000000000001E-3</v>
      </c>
      <c r="J39" s="119">
        <v>5.8200000000000005E-4</v>
      </c>
      <c r="K39" s="119">
        <v>1.5319999999999999E-3</v>
      </c>
      <c r="L39" s="119">
        <v>1.0579999999999999E-3</v>
      </c>
      <c r="M39" s="119">
        <v>9.8700000000000003E-4</v>
      </c>
      <c r="N39" s="119">
        <v>1.005E-3</v>
      </c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92">
        <f t="shared" si="2"/>
        <v>0.12704470409361157</v>
      </c>
      <c r="AD39" s="192">
        <f t="shared" si="3"/>
        <v>4.2124300000000003E-2</v>
      </c>
      <c r="AE39" s="189">
        <f t="shared" si="4"/>
        <v>0.29621370818722315</v>
      </c>
    </row>
    <row r="40" spans="1:31" ht="18" customHeight="1" outlineLevel="1" x14ac:dyDescent="0.25">
      <c r="A40" s="9" t="s">
        <v>241</v>
      </c>
      <c r="B40" s="127">
        <v>114.23</v>
      </c>
      <c r="C40" s="156"/>
      <c r="D40" s="119">
        <v>0</v>
      </c>
      <c r="E40" s="119">
        <v>0</v>
      </c>
      <c r="F40" s="119">
        <v>0</v>
      </c>
      <c r="G40" s="119">
        <v>0</v>
      </c>
      <c r="H40" s="119">
        <v>0</v>
      </c>
      <c r="I40" s="119">
        <v>0</v>
      </c>
      <c r="J40" s="119">
        <v>0</v>
      </c>
      <c r="K40" s="119">
        <v>0</v>
      </c>
      <c r="L40" s="119">
        <v>0</v>
      </c>
      <c r="M40" s="119">
        <v>0</v>
      </c>
      <c r="N40" s="119">
        <v>0</v>
      </c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92">
        <f t="shared" si="2"/>
        <v>0</v>
      </c>
      <c r="AD40" s="192">
        <f t="shared" si="3"/>
        <v>0</v>
      </c>
      <c r="AE40" s="189">
        <f t="shared" si="4"/>
        <v>0</v>
      </c>
    </row>
    <row r="41" spans="1:31" ht="18" customHeight="1" outlineLevel="1" x14ac:dyDescent="0.25">
      <c r="A41" s="9" t="s">
        <v>242</v>
      </c>
      <c r="B41" s="127">
        <v>100.21</v>
      </c>
      <c r="C41" s="156"/>
      <c r="D41" s="119">
        <v>0</v>
      </c>
      <c r="E41" s="119">
        <v>0</v>
      </c>
      <c r="F41" s="119">
        <v>0</v>
      </c>
      <c r="G41" s="119">
        <v>0</v>
      </c>
      <c r="H41" s="119">
        <v>0</v>
      </c>
      <c r="I41" s="119">
        <v>0</v>
      </c>
      <c r="J41" s="119">
        <v>0</v>
      </c>
      <c r="K41" s="119">
        <v>0</v>
      </c>
      <c r="L41" s="119">
        <v>0</v>
      </c>
      <c r="M41" s="119">
        <v>0</v>
      </c>
      <c r="N41" s="119">
        <v>0</v>
      </c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92">
        <f t="shared" si="2"/>
        <v>0</v>
      </c>
      <c r="AD41" s="192">
        <f t="shared" si="3"/>
        <v>0</v>
      </c>
      <c r="AE41" s="189">
        <f t="shared" si="4"/>
        <v>0</v>
      </c>
    </row>
    <row r="42" spans="1:31" ht="18" customHeight="1" outlineLevel="1" x14ac:dyDescent="0.25">
      <c r="A42" s="9" t="s">
        <v>37</v>
      </c>
      <c r="B42" s="127">
        <v>44.01</v>
      </c>
      <c r="C42" s="156"/>
      <c r="D42" s="119">
        <v>0</v>
      </c>
      <c r="E42" s="119">
        <v>0</v>
      </c>
      <c r="F42" s="119">
        <v>0</v>
      </c>
      <c r="G42" s="119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>
        <v>0</v>
      </c>
      <c r="N42" s="119">
        <v>0</v>
      </c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92">
        <f t="shared" si="2"/>
        <v>0</v>
      </c>
      <c r="AD42" s="192">
        <f t="shared" si="3"/>
        <v>0</v>
      </c>
      <c r="AE42" s="189">
        <f t="shared" si="4"/>
        <v>0</v>
      </c>
    </row>
    <row r="43" spans="1:31" ht="18" customHeight="1" outlineLevel="1" x14ac:dyDescent="0.25">
      <c r="A43" s="9" t="s">
        <v>39</v>
      </c>
      <c r="B43" s="127">
        <v>39.948</v>
      </c>
      <c r="C43" s="156"/>
      <c r="D43" s="119">
        <v>4.3201390000000002</v>
      </c>
      <c r="E43" s="119">
        <v>4.3064859999999996</v>
      </c>
      <c r="F43" s="119">
        <v>4.3064349999999996</v>
      </c>
      <c r="G43" s="119">
        <v>4.3252480000000002</v>
      </c>
      <c r="H43" s="119">
        <v>1.7400500000000001</v>
      </c>
      <c r="I43" s="119">
        <v>4.2776839999999998</v>
      </c>
      <c r="J43" s="119">
        <v>4.2831340000000004</v>
      </c>
      <c r="K43" s="119">
        <v>4.3146529999999998</v>
      </c>
      <c r="L43" s="119">
        <v>4.2950480000000004</v>
      </c>
      <c r="M43" s="119">
        <v>4.310962</v>
      </c>
      <c r="N43" s="119">
        <v>4.3127870000000001</v>
      </c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92">
        <f t="shared" si="2"/>
        <v>0.81079783178505205</v>
      </c>
      <c r="AD43" s="192">
        <f t="shared" si="3"/>
        <v>4.0472486999999999</v>
      </c>
      <c r="AE43" s="189">
        <f t="shared" si="4"/>
        <v>5.6688443635701038</v>
      </c>
    </row>
    <row r="44" spans="1:31" ht="18" customHeight="1" outlineLevel="1" x14ac:dyDescent="0.25">
      <c r="A44" s="9" t="s">
        <v>38</v>
      </c>
      <c r="B44" s="127">
        <v>28.01</v>
      </c>
      <c r="C44" s="156"/>
      <c r="D44" s="119">
        <v>0</v>
      </c>
      <c r="E44" s="119">
        <v>0</v>
      </c>
      <c r="F44" s="119">
        <v>0</v>
      </c>
      <c r="G44" s="119">
        <v>0</v>
      </c>
      <c r="H44" s="119">
        <v>0</v>
      </c>
      <c r="I44" s="119">
        <v>0</v>
      </c>
      <c r="J44" s="119">
        <v>0</v>
      </c>
      <c r="K44" s="119">
        <v>0</v>
      </c>
      <c r="L44" s="119">
        <v>0</v>
      </c>
      <c r="M44" s="119">
        <v>0</v>
      </c>
      <c r="N44" s="119">
        <v>0</v>
      </c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92">
        <f t="shared" si="2"/>
        <v>0</v>
      </c>
      <c r="AD44" s="192">
        <f t="shared" si="3"/>
        <v>0</v>
      </c>
      <c r="AE44" s="189">
        <f t="shared" si="4"/>
        <v>0</v>
      </c>
    </row>
    <row r="45" spans="1:31" ht="18" customHeight="1" outlineLevel="1" x14ac:dyDescent="0.25">
      <c r="A45" s="9" t="s">
        <v>243</v>
      </c>
      <c r="B45" s="127">
        <v>2.016</v>
      </c>
      <c r="C45" s="156"/>
      <c r="D45" s="119">
        <v>21.562069999999999</v>
      </c>
      <c r="E45" s="119">
        <v>21.792860999999998</v>
      </c>
      <c r="F45" s="119">
        <v>21.772797000000001</v>
      </c>
      <c r="G45" s="119">
        <v>21.885052999999999</v>
      </c>
      <c r="H45" s="119">
        <v>7.3285400000000003</v>
      </c>
      <c r="I45" s="119">
        <v>21.641024999999999</v>
      </c>
      <c r="J45" s="119">
        <v>21.671807999999999</v>
      </c>
      <c r="K45" s="119">
        <v>21.744005999999999</v>
      </c>
      <c r="L45" s="119">
        <v>21.631152</v>
      </c>
      <c r="M45" s="119">
        <v>21.700961</v>
      </c>
      <c r="N45" s="119">
        <v>21.568477000000001</v>
      </c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92">
        <f t="shared" si="2"/>
        <v>4.5493717345045193</v>
      </c>
      <c r="AD45" s="192">
        <f t="shared" si="3"/>
        <v>20.273668000000001</v>
      </c>
      <c r="AE45" s="189">
        <f t="shared" si="4"/>
        <v>29.372411469009037</v>
      </c>
    </row>
    <row r="46" spans="1:31" ht="18" customHeight="1" outlineLevel="1" x14ac:dyDescent="0.25">
      <c r="A46" s="9" t="s">
        <v>55</v>
      </c>
      <c r="B46" s="127">
        <v>26.04</v>
      </c>
      <c r="C46" s="156"/>
      <c r="D46" s="119">
        <v>8.3058270000000007</v>
      </c>
      <c r="E46" s="119">
        <v>8.313777</v>
      </c>
      <c r="F46" s="119">
        <v>8.3539779999999997</v>
      </c>
      <c r="G46" s="119">
        <v>8.5109180000000002</v>
      </c>
      <c r="H46" s="119">
        <v>2.817866</v>
      </c>
      <c r="I46" s="119">
        <v>8.5193949999999994</v>
      </c>
      <c r="J46" s="119">
        <v>8.5176789999999993</v>
      </c>
      <c r="K46" s="119">
        <v>7.9248339999999997</v>
      </c>
      <c r="L46" s="119">
        <v>7.8960910000000002</v>
      </c>
      <c r="M46" s="119">
        <v>7.8982590000000004</v>
      </c>
      <c r="N46" s="119">
        <v>7.9027310000000002</v>
      </c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92">
        <f t="shared" si="2"/>
        <v>1.7254557961870525</v>
      </c>
      <c r="AD46" s="192">
        <f t="shared" si="3"/>
        <v>7.6655528000000004</v>
      </c>
      <c r="AE46" s="189">
        <f t="shared" si="4"/>
        <v>11.116464392374105</v>
      </c>
    </row>
    <row r="47" spans="1:31" ht="18" customHeight="1" outlineLevel="1" x14ac:dyDescent="0.25">
      <c r="A47" s="9" t="s">
        <v>244</v>
      </c>
      <c r="B47" s="127">
        <v>58.12</v>
      </c>
      <c r="C47" s="156"/>
      <c r="D47" s="119">
        <v>0</v>
      </c>
      <c r="E47" s="119">
        <v>0</v>
      </c>
      <c r="F47" s="119">
        <v>0</v>
      </c>
      <c r="G47" s="119">
        <v>0</v>
      </c>
      <c r="H47" s="119">
        <v>0</v>
      </c>
      <c r="I47" s="119">
        <v>0</v>
      </c>
      <c r="J47" s="119">
        <v>0</v>
      </c>
      <c r="K47" s="119">
        <v>0</v>
      </c>
      <c r="L47" s="119">
        <v>0</v>
      </c>
      <c r="M47" s="119">
        <v>0</v>
      </c>
      <c r="N47" s="119">
        <v>0</v>
      </c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92">
        <f t="shared" si="2"/>
        <v>0</v>
      </c>
      <c r="AD47" s="192">
        <f t="shared" si="3"/>
        <v>0</v>
      </c>
      <c r="AE47" s="189">
        <f t="shared" si="4"/>
        <v>0</v>
      </c>
    </row>
    <row r="48" spans="1:31" ht="18" customHeight="1" outlineLevel="1" x14ac:dyDescent="0.25">
      <c r="A48" s="9" t="s">
        <v>245</v>
      </c>
      <c r="B48" s="127">
        <v>28.013400000000001</v>
      </c>
      <c r="C48" s="156"/>
      <c r="D48" s="119">
        <v>58.436230000000002</v>
      </c>
      <c r="E48" s="119">
        <v>58.722754000000002</v>
      </c>
      <c r="F48" s="119">
        <v>58.688813000000003</v>
      </c>
      <c r="G48" s="119">
        <v>58.722264000000003</v>
      </c>
      <c r="H48" s="119">
        <v>81.240375</v>
      </c>
      <c r="I48" s="119">
        <v>58.359079000000001</v>
      </c>
      <c r="J48" s="119">
        <v>58.543995000000002</v>
      </c>
      <c r="K48" s="119">
        <v>59.396956000000003</v>
      </c>
      <c r="L48" s="119">
        <v>59.304225000000002</v>
      </c>
      <c r="M48" s="119">
        <v>59.394235000000002</v>
      </c>
      <c r="N48" s="119">
        <v>59.496841000000003</v>
      </c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92">
        <f t="shared" si="2"/>
        <v>7.0579236376942713</v>
      </c>
      <c r="AD48" s="192">
        <f t="shared" si="3"/>
        <v>61.186953700000004</v>
      </c>
      <c r="AE48" s="189">
        <f t="shared" si="4"/>
        <v>75.30280097538855</v>
      </c>
    </row>
    <row r="49" spans="1:30" ht="18" customHeight="1" outlineLevel="1" x14ac:dyDescent="0.25">
      <c r="A49" s="9"/>
      <c r="B49" s="127"/>
      <c r="C49" s="157"/>
      <c r="D49" s="150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</row>
    <row r="51" spans="1:30" ht="18" customHeight="1" outlineLevel="1" x14ac:dyDescent="0.25">
      <c r="A51" s="9" t="s">
        <v>246</v>
      </c>
      <c r="B51" s="7"/>
      <c r="C51" s="7" t="s">
        <v>247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208" t="s">
        <v>248</v>
      </c>
      <c r="AD51" s="189" t="s">
        <v>249</v>
      </c>
    </row>
    <row r="52" spans="1:30" ht="18" customHeight="1" outlineLevel="1" x14ac:dyDescent="0.25">
      <c r="A52" s="9" t="str">
        <f t="shared" ref="A52:A81" si="5">IF(A20="", "", CONCATENATE(A20, " [g/h]"))</f>
        <v>Methane [g/h]</v>
      </c>
      <c r="B52" s="102"/>
      <c r="C52" s="103">
        <f t="shared" ref="C52:C84" si="6">IFERROR(AVERAGE(D52:AB52), "")</f>
        <v>5.6379565975082417E-2</v>
      </c>
      <c r="D52" s="103">
        <f t="shared" ref="D52:AB52" si="7">IF(SUM(D20:D48)=0, "", (D20*$B20/(D$43*$B$43))*$F$5)</f>
        <v>5.5220577096985239E-2</v>
      </c>
      <c r="E52" s="103">
        <f t="shared" si="7"/>
        <v>5.5299346474322233E-2</v>
      </c>
      <c r="F52" s="103">
        <f t="shared" si="7"/>
        <v>5.5469976727761099E-2</v>
      </c>
      <c r="G52" s="103">
        <f t="shared" si="7"/>
        <v>5.6104444896806056E-2</v>
      </c>
      <c r="H52" s="103">
        <f t="shared" si="7"/>
        <v>6.2414487097461495E-2</v>
      </c>
      <c r="I52" s="103">
        <f t="shared" si="7"/>
        <v>5.6551227841355807E-2</v>
      </c>
      <c r="J52" s="103">
        <f t="shared" si="7"/>
        <v>5.658637243743507E-2</v>
      </c>
      <c r="K52" s="103">
        <f t="shared" si="7"/>
        <v>5.5538385788982132E-2</v>
      </c>
      <c r="L52" s="103">
        <f t="shared" si="7"/>
        <v>5.5817851678545971E-2</v>
      </c>
      <c r="M52" s="103">
        <f t="shared" si="7"/>
        <v>5.5569904112630387E-2</v>
      </c>
      <c r="N52" s="103">
        <f t="shared" si="7"/>
        <v>5.5602651573621049E-2</v>
      </c>
      <c r="O52" s="103" t="str">
        <f t="shared" si="7"/>
        <v/>
      </c>
      <c r="P52" s="103" t="str">
        <f t="shared" si="7"/>
        <v/>
      </c>
      <c r="Q52" s="103" t="str">
        <f t="shared" si="7"/>
        <v/>
      </c>
      <c r="R52" s="103" t="str">
        <f t="shared" si="7"/>
        <v/>
      </c>
      <c r="S52" s="103" t="str">
        <f t="shared" si="7"/>
        <v/>
      </c>
      <c r="T52" s="103" t="str">
        <f t="shared" si="7"/>
        <v/>
      </c>
      <c r="U52" s="103" t="str">
        <f t="shared" si="7"/>
        <v/>
      </c>
      <c r="V52" s="103" t="str">
        <f t="shared" si="7"/>
        <v/>
      </c>
      <c r="W52" s="103" t="str">
        <f t="shared" si="7"/>
        <v/>
      </c>
      <c r="X52" s="103" t="str">
        <f t="shared" si="7"/>
        <v/>
      </c>
      <c r="Y52" s="103" t="str">
        <f t="shared" si="7"/>
        <v/>
      </c>
      <c r="Z52" s="103" t="str">
        <f t="shared" si="7"/>
        <v/>
      </c>
      <c r="AA52" s="103" t="str">
        <f t="shared" si="7"/>
        <v/>
      </c>
      <c r="AB52" s="103" t="str">
        <f t="shared" si="7"/>
        <v/>
      </c>
      <c r="AC52" s="192">
        <f t="shared" ref="AC52:AC80" si="8">(12.011*$AD52/$B20)*$C52</f>
        <v>4.2217890706154296E-2</v>
      </c>
      <c r="AD52" s="191">
        <v>1</v>
      </c>
    </row>
    <row r="53" spans="1:30" ht="18" customHeight="1" outlineLevel="1" x14ac:dyDescent="0.25">
      <c r="A53" s="9" t="str">
        <f t="shared" si="5"/>
        <v>Ethane [g/h]</v>
      </c>
      <c r="B53" s="102"/>
      <c r="C53" s="103">
        <f t="shared" si="6"/>
        <v>7.4146743143635831E-4</v>
      </c>
      <c r="D53" s="103">
        <f t="shared" ref="D53:AB53" si="9">IF(SUM(D21:D49)=0, "", (D21*$B21/(D$43*$B$43))*$F$5)</f>
        <v>8.9062047527006997E-5</v>
      </c>
      <c r="E53" s="103">
        <f t="shared" si="9"/>
        <v>8.642360618377399E-5</v>
      </c>
      <c r="F53" s="103">
        <f t="shared" si="9"/>
        <v>8.4864184973783692E-5</v>
      </c>
      <c r="G53" s="103">
        <f t="shared" si="9"/>
        <v>8.0112950957546834E-5</v>
      </c>
      <c r="H53" s="103">
        <f t="shared" si="9"/>
        <v>7.3707435815325243E-3</v>
      </c>
      <c r="I53" s="103">
        <f t="shared" si="9"/>
        <v>7.4236640228141429E-5</v>
      </c>
      <c r="J53" s="103">
        <f t="shared" si="9"/>
        <v>6.6538884549008386E-5</v>
      </c>
      <c r="K53" s="103">
        <f t="shared" si="9"/>
        <v>8.9335029018551462E-5</v>
      </c>
      <c r="L53" s="103">
        <f t="shared" si="9"/>
        <v>7.0446295876291467E-5</v>
      </c>
      <c r="M53" s="103">
        <f t="shared" si="9"/>
        <v>7.1465262361510644E-5</v>
      </c>
      <c r="N53" s="103">
        <f t="shared" si="9"/>
        <v>7.2913262591802196E-5</v>
      </c>
      <c r="O53" s="103" t="str">
        <f t="shared" si="9"/>
        <v/>
      </c>
      <c r="P53" s="103" t="str">
        <f t="shared" si="9"/>
        <v/>
      </c>
      <c r="Q53" s="103" t="str">
        <f t="shared" si="9"/>
        <v/>
      </c>
      <c r="R53" s="103" t="str">
        <f t="shared" si="9"/>
        <v/>
      </c>
      <c r="S53" s="103" t="str">
        <f t="shared" si="9"/>
        <v/>
      </c>
      <c r="T53" s="103" t="str">
        <f t="shared" si="9"/>
        <v/>
      </c>
      <c r="U53" s="103" t="str">
        <f t="shared" si="9"/>
        <v/>
      </c>
      <c r="V53" s="103" t="str">
        <f t="shared" si="9"/>
        <v/>
      </c>
      <c r="W53" s="103" t="str">
        <f t="shared" si="9"/>
        <v/>
      </c>
      <c r="X53" s="103" t="str">
        <f t="shared" si="9"/>
        <v/>
      </c>
      <c r="Y53" s="103" t="str">
        <f t="shared" si="9"/>
        <v/>
      </c>
      <c r="Z53" s="103" t="str">
        <f t="shared" si="9"/>
        <v/>
      </c>
      <c r="AA53" s="103" t="str">
        <f t="shared" si="9"/>
        <v/>
      </c>
      <c r="AB53" s="103" t="str">
        <f t="shared" si="9"/>
        <v/>
      </c>
      <c r="AC53" s="192">
        <f t="shared" si="8"/>
        <v>5.9233557159841025E-4</v>
      </c>
      <c r="AD53" s="189">
        <v>2</v>
      </c>
    </row>
    <row r="54" spans="1:30" ht="18" customHeight="1" outlineLevel="1" x14ac:dyDescent="0.25">
      <c r="A54" s="9" t="str">
        <f t="shared" si="5"/>
        <v>Ethylene [g/h]</v>
      </c>
      <c r="B54" s="102"/>
      <c r="C54" s="103">
        <f t="shared" si="6"/>
        <v>6.9815910029656883E-2</v>
      </c>
      <c r="D54" s="103">
        <f t="shared" ref="D54:AB54" si="10">IF(SUM(D22:D50)=0, "", (D22*$B22/(D$43*$B$43))*$F$5)</f>
        <v>6.0433040742894011E-2</v>
      </c>
      <c r="E54" s="103">
        <f t="shared" si="10"/>
        <v>6.064908033178764E-2</v>
      </c>
      <c r="F54" s="103">
        <f t="shared" si="10"/>
        <v>6.0899269345950427E-2</v>
      </c>
      <c r="G54" s="103">
        <f t="shared" si="10"/>
        <v>6.1640449290257374E-2</v>
      </c>
      <c r="H54" s="103">
        <f t="shared" si="10"/>
        <v>0.15517556289228251</v>
      </c>
      <c r="I54" s="103">
        <f t="shared" si="10"/>
        <v>6.232474600673648E-2</v>
      </c>
      <c r="J54" s="103">
        <f t="shared" si="10"/>
        <v>6.1971122366922093E-2</v>
      </c>
      <c r="K54" s="103">
        <f t="shared" si="10"/>
        <v>6.1143507715030493E-2</v>
      </c>
      <c r="L54" s="103">
        <f t="shared" si="10"/>
        <v>6.1385103493252692E-2</v>
      </c>
      <c r="M54" s="103">
        <f t="shared" si="10"/>
        <v>6.1145859786257174E-2</v>
      </c>
      <c r="N54" s="103">
        <f t="shared" si="10"/>
        <v>6.1207268354854828E-2</v>
      </c>
      <c r="O54" s="103" t="str">
        <f t="shared" si="10"/>
        <v/>
      </c>
      <c r="P54" s="103" t="str">
        <f t="shared" si="10"/>
        <v/>
      </c>
      <c r="Q54" s="103" t="str">
        <f t="shared" si="10"/>
        <v/>
      </c>
      <c r="R54" s="103" t="str">
        <f t="shared" si="10"/>
        <v/>
      </c>
      <c r="S54" s="103" t="str">
        <f t="shared" si="10"/>
        <v/>
      </c>
      <c r="T54" s="103" t="str">
        <f t="shared" si="10"/>
        <v/>
      </c>
      <c r="U54" s="103" t="str">
        <f t="shared" si="10"/>
        <v/>
      </c>
      <c r="V54" s="103" t="str">
        <f t="shared" si="10"/>
        <v/>
      </c>
      <c r="W54" s="103" t="str">
        <f t="shared" si="10"/>
        <v/>
      </c>
      <c r="X54" s="103" t="str">
        <f t="shared" si="10"/>
        <v/>
      </c>
      <c r="Y54" s="103" t="str">
        <f t="shared" si="10"/>
        <v/>
      </c>
      <c r="Z54" s="103" t="str">
        <f t="shared" si="10"/>
        <v/>
      </c>
      <c r="AA54" s="103" t="str">
        <f t="shared" si="10"/>
        <v/>
      </c>
      <c r="AB54" s="103" t="str">
        <f t="shared" si="10"/>
        <v/>
      </c>
      <c r="AC54" s="192">
        <f t="shared" si="8"/>
        <v>5.9790295569783158E-2</v>
      </c>
      <c r="AD54" s="189">
        <v>2</v>
      </c>
    </row>
    <row r="55" spans="1:30" ht="18" customHeight="1" outlineLevel="1" x14ac:dyDescent="0.25">
      <c r="A55" s="9" t="str">
        <f t="shared" si="5"/>
        <v>Propane [g/h]</v>
      </c>
      <c r="B55" s="102"/>
      <c r="C55" s="103">
        <f t="shared" si="6"/>
        <v>2.7038486209829123E-5</v>
      </c>
      <c r="D55" s="103">
        <f t="shared" ref="D55:AB55" si="11">IF(SUM(D23:D51)=0, "", (D23*$B23/(D$43*$B$43))*$F$5)</f>
        <v>0</v>
      </c>
      <c r="E55" s="103">
        <f t="shared" si="11"/>
        <v>0</v>
      </c>
      <c r="F55" s="103">
        <f t="shared" si="11"/>
        <v>0</v>
      </c>
      <c r="G55" s="103">
        <f t="shared" si="11"/>
        <v>0</v>
      </c>
      <c r="H55" s="103">
        <f t="shared" si="11"/>
        <v>2.9742334830812036E-4</v>
      </c>
      <c r="I55" s="103">
        <f t="shared" si="11"/>
        <v>0</v>
      </c>
      <c r="J55" s="103">
        <f t="shared" si="11"/>
        <v>0</v>
      </c>
      <c r="K55" s="103">
        <f t="shared" si="11"/>
        <v>0</v>
      </c>
      <c r="L55" s="103">
        <f t="shared" si="11"/>
        <v>0</v>
      </c>
      <c r="M55" s="103">
        <f t="shared" si="11"/>
        <v>0</v>
      </c>
      <c r="N55" s="103">
        <f t="shared" si="11"/>
        <v>0</v>
      </c>
      <c r="O55" s="103" t="str">
        <f t="shared" si="11"/>
        <v/>
      </c>
      <c r="P55" s="103" t="str">
        <f t="shared" si="11"/>
        <v/>
      </c>
      <c r="Q55" s="103" t="str">
        <f t="shared" si="11"/>
        <v/>
      </c>
      <c r="R55" s="103" t="str">
        <f t="shared" si="11"/>
        <v/>
      </c>
      <c r="S55" s="103" t="str">
        <f t="shared" si="11"/>
        <v/>
      </c>
      <c r="T55" s="103" t="str">
        <f t="shared" si="11"/>
        <v/>
      </c>
      <c r="U55" s="103" t="str">
        <f t="shared" si="11"/>
        <v/>
      </c>
      <c r="V55" s="103" t="str">
        <f t="shared" si="11"/>
        <v/>
      </c>
      <c r="W55" s="103" t="str">
        <f t="shared" si="11"/>
        <v/>
      </c>
      <c r="X55" s="103" t="str">
        <f t="shared" si="11"/>
        <v/>
      </c>
      <c r="Y55" s="103" t="str">
        <f t="shared" si="11"/>
        <v/>
      </c>
      <c r="Z55" s="103" t="str">
        <f t="shared" si="11"/>
        <v/>
      </c>
      <c r="AA55" s="103" t="str">
        <f t="shared" si="11"/>
        <v/>
      </c>
      <c r="AB55" s="103" t="str">
        <f t="shared" si="11"/>
        <v/>
      </c>
      <c r="AC55" s="192">
        <f t="shared" si="8"/>
        <v>2.2092466521514123E-5</v>
      </c>
      <c r="AD55" s="189">
        <v>3</v>
      </c>
    </row>
    <row r="56" spans="1:30" ht="18" customHeight="1" outlineLevel="1" x14ac:dyDescent="0.25">
      <c r="A56" s="9" t="str">
        <f t="shared" si="5"/>
        <v>Propylene [g/h]</v>
      </c>
      <c r="B56" s="102"/>
      <c r="C56" s="103">
        <f t="shared" si="6"/>
        <v>1.3343873669004107E-4</v>
      </c>
      <c r="D56" s="103">
        <f t="shared" ref="D56:AB56" si="12">IF(SUM(D24:D52)=0, "", (D24*$B24/(D$43*$B$43))*$F$5)</f>
        <v>9.8568229218370734E-5</v>
      </c>
      <c r="E56" s="103">
        <f t="shared" si="12"/>
        <v>5.9742770057265978E-5</v>
      </c>
      <c r="F56" s="103">
        <f t="shared" si="12"/>
        <v>3.7962584626229541E-5</v>
      </c>
      <c r="G56" s="103">
        <f t="shared" si="12"/>
        <v>2.6759266148271532E-5</v>
      </c>
      <c r="H56" s="103">
        <f t="shared" si="12"/>
        <v>1.2115538618017057E-3</v>
      </c>
      <c r="I56" s="103">
        <f t="shared" si="12"/>
        <v>1.9165236966016989E-5</v>
      </c>
      <c r="J56" s="103">
        <f t="shared" si="12"/>
        <v>1.4074154772591651E-5</v>
      </c>
      <c r="K56" s="103">
        <f t="shared" si="12"/>
        <v>0</v>
      </c>
      <c r="L56" s="103">
        <f t="shared" si="12"/>
        <v>0</v>
      </c>
      <c r="M56" s="103">
        <f t="shared" si="12"/>
        <v>0</v>
      </c>
      <c r="N56" s="103">
        <f t="shared" si="12"/>
        <v>0</v>
      </c>
      <c r="O56" s="103" t="str">
        <f t="shared" si="12"/>
        <v/>
      </c>
      <c r="P56" s="103" t="str">
        <f t="shared" si="12"/>
        <v/>
      </c>
      <c r="Q56" s="103" t="str">
        <f t="shared" si="12"/>
        <v/>
      </c>
      <c r="R56" s="103" t="str">
        <f t="shared" si="12"/>
        <v/>
      </c>
      <c r="S56" s="103" t="str">
        <f t="shared" si="12"/>
        <v/>
      </c>
      <c r="T56" s="103" t="str">
        <f t="shared" si="12"/>
        <v/>
      </c>
      <c r="U56" s="103" t="str">
        <f t="shared" si="12"/>
        <v/>
      </c>
      <c r="V56" s="103" t="str">
        <f t="shared" si="12"/>
        <v/>
      </c>
      <c r="W56" s="103" t="str">
        <f t="shared" si="12"/>
        <v/>
      </c>
      <c r="X56" s="103" t="str">
        <f t="shared" si="12"/>
        <v/>
      </c>
      <c r="Y56" s="103" t="str">
        <f t="shared" si="12"/>
        <v/>
      </c>
      <c r="Z56" s="103" t="str">
        <f t="shared" si="12"/>
        <v/>
      </c>
      <c r="AA56" s="103" t="str">
        <f t="shared" si="12"/>
        <v/>
      </c>
      <c r="AB56" s="103" t="str">
        <f t="shared" si="12"/>
        <v/>
      </c>
      <c r="AC56" s="192">
        <f t="shared" si="8"/>
        <v>1.1426326043612763E-4</v>
      </c>
      <c r="AD56" s="189">
        <v>3</v>
      </c>
    </row>
    <row r="57" spans="1:30" ht="18" customHeight="1" outlineLevel="1" x14ac:dyDescent="0.25">
      <c r="A57" s="9" t="str">
        <f t="shared" si="5"/>
        <v>Butane [g/h]</v>
      </c>
      <c r="B57" s="102"/>
      <c r="C57" s="103">
        <f t="shared" si="6"/>
        <v>6.0291101078779653E-5</v>
      </c>
      <c r="D57" s="103">
        <f t="shared" ref="D57:AB57" si="13">IF(SUM(D25:D53)=0, "", (D25*$B25/(D$43*$B$43))*$F$5)</f>
        <v>0</v>
      </c>
      <c r="E57" s="103">
        <f t="shared" si="13"/>
        <v>0</v>
      </c>
      <c r="F57" s="103">
        <f t="shared" si="13"/>
        <v>0</v>
      </c>
      <c r="G57" s="103">
        <f t="shared" si="13"/>
        <v>0</v>
      </c>
      <c r="H57" s="103">
        <f t="shared" si="13"/>
        <v>6.2643804803763224E-4</v>
      </c>
      <c r="I57" s="103">
        <f t="shared" si="13"/>
        <v>0</v>
      </c>
      <c r="J57" s="103">
        <f t="shared" si="13"/>
        <v>0</v>
      </c>
      <c r="K57" s="103">
        <f t="shared" si="13"/>
        <v>0</v>
      </c>
      <c r="L57" s="103">
        <f t="shared" si="13"/>
        <v>0</v>
      </c>
      <c r="M57" s="103">
        <f t="shared" si="13"/>
        <v>1.6146036934071406E-5</v>
      </c>
      <c r="N57" s="103">
        <f t="shared" si="13"/>
        <v>2.0618026894872514E-5</v>
      </c>
      <c r="O57" s="103" t="str">
        <f t="shared" si="13"/>
        <v/>
      </c>
      <c r="P57" s="103" t="str">
        <f t="shared" si="13"/>
        <v/>
      </c>
      <c r="Q57" s="103" t="str">
        <f t="shared" si="13"/>
        <v/>
      </c>
      <c r="R57" s="103" t="str">
        <f t="shared" si="13"/>
        <v/>
      </c>
      <c r="S57" s="103" t="str">
        <f t="shared" si="13"/>
        <v/>
      </c>
      <c r="T57" s="103" t="str">
        <f t="shared" si="13"/>
        <v/>
      </c>
      <c r="U57" s="103" t="str">
        <f t="shared" si="13"/>
        <v/>
      </c>
      <c r="V57" s="103" t="str">
        <f t="shared" si="13"/>
        <v/>
      </c>
      <c r="W57" s="103" t="str">
        <f t="shared" si="13"/>
        <v/>
      </c>
      <c r="X57" s="103" t="str">
        <f t="shared" si="13"/>
        <v/>
      </c>
      <c r="Y57" s="103" t="str">
        <f t="shared" si="13"/>
        <v/>
      </c>
      <c r="Z57" s="103" t="str">
        <f t="shared" si="13"/>
        <v/>
      </c>
      <c r="AA57" s="103" t="str">
        <f t="shared" si="13"/>
        <v/>
      </c>
      <c r="AB57" s="103" t="str">
        <f t="shared" si="13"/>
        <v/>
      </c>
      <c r="AC57" s="192">
        <f t="shared" si="8"/>
        <v>4.9838707161543183E-5</v>
      </c>
      <c r="AD57" s="189">
        <v>4</v>
      </c>
    </row>
    <row r="58" spans="1:30" ht="18" customHeight="1" outlineLevel="1" x14ac:dyDescent="0.25">
      <c r="A58" s="9" t="str">
        <f t="shared" si="5"/>
        <v>Pentane [g/h]</v>
      </c>
      <c r="B58" s="102"/>
      <c r="C58" s="103">
        <f t="shared" si="6"/>
        <v>0</v>
      </c>
      <c r="D58" s="103">
        <f t="shared" ref="D58:AB58" si="14">IF(SUM(D26:D54)=0, "", (D26*$B26/(D$43*$B$43))*$F$5)</f>
        <v>0</v>
      </c>
      <c r="E58" s="103">
        <f t="shared" si="14"/>
        <v>0</v>
      </c>
      <c r="F58" s="103">
        <f t="shared" si="14"/>
        <v>0</v>
      </c>
      <c r="G58" s="103">
        <f t="shared" si="14"/>
        <v>0</v>
      </c>
      <c r="H58" s="103">
        <f t="shared" si="14"/>
        <v>0</v>
      </c>
      <c r="I58" s="103">
        <f t="shared" si="14"/>
        <v>0</v>
      </c>
      <c r="J58" s="103">
        <f t="shared" si="14"/>
        <v>0</v>
      </c>
      <c r="K58" s="103">
        <f t="shared" si="14"/>
        <v>0</v>
      </c>
      <c r="L58" s="103">
        <f t="shared" si="14"/>
        <v>0</v>
      </c>
      <c r="M58" s="103">
        <f t="shared" si="14"/>
        <v>0</v>
      </c>
      <c r="N58" s="103">
        <f t="shared" si="14"/>
        <v>0</v>
      </c>
      <c r="O58" s="103" t="str">
        <f t="shared" si="14"/>
        <v/>
      </c>
      <c r="P58" s="103" t="str">
        <f t="shared" si="14"/>
        <v/>
      </c>
      <c r="Q58" s="103" t="str">
        <f t="shared" si="14"/>
        <v/>
      </c>
      <c r="R58" s="103" t="str">
        <f t="shared" si="14"/>
        <v/>
      </c>
      <c r="S58" s="103" t="str">
        <f t="shared" si="14"/>
        <v/>
      </c>
      <c r="T58" s="103" t="str">
        <f t="shared" si="14"/>
        <v/>
      </c>
      <c r="U58" s="103" t="str">
        <f t="shared" si="14"/>
        <v/>
      </c>
      <c r="V58" s="103" t="str">
        <f t="shared" si="14"/>
        <v/>
      </c>
      <c r="W58" s="103" t="str">
        <f t="shared" si="14"/>
        <v/>
      </c>
      <c r="X58" s="103" t="str">
        <f t="shared" si="14"/>
        <v/>
      </c>
      <c r="Y58" s="103" t="str">
        <f t="shared" si="14"/>
        <v/>
      </c>
      <c r="Z58" s="103" t="str">
        <f t="shared" si="14"/>
        <v/>
      </c>
      <c r="AA58" s="103" t="str">
        <f t="shared" si="14"/>
        <v/>
      </c>
      <c r="AB58" s="103" t="str">
        <f t="shared" si="14"/>
        <v/>
      </c>
      <c r="AC58" s="192">
        <f t="shared" si="8"/>
        <v>0</v>
      </c>
      <c r="AD58" s="189">
        <v>5</v>
      </c>
    </row>
    <row r="59" spans="1:30" ht="18" customHeight="1" outlineLevel="1" x14ac:dyDescent="0.25">
      <c r="A59" s="9" t="str">
        <f t="shared" si="5"/>
        <v>C6s (Isomers of hexane?) [g/h]</v>
      </c>
      <c r="B59" s="102"/>
      <c r="C59" s="103">
        <f t="shared" si="6"/>
        <v>0</v>
      </c>
      <c r="D59" s="103">
        <f t="shared" ref="D59:AB59" si="15">IF(SUM(D27:D55)=0, "", (D27*$B27/(D$43*$B$43))*$F$5)</f>
        <v>0</v>
      </c>
      <c r="E59" s="103">
        <f t="shared" si="15"/>
        <v>0</v>
      </c>
      <c r="F59" s="103">
        <f t="shared" si="15"/>
        <v>0</v>
      </c>
      <c r="G59" s="103">
        <f t="shared" si="15"/>
        <v>0</v>
      </c>
      <c r="H59" s="103">
        <f t="shared" si="15"/>
        <v>0</v>
      </c>
      <c r="I59" s="103">
        <f t="shared" si="15"/>
        <v>0</v>
      </c>
      <c r="J59" s="103">
        <f t="shared" si="15"/>
        <v>0</v>
      </c>
      <c r="K59" s="103">
        <f t="shared" si="15"/>
        <v>0</v>
      </c>
      <c r="L59" s="103">
        <f t="shared" si="15"/>
        <v>0</v>
      </c>
      <c r="M59" s="103">
        <f t="shared" si="15"/>
        <v>0</v>
      </c>
      <c r="N59" s="103">
        <f t="shared" si="15"/>
        <v>0</v>
      </c>
      <c r="O59" s="103" t="str">
        <f t="shared" si="15"/>
        <v/>
      </c>
      <c r="P59" s="103" t="str">
        <f t="shared" si="15"/>
        <v/>
      </c>
      <c r="Q59" s="103" t="str">
        <f t="shared" si="15"/>
        <v/>
      </c>
      <c r="R59" s="103" t="str">
        <f t="shared" si="15"/>
        <v/>
      </c>
      <c r="S59" s="103" t="str">
        <f t="shared" si="15"/>
        <v/>
      </c>
      <c r="T59" s="103" t="str">
        <f t="shared" si="15"/>
        <v/>
      </c>
      <c r="U59" s="103" t="str">
        <f t="shared" si="15"/>
        <v/>
      </c>
      <c r="V59" s="103" t="str">
        <f t="shared" si="15"/>
        <v/>
      </c>
      <c r="W59" s="103" t="str">
        <f t="shared" si="15"/>
        <v/>
      </c>
      <c r="X59" s="103" t="str">
        <f t="shared" si="15"/>
        <v/>
      </c>
      <c r="Y59" s="103" t="str">
        <f t="shared" si="15"/>
        <v/>
      </c>
      <c r="Z59" s="103" t="str">
        <f t="shared" si="15"/>
        <v/>
      </c>
      <c r="AA59" s="103" t="str">
        <f t="shared" si="15"/>
        <v/>
      </c>
      <c r="AB59" s="103" t="str">
        <f t="shared" si="15"/>
        <v/>
      </c>
      <c r="AC59" s="192">
        <f t="shared" si="8"/>
        <v>0</v>
      </c>
      <c r="AD59" s="189">
        <v>6</v>
      </c>
    </row>
    <row r="60" spans="1:30" ht="18" customHeight="1" outlineLevel="1" x14ac:dyDescent="0.25">
      <c r="A60" s="9" t="str">
        <f t="shared" si="5"/>
        <v>Hexane [g/h]</v>
      </c>
      <c r="B60" s="102"/>
      <c r="C60" s="103">
        <f t="shared" si="6"/>
        <v>0</v>
      </c>
      <c r="D60" s="103">
        <f t="shared" ref="D60:AB60" si="16">IF(SUM(D28:D56)=0, "", (D28*$B28/(D$43*$B$43))*$F$5)</f>
        <v>0</v>
      </c>
      <c r="E60" s="103">
        <f t="shared" si="16"/>
        <v>0</v>
      </c>
      <c r="F60" s="103">
        <f t="shared" si="16"/>
        <v>0</v>
      </c>
      <c r="G60" s="103">
        <f t="shared" si="16"/>
        <v>0</v>
      </c>
      <c r="H60" s="103">
        <f t="shared" si="16"/>
        <v>0</v>
      </c>
      <c r="I60" s="103">
        <f t="shared" si="16"/>
        <v>0</v>
      </c>
      <c r="J60" s="103">
        <f t="shared" si="16"/>
        <v>0</v>
      </c>
      <c r="K60" s="103">
        <f t="shared" si="16"/>
        <v>0</v>
      </c>
      <c r="L60" s="103">
        <f t="shared" si="16"/>
        <v>0</v>
      </c>
      <c r="M60" s="103">
        <f t="shared" si="16"/>
        <v>0</v>
      </c>
      <c r="N60" s="103">
        <f t="shared" si="16"/>
        <v>0</v>
      </c>
      <c r="O60" s="103" t="str">
        <f t="shared" si="16"/>
        <v/>
      </c>
      <c r="P60" s="103" t="str">
        <f t="shared" si="16"/>
        <v/>
      </c>
      <c r="Q60" s="103" t="str">
        <f t="shared" si="16"/>
        <v/>
      </c>
      <c r="R60" s="103" t="str">
        <f t="shared" si="16"/>
        <v/>
      </c>
      <c r="S60" s="103" t="str">
        <f t="shared" si="16"/>
        <v/>
      </c>
      <c r="T60" s="103" t="str">
        <f t="shared" si="16"/>
        <v/>
      </c>
      <c r="U60" s="103" t="str">
        <f t="shared" si="16"/>
        <v/>
      </c>
      <c r="V60" s="103" t="str">
        <f t="shared" si="16"/>
        <v/>
      </c>
      <c r="W60" s="103" t="str">
        <f t="shared" si="16"/>
        <v/>
      </c>
      <c r="X60" s="103" t="str">
        <f t="shared" si="16"/>
        <v/>
      </c>
      <c r="Y60" s="103" t="str">
        <f t="shared" si="16"/>
        <v/>
      </c>
      <c r="Z60" s="103" t="str">
        <f t="shared" si="16"/>
        <v/>
      </c>
      <c r="AA60" s="103" t="str">
        <f t="shared" si="16"/>
        <v/>
      </c>
      <c r="AB60" s="103" t="str">
        <f t="shared" si="16"/>
        <v/>
      </c>
      <c r="AC60" s="192">
        <f t="shared" si="8"/>
        <v>0</v>
      </c>
      <c r="AD60" s="189">
        <v>6</v>
      </c>
    </row>
    <row r="61" spans="1:30" ht="18" customHeight="1" outlineLevel="1" x14ac:dyDescent="0.25">
      <c r="A61" s="9" t="str">
        <f t="shared" si="5"/>
        <v>C4 [g/h]</v>
      </c>
      <c r="B61" s="102"/>
      <c r="C61" s="103">
        <f t="shared" si="6"/>
        <v>7.151944271126906E-3</v>
      </c>
      <c r="D61" s="103">
        <f t="shared" ref="D61:AB61" si="17">IF(SUM(D29:D57)=0, "", (D29*$B29/(D$43*$B$43))*$F$5)</f>
        <v>4.9877009963294509E-5</v>
      </c>
      <c r="E61" s="103">
        <f t="shared" si="17"/>
        <v>2.2187141785416295E-4</v>
      </c>
      <c r="F61" s="103">
        <f t="shared" si="17"/>
        <v>2.672696761840997E-4</v>
      </c>
      <c r="G61" s="103">
        <f t="shared" si="17"/>
        <v>2.8851375907845017E-4</v>
      </c>
      <c r="H61" s="103">
        <f t="shared" si="17"/>
        <v>7.7263754922126365E-2</v>
      </c>
      <c r="I61" s="103">
        <f t="shared" si="17"/>
        <v>1.8070088987999397E-4</v>
      </c>
      <c r="J61" s="103">
        <f t="shared" si="17"/>
        <v>4.5253812497426004E-5</v>
      </c>
      <c r="K61" s="103">
        <f t="shared" si="17"/>
        <v>1.182515226386112E-4</v>
      </c>
      <c r="L61" s="103">
        <f t="shared" si="17"/>
        <v>8.2037326001615135E-5</v>
      </c>
      <c r="M61" s="103">
        <f t="shared" si="17"/>
        <v>7.6249466286739141E-5</v>
      </c>
      <c r="N61" s="103">
        <f t="shared" si="17"/>
        <v>7.7607179885194296E-5</v>
      </c>
      <c r="O61" s="103" t="str">
        <f t="shared" si="17"/>
        <v/>
      </c>
      <c r="P61" s="103" t="str">
        <f t="shared" si="17"/>
        <v/>
      </c>
      <c r="Q61" s="103" t="str">
        <f t="shared" si="17"/>
        <v/>
      </c>
      <c r="R61" s="103" t="str">
        <f t="shared" si="17"/>
        <v/>
      </c>
      <c r="S61" s="103" t="str">
        <f t="shared" si="17"/>
        <v/>
      </c>
      <c r="T61" s="103" t="str">
        <f t="shared" si="17"/>
        <v/>
      </c>
      <c r="U61" s="103" t="str">
        <f t="shared" si="17"/>
        <v/>
      </c>
      <c r="V61" s="103" t="str">
        <f t="shared" si="17"/>
        <v/>
      </c>
      <c r="W61" s="103" t="str">
        <f t="shared" si="17"/>
        <v/>
      </c>
      <c r="X61" s="103" t="str">
        <f t="shared" si="17"/>
        <v/>
      </c>
      <c r="Y61" s="103" t="str">
        <f t="shared" si="17"/>
        <v/>
      </c>
      <c r="Z61" s="103" t="str">
        <f t="shared" si="17"/>
        <v/>
      </c>
      <c r="AA61" s="103" t="str">
        <f t="shared" si="17"/>
        <v/>
      </c>
      <c r="AB61" s="103" t="str">
        <f t="shared" si="17"/>
        <v/>
      </c>
      <c r="AC61" s="192">
        <f t="shared" si="8"/>
        <v>5.9120442285275476E-3</v>
      </c>
      <c r="AD61" s="189">
        <v>4</v>
      </c>
    </row>
    <row r="62" spans="1:30" ht="18" customHeight="1" outlineLevel="1" x14ac:dyDescent="0.25">
      <c r="A62" s="9" t="str">
        <f t="shared" si="5"/>
        <v>C5 [g/h]</v>
      </c>
      <c r="B62" s="102"/>
      <c r="C62" s="103">
        <f t="shared" si="6"/>
        <v>0</v>
      </c>
      <c r="D62" s="103">
        <f t="shared" ref="D62:AB62" si="18">IF(SUM(D30:D58)=0, "", (D30*$B30/(D$43*$B$43))*$F$5)</f>
        <v>0</v>
      </c>
      <c r="E62" s="103">
        <f t="shared" si="18"/>
        <v>0</v>
      </c>
      <c r="F62" s="103">
        <f t="shared" si="18"/>
        <v>0</v>
      </c>
      <c r="G62" s="103">
        <f t="shared" si="18"/>
        <v>0</v>
      </c>
      <c r="H62" s="103">
        <f t="shared" si="18"/>
        <v>0</v>
      </c>
      <c r="I62" s="103">
        <f t="shared" si="18"/>
        <v>0</v>
      </c>
      <c r="J62" s="103">
        <f t="shared" si="18"/>
        <v>0</v>
      </c>
      <c r="K62" s="103">
        <f t="shared" si="18"/>
        <v>0</v>
      </c>
      <c r="L62" s="103">
        <f t="shared" si="18"/>
        <v>0</v>
      </c>
      <c r="M62" s="103">
        <f t="shared" si="18"/>
        <v>0</v>
      </c>
      <c r="N62" s="103">
        <f t="shared" si="18"/>
        <v>0</v>
      </c>
      <c r="O62" s="103" t="str">
        <f t="shared" si="18"/>
        <v/>
      </c>
      <c r="P62" s="103" t="str">
        <f t="shared" si="18"/>
        <v/>
      </c>
      <c r="Q62" s="103" t="str">
        <f t="shared" si="18"/>
        <v/>
      </c>
      <c r="R62" s="103" t="str">
        <f t="shared" si="18"/>
        <v/>
      </c>
      <c r="S62" s="103" t="str">
        <f t="shared" si="18"/>
        <v/>
      </c>
      <c r="T62" s="103" t="str">
        <f t="shared" si="18"/>
        <v/>
      </c>
      <c r="U62" s="103" t="str">
        <f t="shared" si="18"/>
        <v/>
      </c>
      <c r="V62" s="103" t="str">
        <f t="shared" si="18"/>
        <v/>
      </c>
      <c r="W62" s="103" t="str">
        <f t="shared" si="18"/>
        <v/>
      </c>
      <c r="X62" s="103" t="str">
        <f t="shared" si="18"/>
        <v/>
      </c>
      <c r="Y62" s="103" t="str">
        <f t="shared" si="18"/>
        <v/>
      </c>
      <c r="Z62" s="103" t="str">
        <f t="shared" si="18"/>
        <v/>
      </c>
      <c r="AA62" s="103" t="str">
        <f t="shared" si="18"/>
        <v/>
      </c>
      <c r="AB62" s="103" t="str">
        <f t="shared" si="18"/>
        <v/>
      </c>
      <c r="AC62" s="192">
        <f t="shared" si="8"/>
        <v>0</v>
      </c>
      <c r="AD62" s="189">
        <v>5</v>
      </c>
    </row>
    <row r="63" spans="1:30" ht="18" customHeight="1" outlineLevel="1" x14ac:dyDescent="0.25">
      <c r="A63" s="9" t="str">
        <f t="shared" si="5"/>
        <v>C6 [g/h]</v>
      </c>
      <c r="B63" s="102"/>
      <c r="C63" s="103">
        <f t="shared" si="6"/>
        <v>5.9272686570823487E-5</v>
      </c>
      <c r="D63" s="103">
        <f t="shared" ref="D63:AB63" si="19">IF(SUM(D31:D59)=0, "", (D31*$B31/(D$43*$B$43))*$F$5)</f>
        <v>9.8304967764492485E-5</v>
      </c>
      <c r="E63" s="103">
        <f t="shared" si="19"/>
        <v>0</v>
      </c>
      <c r="F63" s="103">
        <f t="shared" si="19"/>
        <v>0</v>
      </c>
      <c r="G63" s="103">
        <f t="shared" si="19"/>
        <v>0</v>
      </c>
      <c r="H63" s="103">
        <f t="shared" si="19"/>
        <v>5.5369458451456585E-4</v>
      </c>
      <c r="I63" s="103">
        <f t="shared" si="19"/>
        <v>0</v>
      </c>
      <c r="J63" s="103">
        <f t="shared" si="19"/>
        <v>0</v>
      </c>
      <c r="K63" s="103">
        <f t="shared" si="19"/>
        <v>0</v>
      </c>
      <c r="L63" s="103">
        <f t="shared" si="19"/>
        <v>0</v>
      </c>
      <c r="M63" s="103">
        <f t="shared" si="19"/>
        <v>0</v>
      </c>
      <c r="N63" s="103">
        <f t="shared" si="19"/>
        <v>0</v>
      </c>
      <c r="O63" s="103" t="str">
        <f t="shared" si="19"/>
        <v/>
      </c>
      <c r="P63" s="103" t="str">
        <f t="shared" si="19"/>
        <v/>
      </c>
      <c r="Q63" s="103" t="str">
        <f t="shared" si="19"/>
        <v/>
      </c>
      <c r="R63" s="103" t="str">
        <f t="shared" si="19"/>
        <v/>
      </c>
      <c r="S63" s="103" t="str">
        <f t="shared" si="19"/>
        <v/>
      </c>
      <c r="T63" s="103" t="str">
        <f t="shared" si="19"/>
        <v/>
      </c>
      <c r="U63" s="103" t="str">
        <f t="shared" si="19"/>
        <v/>
      </c>
      <c r="V63" s="103" t="str">
        <f t="shared" si="19"/>
        <v/>
      </c>
      <c r="W63" s="103" t="str">
        <f t="shared" si="19"/>
        <v/>
      </c>
      <c r="X63" s="103" t="str">
        <f t="shared" si="19"/>
        <v/>
      </c>
      <c r="Y63" s="103" t="str">
        <f t="shared" si="19"/>
        <v/>
      </c>
      <c r="Z63" s="103" t="str">
        <f t="shared" si="19"/>
        <v/>
      </c>
      <c r="AA63" s="103" t="str">
        <f t="shared" si="19"/>
        <v/>
      </c>
      <c r="AB63" s="103" t="str">
        <f t="shared" si="19"/>
        <v/>
      </c>
      <c r="AC63" s="192">
        <f t="shared" si="8"/>
        <v>4.9565391394905612E-5</v>
      </c>
      <c r="AD63" s="189">
        <v>6</v>
      </c>
    </row>
    <row r="64" spans="1:30" ht="18" customHeight="1" outlineLevel="1" x14ac:dyDescent="0.25">
      <c r="A64" s="9" t="str">
        <f t="shared" si="5"/>
        <v>C6 Above [g/h]</v>
      </c>
      <c r="B64" s="102"/>
      <c r="C64" s="103">
        <f t="shared" si="6"/>
        <v>4.2637322785404027E-3</v>
      </c>
      <c r="D64" s="103">
        <f t="shared" ref="D64:AB64" si="20">IF(SUM(D32:D60)=0, "", (D32*$B32/(D$43*$B$43))*$F$5)</f>
        <v>3.1307346288020443E-3</v>
      </c>
      <c r="E64" s="103">
        <f t="shared" si="20"/>
        <v>2.4492988643103173E-3</v>
      </c>
      <c r="F64" s="103">
        <f t="shared" si="20"/>
        <v>1.967702726784145E-3</v>
      </c>
      <c r="G64" s="103">
        <f t="shared" si="20"/>
        <v>1.8370045569034666E-3</v>
      </c>
      <c r="H64" s="103">
        <f t="shared" si="20"/>
        <v>3.214325932792779E-2</v>
      </c>
      <c r="I64" s="103">
        <f t="shared" si="20"/>
        <v>3.8897709461988314E-3</v>
      </c>
      <c r="J64" s="103">
        <f t="shared" si="20"/>
        <v>3.6599933135443412E-4</v>
      </c>
      <c r="K64" s="103">
        <f t="shared" si="20"/>
        <v>2.6178080126234681E-4</v>
      </c>
      <c r="L64" s="103">
        <f t="shared" si="20"/>
        <v>2.4639768330792162E-4</v>
      </c>
      <c r="M64" s="103">
        <f t="shared" si="20"/>
        <v>2.5041651153915142E-4</v>
      </c>
      <c r="N64" s="103">
        <f t="shared" si="20"/>
        <v>3.5868968555398498E-4</v>
      </c>
      <c r="O64" s="103" t="str">
        <f t="shared" si="20"/>
        <v/>
      </c>
      <c r="P64" s="103" t="str">
        <f t="shared" si="20"/>
        <v/>
      </c>
      <c r="Q64" s="103" t="str">
        <f t="shared" si="20"/>
        <v/>
      </c>
      <c r="R64" s="103" t="str">
        <f t="shared" si="20"/>
        <v/>
      </c>
      <c r="S64" s="103" t="str">
        <f t="shared" si="20"/>
        <v/>
      </c>
      <c r="T64" s="103" t="str">
        <f t="shared" si="20"/>
        <v/>
      </c>
      <c r="U64" s="103" t="str">
        <f t="shared" si="20"/>
        <v/>
      </c>
      <c r="V64" s="103" t="str">
        <f t="shared" si="20"/>
        <v/>
      </c>
      <c r="W64" s="103" t="str">
        <f t="shared" si="20"/>
        <v/>
      </c>
      <c r="X64" s="103" t="str">
        <f t="shared" si="20"/>
        <v/>
      </c>
      <c r="Y64" s="103" t="str">
        <f t="shared" si="20"/>
        <v/>
      </c>
      <c r="Z64" s="103" t="str">
        <f t="shared" si="20"/>
        <v/>
      </c>
      <c r="AA64" s="103" t="str">
        <f t="shared" si="20"/>
        <v/>
      </c>
      <c r="AB64" s="103" t="str">
        <f t="shared" si="20"/>
        <v/>
      </c>
      <c r="AC64" s="192">
        <f t="shared" si="8"/>
        <v>3.0662621533309319E-3</v>
      </c>
      <c r="AD64" s="189">
        <v>6</v>
      </c>
    </row>
    <row r="65" spans="1:30" ht="18" customHeight="1" outlineLevel="1" x14ac:dyDescent="0.25">
      <c r="A65" s="9" t="str">
        <f t="shared" si="5"/>
        <v>Benzene [g/h]</v>
      </c>
      <c r="B65" s="102"/>
      <c r="C65" s="103">
        <f t="shared" si="6"/>
        <v>0</v>
      </c>
      <c r="D65" s="103">
        <f t="shared" ref="D65:AB65" si="21">IF(SUM(D33:D61)=0, "", (D33*$B33/(D$43*$B$43))*$F$5)</f>
        <v>0</v>
      </c>
      <c r="E65" s="103">
        <f t="shared" si="21"/>
        <v>0</v>
      </c>
      <c r="F65" s="103">
        <f t="shared" si="21"/>
        <v>0</v>
      </c>
      <c r="G65" s="103">
        <f t="shared" si="21"/>
        <v>0</v>
      </c>
      <c r="H65" s="103">
        <f t="shared" si="21"/>
        <v>0</v>
      </c>
      <c r="I65" s="103">
        <f t="shared" si="21"/>
        <v>0</v>
      </c>
      <c r="J65" s="103">
        <f t="shared" si="21"/>
        <v>0</v>
      </c>
      <c r="K65" s="103">
        <f t="shared" si="21"/>
        <v>0</v>
      </c>
      <c r="L65" s="103">
        <f t="shared" si="21"/>
        <v>0</v>
      </c>
      <c r="M65" s="103">
        <f t="shared" si="21"/>
        <v>0</v>
      </c>
      <c r="N65" s="103">
        <f t="shared" si="21"/>
        <v>0</v>
      </c>
      <c r="O65" s="103" t="str">
        <f t="shared" si="21"/>
        <v/>
      </c>
      <c r="P65" s="103" t="str">
        <f t="shared" si="21"/>
        <v/>
      </c>
      <c r="Q65" s="103" t="str">
        <f t="shared" si="21"/>
        <v/>
      </c>
      <c r="R65" s="103" t="str">
        <f t="shared" si="21"/>
        <v/>
      </c>
      <c r="S65" s="103" t="str">
        <f t="shared" si="21"/>
        <v/>
      </c>
      <c r="T65" s="103" t="str">
        <f t="shared" si="21"/>
        <v/>
      </c>
      <c r="U65" s="103" t="str">
        <f t="shared" si="21"/>
        <v/>
      </c>
      <c r="V65" s="103" t="str">
        <f t="shared" si="21"/>
        <v/>
      </c>
      <c r="W65" s="103" t="str">
        <f t="shared" si="21"/>
        <v/>
      </c>
      <c r="X65" s="103" t="str">
        <f t="shared" si="21"/>
        <v/>
      </c>
      <c r="Y65" s="103" t="str">
        <f t="shared" si="21"/>
        <v/>
      </c>
      <c r="Z65" s="103" t="str">
        <f t="shared" si="21"/>
        <v/>
      </c>
      <c r="AA65" s="103" t="str">
        <f t="shared" si="21"/>
        <v/>
      </c>
      <c r="AB65" s="103" t="str">
        <f t="shared" si="21"/>
        <v/>
      </c>
      <c r="AC65" s="192">
        <f t="shared" si="8"/>
        <v>0</v>
      </c>
      <c r="AD65" s="189">
        <v>6</v>
      </c>
    </row>
    <row r="66" spans="1:30" ht="18" customHeight="1" outlineLevel="1" x14ac:dyDescent="0.25">
      <c r="A66" s="9" t="str">
        <f t="shared" si="5"/>
        <v>Toluene [g/h]</v>
      </c>
      <c r="B66" s="102"/>
      <c r="C66" s="103">
        <f t="shared" si="6"/>
        <v>0</v>
      </c>
      <c r="D66" s="103">
        <f t="shared" ref="D66:AB66" si="22">IF(SUM(D34:D62)=0, "", (D34*$B34/(D$43*$B$43))*$F$5)</f>
        <v>0</v>
      </c>
      <c r="E66" s="103">
        <f t="shared" si="22"/>
        <v>0</v>
      </c>
      <c r="F66" s="103">
        <f t="shared" si="22"/>
        <v>0</v>
      </c>
      <c r="G66" s="103">
        <f t="shared" si="22"/>
        <v>0</v>
      </c>
      <c r="H66" s="103">
        <f t="shared" si="22"/>
        <v>0</v>
      </c>
      <c r="I66" s="103">
        <f t="shared" si="22"/>
        <v>0</v>
      </c>
      <c r="J66" s="103">
        <f t="shared" si="22"/>
        <v>0</v>
      </c>
      <c r="K66" s="103">
        <f t="shared" si="22"/>
        <v>0</v>
      </c>
      <c r="L66" s="103">
        <f t="shared" si="22"/>
        <v>0</v>
      </c>
      <c r="M66" s="103">
        <f t="shared" si="22"/>
        <v>0</v>
      </c>
      <c r="N66" s="103">
        <f t="shared" si="22"/>
        <v>0</v>
      </c>
      <c r="O66" s="103" t="str">
        <f t="shared" si="22"/>
        <v/>
      </c>
      <c r="P66" s="103" t="str">
        <f t="shared" si="22"/>
        <v/>
      </c>
      <c r="Q66" s="103" t="str">
        <f t="shared" si="22"/>
        <v/>
      </c>
      <c r="R66" s="103" t="str">
        <f t="shared" si="22"/>
        <v/>
      </c>
      <c r="S66" s="103" t="str">
        <f t="shared" si="22"/>
        <v/>
      </c>
      <c r="T66" s="103" t="str">
        <f t="shared" si="22"/>
        <v/>
      </c>
      <c r="U66" s="103" t="str">
        <f t="shared" si="22"/>
        <v/>
      </c>
      <c r="V66" s="103" t="str">
        <f t="shared" si="22"/>
        <v/>
      </c>
      <c r="W66" s="103" t="str">
        <f t="shared" si="22"/>
        <v/>
      </c>
      <c r="X66" s="103" t="str">
        <f t="shared" si="22"/>
        <v/>
      </c>
      <c r="Y66" s="103" t="str">
        <f t="shared" si="22"/>
        <v/>
      </c>
      <c r="Z66" s="103" t="str">
        <f t="shared" si="22"/>
        <v/>
      </c>
      <c r="AA66" s="103" t="str">
        <f t="shared" si="22"/>
        <v/>
      </c>
      <c r="AB66" s="103" t="str">
        <f t="shared" si="22"/>
        <v/>
      </c>
      <c r="AC66" s="192">
        <f t="shared" si="8"/>
        <v>0</v>
      </c>
      <c r="AD66" s="189">
        <v>7</v>
      </c>
    </row>
    <row r="67" spans="1:30" ht="18" customHeight="1" outlineLevel="1" x14ac:dyDescent="0.25">
      <c r="A67" s="9" t="str">
        <f t="shared" si="5"/>
        <v>Ethylbenzene [g/h]</v>
      </c>
      <c r="B67" s="102"/>
      <c r="C67" s="103">
        <f t="shared" si="6"/>
        <v>0</v>
      </c>
      <c r="D67" s="103">
        <f t="shared" ref="D67:AB67" si="23">IF(SUM(D35:D63)=0, "", (D35*$B35/(D$43*$B$43))*$F$5)</f>
        <v>0</v>
      </c>
      <c r="E67" s="103">
        <f t="shared" si="23"/>
        <v>0</v>
      </c>
      <c r="F67" s="103">
        <f t="shared" si="23"/>
        <v>0</v>
      </c>
      <c r="G67" s="103">
        <f t="shared" si="23"/>
        <v>0</v>
      </c>
      <c r="H67" s="103">
        <f t="shared" si="23"/>
        <v>0</v>
      </c>
      <c r="I67" s="103">
        <f t="shared" si="23"/>
        <v>0</v>
      </c>
      <c r="J67" s="103">
        <f t="shared" si="23"/>
        <v>0</v>
      </c>
      <c r="K67" s="103">
        <f t="shared" si="23"/>
        <v>0</v>
      </c>
      <c r="L67" s="103">
        <f t="shared" si="23"/>
        <v>0</v>
      </c>
      <c r="M67" s="103">
        <f t="shared" si="23"/>
        <v>0</v>
      </c>
      <c r="N67" s="103">
        <f t="shared" si="23"/>
        <v>0</v>
      </c>
      <c r="O67" s="103" t="str">
        <f t="shared" si="23"/>
        <v/>
      </c>
      <c r="P67" s="103" t="str">
        <f t="shared" si="23"/>
        <v/>
      </c>
      <c r="Q67" s="103" t="str">
        <f t="shared" si="23"/>
        <v/>
      </c>
      <c r="R67" s="103" t="str">
        <f t="shared" si="23"/>
        <v/>
      </c>
      <c r="S67" s="103" t="str">
        <f t="shared" si="23"/>
        <v/>
      </c>
      <c r="T67" s="103" t="str">
        <f t="shared" si="23"/>
        <v/>
      </c>
      <c r="U67" s="103" t="str">
        <f t="shared" si="23"/>
        <v/>
      </c>
      <c r="V67" s="103" t="str">
        <f t="shared" si="23"/>
        <v/>
      </c>
      <c r="W67" s="103" t="str">
        <f t="shared" si="23"/>
        <v/>
      </c>
      <c r="X67" s="103" t="str">
        <f t="shared" si="23"/>
        <v/>
      </c>
      <c r="Y67" s="103" t="str">
        <f t="shared" si="23"/>
        <v/>
      </c>
      <c r="Z67" s="103" t="str">
        <f t="shared" si="23"/>
        <v/>
      </c>
      <c r="AA67" s="103" t="str">
        <f t="shared" si="23"/>
        <v/>
      </c>
      <c r="AB67" s="103" t="str">
        <f t="shared" si="23"/>
        <v/>
      </c>
      <c r="AC67" s="192">
        <f t="shared" si="8"/>
        <v>0</v>
      </c>
      <c r="AD67" s="189">
        <v>8</v>
      </c>
    </row>
    <row r="68" spans="1:30" ht="18" customHeight="1" outlineLevel="1" x14ac:dyDescent="0.25">
      <c r="A68" s="9" t="str">
        <f t="shared" si="5"/>
        <v>p-Xylene [g/h]</v>
      </c>
      <c r="B68" s="102"/>
      <c r="C68" s="103">
        <f t="shared" si="6"/>
        <v>0</v>
      </c>
      <c r="D68" s="103">
        <f t="shared" ref="D68:AB68" si="24">IF(SUM(D36:D64)=0, "", (D36*$B36/(D$43*$B$43))*$F$5)</f>
        <v>0</v>
      </c>
      <c r="E68" s="103">
        <f t="shared" si="24"/>
        <v>0</v>
      </c>
      <c r="F68" s="103">
        <f t="shared" si="24"/>
        <v>0</v>
      </c>
      <c r="G68" s="103">
        <f t="shared" si="24"/>
        <v>0</v>
      </c>
      <c r="H68" s="103">
        <f t="shared" si="24"/>
        <v>0</v>
      </c>
      <c r="I68" s="103">
        <f t="shared" si="24"/>
        <v>0</v>
      </c>
      <c r="J68" s="103">
        <f t="shared" si="24"/>
        <v>0</v>
      </c>
      <c r="K68" s="103">
        <f t="shared" si="24"/>
        <v>0</v>
      </c>
      <c r="L68" s="103">
        <f t="shared" si="24"/>
        <v>0</v>
      </c>
      <c r="M68" s="103">
        <f t="shared" si="24"/>
        <v>0</v>
      </c>
      <c r="N68" s="103">
        <f t="shared" si="24"/>
        <v>0</v>
      </c>
      <c r="O68" s="103" t="str">
        <f t="shared" si="24"/>
        <v/>
      </c>
      <c r="P68" s="103" t="str">
        <f t="shared" si="24"/>
        <v/>
      </c>
      <c r="Q68" s="103" t="str">
        <f t="shared" si="24"/>
        <v/>
      </c>
      <c r="R68" s="103" t="str">
        <f t="shared" si="24"/>
        <v/>
      </c>
      <c r="S68" s="103" t="str">
        <f t="shared" si="24"/>
        <v/>
      </c>
      <c r="T68" s="103" t="str">
        <f t="shared" si="24"/>
        <v/>
      </c>
      <c r="U68" s="103" t="str">
        <f t="shared" si="24"/>
        <v/>
      </c>
      <c r="V68" s="103" t="str">
        <f t="shared" si="24"/>
        <v/>
      </c>
      <c r="W68" s="103" t="str">
        <f t="shared" si="24"/>
        <v/>
      </c>
      <c r="X68" s="103" t="str">
        <f t="shared" si="24"/>
        <v/>
      </c>
      <c r="Y68" s="103" t="str">
        <f t="shared" si="24"/>
        <v/>
      </c>
      <c r="Z68" s="103" t="str">
        <f t="shared" si="24"/>
        <v/>
      </c>
      <c r="AA68" s="103" t="str">
        <f t="shared" si="24"/>
        <v/>
      </c>
      <c r="AB68" s="103" t="str">
        <f t="shared" si="24"/>
        <v/>
      </c>
      <c r="AC68" s="192">
        <f t="shared" si="8"/>
        <v>0</v>
      </c>
      <c r="AD68" s="189">
        <v>8</v>
      </c>
    </row>
    <row r="69" spans="1:30" ht="18" customHeight="1" outlineLevel="1" x14ac:dyDescent="0.25">
      <c r="A69" s="9" t="str">
        <f t="shared" si="5"/>
        <v>m-Xylene [g/h]</v>
      </c>
      <c r="B69" s="102"/>
      <c r="C69" s="103">
        <f t="shared" si="6"/>
        <v>3.7192077625161629E-4</v>
      </c>
      <c r="D69" s="103">
        <f t="shared" ref="D69:AB69" si="25">IF(SUM(D37:D65)=0, "", (D37*$B37/(D$43*$B$43))*$F$5)</f>
        <v>8.8631236498833133E-4</v>
      </c>
      <c r="E69" s="103">
        <f t="shared" si="25"/>
        <v>5.0855420672390724E-4</v>
      </c>
      <c r="F69" s="103">
        <f t="shared" si="25"/>
        <v>2.0342409176013219E-4</v>
      </c>
      <c r="G69" s="103">
        <f t="shared" si="25"/>
        <v>1.6175012181846461E-4</v>
      </c>
      <c r="H69" s="103">
        <f t="shared" si="25"/>
        <v>1.5236432363991124E-3</v>
      </c>
      <c r="I69" s="103">
        <f t="shared" si="25"/>
        <v>6.209159585965062E-4</v>
      </c>
      <c r="J69" s="103">
        <f t="shared" si="25"/>
        <v>0</v>
      </c>
      <c r="K69" s="103">
        <f t="shared" si="25"/>
        <v>4.4132268695043547E-5</v>
      </c>
      <c r="L69" s="103">
        <f t="shared" si="25"/>
        <v>4.6175049363581132E-5</v>
      </c>
      <c r="M69" s="103">
        <f t="shared" si="25"/>
        <v>4.5440119734439721E-5</v>
      </c>
      <c r="N69" s="103">
        <f t="shared" si="25"/>
        <v>5.0781120688260567E-5</v>
      </c>
      <c r="O69" s="103" t="str">
        <f t="shared" si="25"/>
        <v/>
      </c>
      <c r="P69" s="103" t="str">
        <f t="shared" si="25"/>
        <v/>
      </c>
      <c r="Q69" s="103" t="str">
        <f t="shared" si="25"/>
        <v/>
      </c>
      <c r="R69" s="103" t="str">
        <f t="shared" si="25"/>
        <v/>
      </c>
      <c r="S69" s="103" t="str">
        <f t="shared" si="25"/>
        <v/>
      </c>
      <c r="T69" s="103" t="str">
        <f t="shared" si="25"/>
        <v/>
      </c>
      <c r="U69" s="103" t="str">
        <f t="shared" si="25"/>
        <v/>
      </c>
      <c r="V69" s="103" t="str">
        <f t="shared" si="25"/>
        <v/>
      </c>
      <c r="W69" s="103" t="str">
        <f t="shared" si="25"/>
        <v/>
      </c>
      <c r="X69" s="103" t="str">
        <f t="shared" si="25"/>
        <v/>
      </c>
      <c r="Y69" s="103" t="str">
        <f t="shared" si="25"/>
        <v/>
      </c>
      <c r="Z69" s="103" t="str">
        <f t="shared" si="25"/>
        <v/>
      </c>
      <c r="AA69" s="103" t="str">
        <f t="shared" si="25"/>
        <v/>
      </c>
      <c r="AB69" s="103" t="str">
        <f t="shared" si="25"/>
        <v/>
      </c>
      <c r="AC69" s="192">
        <f t="shared" si="8"/>
        <v>3.3661235175210094E-4</v>
      </c>
      <c r="AD69" s="189">
        <v>8</v>
      </c>
    </row>
    <row r="70" spans="1:30" ht="18" customHeight="1" outlineLevel="1" x14ac:dyDescent="0.25">
      <c r="A70" s="9" t="str">
        <f t="shared" si="5"/>
        <v>o-Xylene [g/h]</v>
      </c>
      <c r="B70" s="102"/>
      <c r="C70" s="103">
        <f t="shared" si="6"/>
        <v>0</v>
      </c>
      <c r="D70" s="103">
        <f t="shared" ref="D70:AB70" si="26">IF(SUM(D38:D66)=0, "", (D38*$B38/(D$43*$B$43))*$F$5)</f>
        <v>0</v>
      </c>
      <c r="E70" s="103">
        <f t="shared" si="26"/>
        <v>0</v>
      </c>
      <c r="F70" s="103">
        <f t="shared" si="26"/>
        <v>0</v>
      </c>
      <c r="G70" s="103">
        <f t="shared" si="26"/>
        <v>0</v>
      </c>
      <c r="H70" s="103">
        <f t="shared" si="26"/>
        <v>0</v>
      </c>
      <c r="I70" s="103">
        <f t="shared" si="26"/>
        <v>0</v>
      </c>
      <c r="J70" s="103">
        <f t="shared" si="26"/>
        <v>0</v>
      </c>
      <c r="K70" s="103">
        <f t="shared" si="26"/>
        <v>0</v>
      </c>
      <c r="L70" s="103">
        <f t="shared" si="26"/>
        <v>0</v>
      </c>
      <c r="M70" s="103">
        <f t="shared" si="26"/>
        <v>0</v>
      </c>
      <c r="N70" s="103">
        <f t="shared" si="26"/>
        <v>0</v>
      </c>
      <c r="O70" s="103" t="str">
        <f t="shared" si="26"/>
        <v/>
      </c>
      <c r="P70" s="103" t="str">
        <f t="shared" si="26"/>
        <v/>
      </c>
      <c r="Q70" s="103" t="str">
        <f t="shared" si="26"/>
        <v/>
      </c>
      <c r="R70" s="103" t="str">
        <f t="shared" si="26"/>
        <v/>
      </c>
      <c r="S70" s="103" t="str">
        <f t="shared" si="26"/>
        <v/>
      </c>
      <c r="T70" s="103" t="str">
        <f t="shared" si="26"/>
        <v/>
      </c>
      <c r="U70" s="103" t="str">
        <f t="shared" si="26"/>
        <v/>
      </c>
      <c r="V70" s="103" t="str">
        <f t="shared" si="26"/>
        <v/>
      </c>
      <c r="W70" s="103" t="str">
        <f t="shared" si="26"/>
        <v/>
      </c>
      <c r="X70" s="103" t="str">
        <f t="shared" si="26"/>
        <v/>
      </c>
      <c r="Y70" s="103" t="str">
        <f t="shared" si="26"/>
        <v/>
      </c>
      <c r="Z70" s="103" t="str">
        <f t="shared" si="26"/>
        <v/>
      </c>
      <c r="AA70" s="103" t="str">
        <f t="shared" si="26"/>
        <v/>
      </c>
      <c r="AB70" s="103" t="str">
        <f t="shared" si="26"/>
        <v/>
      </c>
      <c r="AC70" s="192">
        <f t="shared" si="8"/>
        <v>0</v>
      </c>
      <c r="AD70" s="189">
        <v>8</v>
      </c>
    </row>
    <row r="71" spans="1:30" ht="18" customHeight="1" outlineLevel="1" x14ac:dyDescent="0.25">
      <c r="A71" s="9" t="str">
        <f t="shared" si="5"/>
        <v>C6 Unknowns [g/h]</v>
      </c>
      <c r="B71" s="102"/>
      <c r="C71" s="103">
        <f t="shared" si="6"/>
        <v>1.0604861618818249E-2</v>
      </c>
      <c r="D71" s="103">
        <f t="shared" ref="D71:AB71" si="27">IF(SUM(D39:D67)=0, "", (D39*$B39/(D$43*$B$43))*$F$5)</f>
        <v>7.3957342027472828E-5</v>
      </c>
      <c r="E71" s="103">
        <f t="shared" si="27"/>
        <v>3.2898965572387761E-4</v>
      </c>
      <c r="F71" s="103">
        <f t="shared" si="27"/>
        <v>3.963059307217088E-4</v>
      </c>
      <c r="G71" s="103">
        <f t="shared" si="27"/>
        <v>4.2780653402238196E-4</v>
      </c>
      <c r="H71" s="103">
        <f t="shared" si="27"/>
        <v>0.11456624912575449</v>
      </c>
      <c r="I71" s="103">
        <f t="shared" si="27"/>
        <v>2.6794223485646735E-4</v>
      </c>
      <c r="J71" s="103">
        <f t="shared" si="27"/>
        <v>6.7102091552446202E-5</v>
      </c>
      <c r="K71" s="103">
        <f t="shared" si="27"/>
        <v>1.7534267413963375E-4</v>
      </c>
      <c r="L71" s="103">
        <f t="shared" si="27"/>
        <v>1.2164447272572596E-4</v>
      </c>
      <c r="M71" s="103">
        <f t="shared" si="27"/>
        <v>1.1306226780094939E-4</v>
      </c>
      <c r="N71" s="103">
        <f t="shared" si="27"/>
        <v>1.1507547767560299E-4</v>
      </c>
      <c r="O71" s="103" t="str">
        <f t="shared" si="27"/>
        <v/>
      </c>
      <c r="P71" s="103" t="str">
        <f t="shared" si="27"/>
        <v/>
      </c>
      <c r="Q71" s="103" t="str">
        <f t="shared" si="27"/>
        <v/>
      </c>
      <c r="R71" s="103" t="str">
        <f t="shared" si="27"/>
        <v/>
      </c>
      <c r="S71" s="103" t="str">
        <f t="shared" si="27"/>
        <v/>
      </c>
      <c r="T71" s="103" t="str">
        <f t="shared" si="27"/>
        <v/>
      </c>
      <c r="U71" s="103" t="str">
        <f t="shared" si="27"/>
        <v/>
      </c>
      <c r="V71" s="103" t="str">
        <f t="shared" si="27"/>
        <v/>
      </c>
      <c r="W71" s="103" t="str">
        <f t="shared" si="27"/>
        <v/>
      </c>
      <c r="X71" s="103" t="str">
        <f t="shared" si="27"/>
        <v/>
      </c>
      <c r="Y71" s="103" t="str">
        <f t="shared" si="27"/>
        <v/>
      </c>
      <c r="Z71" s="103" t="str">
        <f t="shared" si="27"/>
        <v/>
      </c>
      <c r="AA71" s="103" t="str">
        <f t="shared" si="27"/>
        <v/>
      </c>
      <c r="AB71" s="103" t="str">
        <f t="shared" si="27"/>
        <v/>
      </c>
      <c r="AC71" s="192">
        <f t="shared" si="8"/>
        <v>8.8680663427913187E-3</v>
      </c>
      <c r="AD71" s="189">
        <v>6</v>
      </c>
    </row>
    <row r="72" spans="1:30" ht="18" customHeight="1" outlineLevel="1" x14ac:dyDescent="0.25">
      <c r="A72" s="9" t="str">
        <f t="shared" si="5"/>
        <v>C8 Unknowns [g/h]</v>
      </c>
      <c r="B72" s="102"/>
      <c r="C72" s="103">
        <f t="shared" si="6"/>
        <v>0</v>
      </c>
      <c r="D72" s="103">
        <f t="shared" ref="D72:AB72" si="28">IF(SUM(D40:D68)=0, "", (D40*$B40/(D$43*$B$43))*$F$5)</f>
        <v>0</v>
      </c>
      <c r="E72" s="103">
        <f t="shared" si="28"/>
        <v>0</v>
      </c>
      <c r="F72" s="103">
        <f t="shared" si="28"/>
        <v>0</v>
      </c>
      <c r="G72" s="103">
        <f t="shared" si="28"/>
        <v>0</v>
      </c>
      <c r="H72" s="103">
        <f t="shared" si="28"/>
        <v>0</v>
      </c>
      <c r="I72" s="103">
        <f t="shared" si="28"/>
        <v>0</v>
      </c>
      <c r="J72" s="103">
        <f t="shared" si="28"/>
        <v>0</v>
      </c>
      <c r="K72" s="103">
        <f t="shared" si="28"/>
        <v>0</v>
      </c>
      <c r="L72" s="103">
        <f t="shared" si="28"/>
        <v>0</v>
      </c>
      <c r="M72" s="103">
        <f t="shared" si="28"/>
        <v>0</v>
      </c>
      <c r="N72" s="103">
        <f t="shared" si="28"/>
        <v>0</v>
      </c>
      <c r="O72" s="103" t="str">
        <f t="shared" si="28"/>
        <v/>
      </c>
      <c r="P72" s="103" t="str">
        <f t="shared" si="28"/>
        <v/>
      </c>
      <c r="Q72" s="103" t="str">
        <f t="shared" si="28"/>
        <v/>
      </c>
      <c r="R72" s="103" t="str">
        <f t="shared" si="28"/>
        <v/>
      </c>
      <c r="S72" s="103" t="str">
        <f t="shared" si="28"/>
        <v/>
      </c>
      <c r="T72" s="103" t="str">
        <f t="shared" si="28"/>
        <v/>
      </c>
      <c r="U72" s="103" t="str">
        <f t="shared" si="28"/>
        <v/>
      </c>
      <c r="V72" s="103" t="str">
        <f t="shared" si="28"/>
        <v/>
      </c>
      <c r="W72" s="103" t="str">
        <f t="shared" si="28"/>
        <v/>
      </c>
      <c r="X72" s="103" t="str">
        <f t="shared" si="28"/>
        <v/>
      </c>
      <c r="Y72" s="103" t="str">
        <f t="shared" si="28"/>
        <v/>
      </c>
      <c r="Z72" s="103" t="str">
        <f t="shared" si="28"/>
        <v/>
      </c>
      <c r="AA72" s="103" t="str">
        <f t="shared" si="28"/>
        <v/>
      </c>
      <c r="AB72" s="103" t="str">
        <f t="shared" si="28"/>
        <v/>
      </c>
      <c r="AC72" s="192">
        <f t="shared" si="8"/>
        <v>0</v>
      </c>
      <c r="AD72" s="189">
        <v>8</v>
      </c>
    </row>
    <row r="73" spans="1:30" ht="18" customHeight="1" outlineLevel="1" x14ac:dyDescent="0.25">
      <c r="A73" s="9" t="str">
        <f t="shared" si="5"/>
        <v>C7 Unknowns [g/h]</v>
      </c>
      <c r="B73" s="102"/>
      <c r="C73" s="103">
        <f t="shared" si="6"/>
        <v>0</v>
      </c>
      <c r="D73" s="103">
        <f t="shared" ref="D73:AB73" si="29">IF(SUM(D41:D69)=0, "", (D41*$B41/(D$43*$B$43))*$F$5)</f>
        <v>0</v>
      </c>
      <c r="E73" s="103">
        <f t="shared" si="29"/>
        <v>0</v>
      </c>
      <c r="F73" s="103">
        <f t="shared" si="29"/>
        <v>0</v>
      </c>
      <c r="G73" s="103">
        <f t="shared" si="29"/>
        <v>0</v>
      </c>
      <c r="H73" s="103">
        <f t="shared" si="29"/>
        <v>0</v>
      </c>
      <c r="I73" s="103">
        <f t="shared" si="29"/>
        <v>0</v>
      </c>
      <c r="J73" s="103">
        <f t="shared" si="29"/>
        <v>0</v>
      </c>
      <c r="K73" s="103">
        <f t="shared" si="29"/>
        <v>0</v>
      </c>
      <c r="L73" s="103">
        <f t="shared" si="29"/>
        <v>0</v>
      </c>
      <c r="M73" s="103">
        <f t="shared" si="29"/>
        <v>0</v>
      </c>
      <c r="N73" s="103">
        <f t="shared" si="29"/>
        <v>0</v>
      </c>
      <c r="O73" s="103" t="str">
        <f t="shared" si="29"/>
        <v/>
      </c>
      <c r="P73" s="103" t="str">
        <f t="shared" si="29"/>
        <v/>
      </c>
      <c r="Q73" s="103" t="str">
        <f t="shared" si="29"/>
        <v/>
      </c>
      <c r="R73" s="103" t="str">
        <f t="shared" si="29"/>
        <v/>
      </c>
      <c r="S73" s="103" t="str">
        <f t="shared" si="29"/>
        <v/>
      </c>
      <c r="T73" s="103" t="str">
        <f t="shared" si="29"/>
        <v/>
      </c>
      <c r="U73" s="103" t="str">
        <f t="shared" si="29"/>
        <v/>
      </c>
      <c r="V73" s="103" t="str">
        <f t="shared" si="29"/>
        <v/>
      </c>
      <c r="W73" s="103" t="str">
        <f t="shared" si="29"/>
        <v/>
      </c>
      <c r="X73" s="103" t="str">
        <f t="shared" si="29"/>
        <v/>
      </c>
      <c r="Y73" s="103" t="str">
        <f t="shared" si="29"/>
        <v/>
      </c>
      <c r="Z73" s="103" t="str">
        <f t="shared" si="29"/>
        <v/>
      </c>
      <c r="AA73" s="103" t="str">
        <f t="shared" si="29"/>
        <v/>
      </c>
      <c r="AB73" s="103" t="str">
        <f t="shared" si="29"/>
        <v/>
      </c>
      <c r="AC73" s="192">
        <f t="shared" si="8"/>
        <v>0</v>
      </c>
      <c r="AD73" s="189">
        <v>7</v>
      </c>
    </row>
    <row r="74" spans="1:30" ht="18" customHeight="1" outlineLevel="1" x14ac:dyDescent="0.25">
      <c r="A74" s="9" t="str">
        <f t="shared" si="5"/>
        <v>CO2 [g/h]</v>
      </c>
      <c r="B74" s="102"/>
      <c r="C74" s="103">
        <f t="shared" si="6"/>
        <v>0</v>
      </c>
      <c r="D74" s="103">
        <f t="shared" ref="D74:AB74" si="30">IF(SUM(D42:D70)=0, "", (D42*$B42/(D$43*$B$43))*$F$5)</f>
        <v>0</v>
      </c>
      <c r="E74" s="103">
        <f t="shared" si="30"/>
        <v>0</v>
      </c>
      <c r="F74" s="103">
        <f t="shared" si="30"/>
        <v>0</v>
      </c>
      <c r="G74" s="103">
        <f t="shared" si="30"/>
        <v>0</v>
      </c>
      <c r="H74" s="103">
        <f t="shared" si="30"/>
        <v>0</v>
      </c>
      <c r="I74" s="103">
        <f t="shared" si="30"/>
        <v>0</v>
      </c>
      <c r="J74" s="103">
        <f t="shared" si="30"/>
        <v>0</v>
      </c>
      <c r="K74" s="103">
        <f t="shared" si="30"/>
        <v>0</v>
      </c>
      <c r="L74" s="103">
        <f t="shared" si="30"/>
        <v>0</v>
      </c>
      <c r="M74" s="103">
        <f t="shared" si="30"/>
        <v>0</v>
      </c>
      <c r="N74" s="103">
        <f t="shared" si="30"/>
        <v>0</v>
      </c>
      <c r="O74" s="103" t="str">
        <f t="shared" si="30"/>
        <v/>
      </c>
      <c r="P74" s="103" t="str">
        <f t="shared" si="30"/>
        <v/>
      </c>
      <c r="Q74" s="103" t="str">
        <f t="shared" si="30"/>
        <v/>
      </c>
      <c r="R74" s="103" t="str">
        <f t="shared" si="30"/>
        <v/>
      </c>
      <c r="S74" s="103" t="str">
        <f t="shared" si="30"/>
        <v/>
      </c>
      <c r="T74" s="103" t="str">
        <f t="shared" si="30"/>
        <v/>
      </c>
      <c r="U74" s="103" t="str">
        <f t="shared" si="30"/>
        <v/>
      </c>
      <c r="V74" s="103" t="str">
        <f t="shared" si="30"/>
        <v/>
      </c>
      <c r="W74" s="103" t="str">
        <f t="shared" si="30"/>
        <v/>
      </c>
      <c r="X74" s="103" t="str">
        <f t="shared" si="30"/>
        <v/>
      </c>
      <c r="Y74" s="103" t="str">
        <f t="shared" si="30"/>
        <v/>
      </c>
      <c r="Z74" s="103" t="str">
        <f t="shared" si="30"/>
        <v/>
      </c>
      <c r="AA74" s="103" t="str">
        <f t="shared" si="30"/>
        <v/>
      </c>
      <c r="AB74" s="103" t="str">
        <f t="shared" si="30"/>
        <v/>
      </c>
      <c r="AC74" s="192">
        <f t="shared" si="8"/>
        <v>0</v>
      </c>
      <c r="AD74" s="189">
        <v>1</v>
      </c>
    </row>
    <row r="75" spans="1:30" ht="18" customHeight="1" outlineLevel="1" x14ac:dyDescent="0.25">
      <c r="A75" s="9" t="str">
        <f t="shared" si="5"/>
        <v>Argon [g/h]</v>
      </c>
      <c r="B75" s="102"/>
      <c r="C75" s="103">
        <f t="shared" si="6"/>
        <v>0.22890922011282691</v>
      </c>
      <c r="D75" s="103">
        <f t="shared" ref="D75:AB75" si="31">IF(SUM(D43:D71)=0, "", (D43*$B43/(D$43*$B$43))*$F$5)</f>
        <v>0.22890922011282697</v>
      </c>
      <c r="E75" s="103">
        <f t="shared" si="31"/>
        <v>0.22890922011282697</v>
      </c>
      <c r="F75" s="103">
        <f t="shared" si="31"/>
        <v>0.22890922011282697</v>
      </c>
      <c r="G75" s="103">
        <f t="shared" si="31"/>
        <v>0.22890922011282697</v>
      </c>
      <c r="H75" s="103">
        <f t="shared" si="31"/>
        <v>0.22890922011282697</v>
      </c>
      <c r="I75" s="103">
        <f t="shared" si="31"/>
        <v>0.22890922011282697</v>
      </c>
      <c r="J75" s="103">
        <f t="shared" si="31"/>
        <v>0.22890922011282697</v>
      </c>
      <c r="K75" s="103">
        <f t="shared" si="31"/>
        <v>0.22890922011282697</v>
      </c>
      <c r="L75" s="103">
        <f t="shared" si="31"/>
        <v>0.22890922011282697</v>
      </c>
      <c r="M75" s="103">
        <f t="shared" si="31"/>
        <v>0.22890922011282697</v>
      </c>
      <c r="N75" s="103">
        <f t="shared" si="31"/>
        <v>0.22890922011282697</v>
      </c>
      <c r="O75" s="103" t="str">
        <f t="shared" si="31"/>
        <v/>
      </c>
      <c r="P75" s="103" t="str">
        <f t="shared" si="31"/>
        <v/>
      </c>
      <c r="Q75" s="103" t="str">
        <f t="shared" si="31"/>
        <v/>
      </c>
      <c r="R75" s="103" t="str">
        <f t="shared" si="31"/>
        <v/>
      </c>
      <c r="S75" s="103" t="str">
        <f t="shared" si="31"/>
        <v/>
      </c>
      <c r="T75" s="103" t="str">
        <f t="shared" si="31"/>
        <v/>
      </c>
      <c r="U75" s="103" t="str">
        <f t="shared" si="31"/>
        <v/>
      </c>
      <c r="V75" s="103" t="str">
        <f t="shared" si="31"/>
        <v/>
      </c>
      <c r="W75" s="103" t="str">
        <f t="shared" si="31"/>
        <v/>
      </c>
      <c r="X75" s="103" t="str">
        <f t="shared" si="31"/>
        <v/>
      </c>
      <c r="Y75" s="103" t="str">
        <f t="shared" si="31"/>
        <v/>
      </c>
      <c r="Z75" s="103" t="str">
        <f t="shared" si="31"/>
        <v/>
      </c>
      <c r="AA75" s="103" t="str">
        <f t="shared" si="31"/>
        <v/>
      </c>
      <c r="AB75" s="103" t="str">
        <f t="shared" si="31"/>
        <v/>
      </c>
      <c r="AC75" s="192">
        <f t="shared" si="8"/>
        <v>0</v>
      </c>
      <c r="AD75" s="189">
        <v>0</v>
      </c>
    </row>
    <row r="76" spans="1:30" ht="18" customHeight="1" outlineLevel="1" x14ac:dyDescent="0.25">
      <c r="A76" s="9" t="str">
        <f t="shared" si="5"/>
        <v>CO [g/h]</v>
      </c>
      <c r="B76" s="102"/>
      <c r="C76" s="103">
        <f t="shared" si="6"/>
        <v>0</v>
      </c>
      <c r="D76" s="103">
        <f t="shared" ref="D76:AB76" si="32">IF(SUM(D44:D72)=0, "", (D44*$B44/(D$43*$B$43))*$F$5)</f>
        <v>0</v>
      </c>
      <c r="E76" s="103">
        <f t="shared" si="32"/>
        <v>0</v>
      </c>
      <c r="F76" s="103">
        <f t="shared" si="32"/>
        <v>0</v>
      </c>
      <c r="G76" s="103">
        <f t="shared" si="32"/>
        <v>0</v>
      </c>
      <c r="H76" s="103">
        <f t="shared" si="32"/>
        <v>0</v>
      </c>
      <c r="I76" s="103">
        <f t="shared" si="32"/>
        <v>0</v>
      </c>
      <c r="J76" s="103">
        <f t="shared" si="32"/>
        <v>0</v>
      </c>
      <c r="K76" s="103">
        <f t="shared" si="32"/>
        <v>0</v>
      </c>
      <c r="L76" s="103">
        <f t="shared" si="32"/>
        <v>0</v>
      </c>
      <c r="M76" s="103">
        <f t="shared" si="32"/>
        <v>0</v>
      </c>
      <c r="N76" s="103">
        <f t="shared" si="32"/>
        <v>0</v>
      </c>
      <c r="O76" s="103" t="str">
        <f t="shared" si="32"/>
        <v/>
      </c>
      <c r="P76" s="103" t="str">
        <f t="shared" si="32"/>
        <v/>
      </c>
      <c r="Q76" s="103" t="str">
        <f t="shared" si="32"/>
        <v/>
      </c>
      <c r="R76" s="103" t="str">
        <f t="shared" si="32"/>
        <v/>
      </c>
      <c r="S76" s="103" t="str">
        <f t="shared" si="32"/>
        <v/>
      </c>
      <c r="T76" s="103" t="str">
        <f t="shared" si="32"/>
        <v/>
      </c>
      <c r="U76" s="103" t="str">
        <f t="shared" si="32"/>
        <v/>
      </c>
      <c r="V76" s="103" t="str">
        <f t="shared" si="32"/>
        <v/>
      </c>
      <c r="W76" s="103" t="str">
        <f t="shared" si="32"/>
        <v/>
      </c>
      <c r="X76" s="103" t="str">
        <f t="shared" si="32"/>
        <v/>
      </c>
      <c r="Y76" s="103" t="str">
        <f t="shared" si="32"/>
        <v/>
      </c>
      <c r="Z76" s="103" t="str">
        <f t="shared" si="32"/>
        <v/>
      </c>
      <c r="AA76" s="103" t="str">
        <f t="shared" si="32"/>
        <v/>
      </c>
      <c r="AB76" s="103" t="str">
        <f t="shared" si="32"/>
        <v/>
      </c>
      <c r="AC76" s="192">
        <f t="shared" si="8"/>
        <v>0</v>
      </c>
      <c r="AD76" s="189">
        <v>1</v>
      </c>
    </row>
    <row r="77" spans="1:30" ht="18" customHeight="1" outlineLevel="1" x14ac:dyDescent="0.25">
      <c r="A77" s="9" t="str">
        <f t="shared" si="5"/>
        <v>H2 [g/h]</v>
      </c>
      <c r="B77" s="102"/>
      <c r="C77" s="103">
        <f t="shared" si="6"/>
        <v>5.7349180810957516E-2</v>
      </c>
      <c r="D77" s="103">
        <f t="shared" ref="D77:AB77" si="33">IF(SUM(D45:D73)=0, "", (D45*$B45/(D$43*$B$43))*$F$5)</f>
        <v>5.7656928577180695E-2</v>
      </c>
      <c r="E77" s="103">
        <f t="shared" si="33"/>
        <v>5.8458811470001509E-2</v>
      </c>
      <c r="F77" s="103">
        <f t="shared" si="33"/>
        <v>5.8405681960720594E-2</v>
      </c>
      <c r="G77" s="103">
        <f t="shared" si="33"/>
        <v>5.8451459675934389E-2</v>
      </c>
      <c r="H77" s="103">
        <f t="shared" si="33"/>
        <v>4.8653546986830193E-2</v>
      </c>
      <c r="I77" s="103">
        <f t="shared" si="33"/>
        <v>5.8442380800016458E-2</v>
      </c>
      <c r="J77" s="103">
        <f t="shared" si="33"/>
        <v>5.8451041641414646E-2</v>
      </c>
      <c r="K77" s="103">
        <f t="shared" si="33"/>
        <v>5.8217353317463347E-2</v>
      </c>
      <c r="L77" s="103">
        <f t="shared" si="33"/>
        <v>5.817955560823266E-2</v>
      </c>
      <c r="M77" s="103">
        <f t="shared" si="33"/>
        <v>5.8151851136788425E-2</v>
      </c>
      <c r="N77" s="103">
        <f t="shared" si="33"/>
        <v>5.7772377745949732E-2</v>
      </c>
      <c r="O77" s="103" t="str">
        <f t="shared" si="33"/>
        <v/>
      </c>
      <c r="P77" s="103" t="str">
        <f t="shared" si="33"/>
        <v/>
      </c>
      <c r="Q77" s="103" t="str">
        <f t="shared" si="33"/>
        <v/>
      </c>
      <c r="R77" s="103" t="str">
        <f t="shared" si="33"/>
        <v/>
      </c>
      <c r="S77" s="103" t="str">
        <f t="shared" si="33"/>
        <v/>
      </c>
      <c r="T77" s="103" t="str">
        <f t="shared" si="33"/>
        <v/>
      </c>
      <c r="U77" s="103" t="str">
        <f t="shared" si="33"/>
        <v/>
      </c>
      <c r="V77" s="103" t="str">
        <f t="shared" si="33"/>
        <v/>
      </c>
      <c r="W77" s="103" t="str">
        <f t="shared" si="33"/>
        <v/>
      </c>
      <c r="X77" s="103" t="str">
        <f t="shared" si="33"/>
        <v/>
      </c>
      <c r="Y77" s="103" t="str">
        <f t="shared" si="33"/>
        <v/>
      </c>
      <c r="Z77" s="103" t="str">
        <f t="shared" si="33"/>
        <v/>
      </c>
      <c r="AA77" s="103" t="str">
        <f t="shared" si="33"/>
        <v/>
      </c>
      <c r="AB77" s="103" t="str">
        <f t="shared" si="33"/>
        <v/>
      </c>
      <c r="AC77" s="192">
        <f t="shared" si="8"/>
        <v>0</v>
      </c>
      <c r="AD77" s="189">
        <v>0</v>
      </c>
    </row>
    <row r="78" spans="1:30" ht="18" customHeight="1" outlineLevel="1" x14ac:dyDescent="0.25">
      <c r="A78" s="9" t="str">
        <f t="shared" si="5"/>
        <v>Acetylene [g/h]</v>
      </c>
      <c r="B78" s="102"/>
      <c r="C78" s="103">
        <f t="shared" si="6"/>
        <v>0.28079413966034616</v>
      </c>
      <c r="D78" s="103">
        <f t="shared" ref="D78:AB78" si="34">IF(SUM(D46:D74)=0, "", (D46*$B46/(D$43*$B$43))*$F$5)</f>
        <v>0.28687611118188849</v>
      </c>
      <c r="E78" s="103">
        <f t="shared" si="34"/>
        <v>0.28806106102142187</v>
      </c>
      <c r="F78" s="103">
        <f t="shared" si="34"/>
        <v>0.28945739890126343</v>
      </c>
      <c r="G78" s="103">
        <f t="shared" si="34"/>
        <v>0.29361255123812341</v>
      </c>
      <c r="H78" s="103">
        <f t="shared" si="34"/>
        <v>0.24163944721830272</v>
      </c>
      <c r="I78" s="103">
        <f t="shared" si="34"/>
        <v>0.29717295295333057</v>
      </c>
      <c r="J78" s="103">
        <f t="shared" si="34"/>
        <v>0.29673503912381799</v>
      </c>
      <c r="K78" s="103">
        <f t="shared" si="34"/>
        <v>0.27406496702600164</v>
      </c>
      <c r="L78" s="103">
        <f t="shared" si="34"/>
        <v>0.27431739473251221</v>
      </c>
      <c r="M78" s="103">
        <f t="shared" si="34"/>
        <v>0.27337978699502791</v>
      </c>
      <c r="N78" s="103">
        <f t="shared" si="34"/>
        <v>0.27341882587211719</v>
      </c>
      <c r="O78" s="103" t="str">
        <f t="shared" si="34"/>
        <v/>
      </c>
      <c r="P78" s="103" t="str">
        <f t="shared" si="34"/>
        <v/>
      </c>
      <c r="Q78" s="103" t="str">
        <f t="shared" si="34"/>
        <v/>
      </c>
      <c r="R78" s="103" t="str">
        <f t="shared" si="34"/>
        <v/>
      </c>
      <c r="S78" s="103" t="str">
        <f t="shared" si="34"/>
        <v/>
      </c>
      <c r="T78" s="103" t="str">
        <f t="shared" si="34"/>
        <v/>
      </c>
      <c r="U78" s="103" t="str">
        <f t="shared" si="34"/>
        <v/>
      </c>
      <c r="V78" s="103" t="str">
        <f t="shared" si="34"/>
        <v/>
      </c>
      <c r="W78" s="103" t="str">
        <f t="shared" si="34"/>
        <v/>
      </c>
      <c r="X78" s="103" t="str">
        <f t="shared" si="34"/>
        <v/>
      </c>
      <c r="Y78" s="103" t="str">
        <f t="shared" si="34"/>
        <v/>
      </c>
      <c r="Z78" s="103" t="str">
        <f t="shared" si="34"/>
        <v/>
      </c>
      <c r="AA78" s="103" t="str">
        <f t="shared" si="34"/>
        <v/>
      </c>
      <c r="AB78" s="103" t="str">
        <f t="shared" si="34"/>
        <v/>
      </c>
      <c r="AC78" s="192">
        <f t="shared" si="8"/>
        <v>0.25903367215517803</v>
      </c>
      <c r="AD78" s="189">
        <v>2</v>
      </c>
    </row>
    <row r="79" spans="1:30" ht="18" customHeight="1" outlineLevel="1" x14ac:dyDescent="0.25">
      <c r="A79" s="9" t="str">
        <f t="shared" si="5"/>
        <v>Isobutane [g/h]</v>
      </c>
      <c r="B79" s="102"/>
      <c r="C79" s="103">
        <f t="shared" si="6"/>
        <v>0</v>
      </c>
      <c r="D79" s="103">
        <f t="shared" ref="D79:AB79" si="35">IF(SUM(D47:D75)=0, "", (D47*$B47/(D$43*$B$43))*$F$5)</f>
        <v>0</v>
      </c>
      <c r="E79" s="103">
        <f t="shared" si="35"/>
        <v>0</v>
      </c>
      <c r="F79" s="103">
        <f t="shared" si="35"/>
        <v>0</v>
      </c>
      <c r="G79" s="103">
        <f t="shared" si="35"/>
        <v>0</v>
      </c>
      <c r="H79" s="103">
        <f t="shared" si="35"/>
        <v>0</v>
      </c>
      <c r="I79" s="103">
        <f t="shared" si="35"/>
        <v>0</v>
      </c>
      <c r="J79" s="103">
        <f t="shared" si="35"/>
        <v>0</v>
      </c>
      <c r="K79" s="103">
        <f t="shared" si="35"/>
        <v>0</v>
      </c>
      <c r="L79" s="103">
        <f t="shared" si="35"/>
        <v>0</v>
      </c>
      <c r="M79" s="103">
        <f t="shared" si="35"/>
        <v>0</v>
      </c>
      <c r="N79" s="103">
        <f t="shared" si="35"/>
        <v>0</v>
      </c>
      <c r="O79" s="103" t="str">
        <f t="shared" si="35"/>
        <v/>
      </c>
      <c r="P79" s="103" t="str">
        <f t="shared" si="35"/>
        <v/>
      </c>
      <c r="Q79" s="103" t="str">
        <f t="shared" si="35"/>
        <v/>
      </c>
      <c r="R79" s="103" t="str">
        <f t="shared" si="35"/>
        <v/>
      </c>
      <c r="S79" s="103" t="str">
        <f t="shared" si="35"/>
        <v/>
      </c>
      <c r="T79" s="103" t="str">
        <f t="shared" si="35"/>
        <v/>
      </c>
      <c r="U79" s="103" t="str">
        <f t="shared" si="35"/>
        <v/>
      </c>
      <c r="V79" s="103" t="str">
        <f t="shared" si="35"/>
        <v/>
      </c>
      <c r="W79" s="103" t="str">
        <f t="shared" si="35"/>
        <v/>
      </c>
      <c r="X79" s="103" t="str">
        <f t="shared" si="35"/>
        <v/>
      </c>
      <c r="Y79" s="103" t="str">
        <f t="shared" si="35"/>
        <v/>
      </c>
      <c r="Z79" s="103" t="str">
        <f t="shared" si="35"/>
        <v/>
      </c>
      <c r="AA79" s="103" t="str">
        <f t="shared" si="35"/>
        <v/>
      </c>
      <c r="AB79" s="103" t="str">
        <f t="shared" si="35"/>
        <v/>
      </c>
      <c r="AC79" s="192">
        <f t="shared" si="8"/>
        <v>0</v>
      </c>
      <c r="AD79" s="189">
        <v>4</v>
      </c>
    </row>
    <row r="80" spans="1:30" ht="18" customHeight="1" outlineLevel="1" x14ac:dyDescent="0.25">
      <c r="A80" s="9" t="str">
        <f t="shared" si="5"/>
        <v>N2 [g/h]</v>
      </c>
      <c r="B80" s="102"/>
      <c r="C80" s="103">
        <f t="shared" si="6"/>
        <v>2.6779958035150986</v>
      </c>
      <c r="D80" s="103">
        <f t="shared" ref="D80:AB80" si="36">IF(SUM(D48:D76)=0, "", (D48*$B48/(D$43*$B$43))*$F$5)</f>
        <v>2.1712935208738773</v>
      </c>
      <c r="E80" s="103">
        <f t="shared" si="36"/>
        <v>2.1888572662438044</v>
      </c>
      <c r="F80" s="103">
        <f t="shared" si="36"/>
        <v>2.1876180418572218</v>
      </c>
      <c r="G80" s="103">
        <f t="shared" si="36"/>
        <v>2.1793442867060731</v>
      </c>
      <c r="H80" s="103">
        <f t="shared" si="36"/>
        <v>7.4945275200062325</v>
      </c>
      <c r="I80" s="103">
        <f t="shared" si="36"/>
        <v>2.1899479721430763</v>
      </c>
      <c r="J80" s="103">
        <f t="shared" si="36"/>
        <v>2.1940916286034415</v>
      </c>
      <c r="K80" s="103">
        <f t="shared" si="36"/>
        <v>2.2097970110603047</v>
      </c>
      <c r="L80" s="103">
        <f t="shared" si="36"/>
        <v>2.2164180597160685</v>
      </c>
      <c r="M80" s="103">
        <f t="shared" si="36"/>
        <v>2.2115876974323223</v>
      </c>
      <c r="N80" s="103">
        <f t="shared" si="36"/>
        <v>2.2144708340236616</v>
      </c>
      <c r="O80" s="103" t="str">
        <f t="shared" si="36"/>
        <v/>
      </c>
      <c r="P80" s="103" t="str">
        <f t="shared" si="36"/>
        <v/>
      </c>
      <c r="Q80" s="103" t="str">
        <f t="shared" si="36"/>
        <v/>
      </c>
      <c r="R80" s="103" t="str">
        <f t="shared" si="36"/>
        <v/>
      </c>
      <c r="S80" s="103" t="str">
        <f t="shared" si="36"/>
        <v/>
      </c>
      <c r="T80" s="103" t="str">
        <f t="shared" si="36"/>
        <v/>
      </c>
      <c r="U80" s="103" t="str">
        <f t="shared" si="36"/>
        <v/>
      </c>
      <c r="V80" s="103" t="str">
        <f t="shared" si="36"/>
        <v/>
      </c>
      <c r="W80" s="103" t="str">
        <f t="shared" si="36"/>
        <v/>
      </c>
      <c r="X80" s="103" t="str">
        <f t="shared" si="36"/>
        <v/>
      </c>
      <c r="Y80" s="103" t="str">
        <f t="shared" si="36"/>
        <v/>
      </c>
      <c r="Z80" s="103" t="str">
        <f t="shared" si="36"/>
        <v/>
      </c>
      <c r="AA80" s="103" t="str">
        <f t="shared" si="36"/>
        <v/>
      </c>
      <c r="AB80" s="103" t="str">
        <f t="shared" si="36"/>
        <v/>
      </c>
      <c r="AC80" s="192">
        <f t="shared" si="8"/>
        <v>0</v>
      </c>
      <c r="AD80" s="189">
        <v>0</v>
      </c>
    </row>
    <row r="81" spans="1:30" ht="18" customHeight="1" outlineLevel="1" x14ac:dyDescent="0.25">
      <c r="A81" s="9" t="str">
        <f t="shared" si="5"/>
        <v/>
      </c>
      <c r="B81" s="102"/>
      <c r="C81" s="103">
        <f t="shared" si="6"/>
        <v>0</v>
      </c>
      <c r="D81" s="103">
        <f t="shared" ref="D81:AB81" si="37">IF(SUM(D49:D77)=0, "", (D49*$B49/(D$43*$B$43))*$F$5)</f>
        <v>0</v>
      </c>
      <c r="E81" s="103">
        <f t="shared" si="37"/>
        <v>0</v>
      </c>
      <c r="F81" s="103">
        <f t="shared" si="37"/>
        <v>0</v>
      </c>
      <c r="G81" s="103">
        <f t="shared" si="37"/>
        <v>0</v>
      </c>
      <c r="H81" s="103">
        <f t="shared" si="37"/>
        <v>0</v>
      </c>
      <c r="I81" s="103">
        <f t="shared" si="37"/>
        <v>0</v>
      </c>
      <c r="J81" s="103">
        <f t="shared" si="37"/>
        <v>0</v>
      </c>
      <c r="K81" s="103">
        <f t="shared" si="37"/>
        <v>0</v>
      </c>
      <c r="L81" s="103">
        <f t="shared" si="37"/>
        <v>0</v>
      </c>
      <c r="M81" s="103">
        <f t="shared" si="37"/>
        <v>0</v>
      </c>
      <c r="N81" s="103">
        <f t="shared" si="37"/>
        <v>0</v>
      </c>
      <c r="O81" s="103" t="str">
        <f t="shared" si="37"/>
        <v/>
      </c>
      <c r="P81" s="103" t="str">
        <f t="shared" si="37"/>
        <v/>
      </c>
      <c r="Q81" s="103" t="str">
        <f t="shared" si="37"/>
        <v/>
      </c>
      <c r="R81" s="103" t="str">
        <f t="shared" si="37"/>
        <v/>
      </c>
      <c r="S81" s="103" t="str">
        <f t="shared" si="37"/>
        <v/>
      </c>
      <c r="T81" s="103" t="str">
        <f t="shared" si="37"/>
        <v/>
      </c>
      <c r="U81" s="103" t="str">
        <f t="shared" si="37"/>
        <v/>
      </c>
      <c r="V81" s="103" t="str">
        <f t="shared" si="37"/>
        <v/>
      </c>
      <c r="W81" s="103" t="str">
        <f t="shared" si="37"/>
        <v/>
      </c>
      <c r="X81" s="103" t="str">
        <f t="shared" si="37"/>
        <v/>
      </c>
      <c r="Y81" s="103" t="str">
        <f t="shared" si="37"/>
        <v/>
      </c>
      <c r="Z81" s="103" t="str">
        <f t="shared" si="37"/>
        <v/>
      </c>
      <c r="AA81" s="103" t="str">
        <f t="shared" si="37"/>
        <v/>
      </c>
      <c r="AB81" s="103" t="str">
        <f t="shared" si="37"/>
        <v/>
      </c>
    </row>
    <row r="82" spans="1:30" ht="18" customHeight="1" outlineLevel="1" x14ac:dyDescent="0.25">
      <c r="A82" s="9" t="s">
        <v>250</v>
      </c>
      <c r="B82" s="102"/>
      <c r="C82" s="103">
        <f t="shared" si="6"/>
        <v>0.43040358305180848</v>
      </c>
      <c r="D82" s="103">
        <f t="shared" ref="D82:AB82" si="38">IF(SUM(D52:D81)=0,"",SUM(D52:D73,D78,D79))</f>
        <v>0.40695654561205874</v>
      </c>
      <c r="E82" s="103">
        <f t="shared" si="38"/>
        <v>0.40766436834838504</v>
      </c>
      <c r="F82" s="103">
        <f t="shared" si="38"/>
        <v>0.40878417417002505</v>
      </c>
      <c r="G82" s="103">
        <f t="shared" si="38"/>
        <v>0.4141793926141154</v>
      </c>
      <c r="H82" s="103">
        <f t="shared" si="38"/>
        <v>0.69478625724444898</v>
      </c>
      <c r="I82" s="103">
        <f t="shared" si="38"/>
        <v>0.42110165870814881</v>
      </c>
      <c r="J82" s="103">
        <f t="shared" si="38"/>
        <v>0.41585150220290107</v>
      </c>
      <c r="K82" s="103">
        <f t="shared" si="38"/>
        <v>0.39143570282576845</v>
      </c>
      <c r="L82" s="103">
        <f t="shared" si="38"/>
        <v>0.39208705073158601</v>
      </c>
      <c r="M82" s="103">
        <f t="shared" si="38"/>
        <v>0.39066833055857231</v>
      </c>
      <c r="N82" s="103">
        <f t="shared" si="38"/>
        <v>0.39092443055388282</v>
      </c>
      <c r="O82" s="103" t="str">
        <f t="shared" si="38"/>
        <v/>
      </c>
      <c r="P82" s="103" t="str">
        <f t="shared" si="38"/>
        <v/>
      </c>
      <c r="Q82" s="103" t="str">
        <f t="shared" si="38"/>
        <v/>
      </c>
      <c r="R82" s="103" t="str">
        <f t="shared" si="38"/>
        <v/>
      </c>
      <c r="S82" s="103" t="str">
        <f t="shared" si="38"/>
        <v/>
      </c>
      <c r="T82" s="103" t="str">
        <f t="shared" si="38"/>
        <v/>
      </c>
      <c r="U82" s="103" t="str">
        <f t="shared" si="38"/>
        <v/>
      </c>
      <c r="V82" s="103" t="str">
        <f t="shared" si="38"/>
        <v/>
      </c>
      <c r="W82" s="103" t="str">
        <f t="shared" si="38"/>
        <v/>
      </c>
      <c r="X82" s="103" t="str">
        <f t="shared" si="38"/>
        <v/>
      </c>
      <c r="Y82" s="103" t="str">
        <f t="shared" si="38"/>
        <v/>
      </c>
      <c r="Z82" s="103" t="str">
        <f t="shared" si="38"/>
        <v/>
      </c>
      <c r="AA82" s="103" t="str">
        <f t="shared" si="38"/>
        <v/>
      </c>
      <c r="AB82" s="103" t="str">
        <f t="shared" si="38"/>
        <v/>
      </c>
    </row>
    <row r="83" spans="1:30" ht="18" customHeight="1" outlineLevel="1" x14ac:dyDescent="0.25">
      <c r="A83" s="9" t="s">
        <v>251</v>
      </c>
      <c r="B83" s="102"/>
      <c r="C83" s="103">
        <f t="shared" si="6"/>
        <v>0</v>
      </c>
      <c r="D83" s="103">
        <f t="shared" ref="D83:AB83" si="39">IFERROR(D74+D76,"")</f>
        <v>0</v>
      </c>
      <c r="E83" s="103">
        <f t="shared" si="39"/>
        <v>0</v>
      </c>
      <c r="F83" s="103">
        <f t="shared" si="39"/>
        <v>0</v>
      </c>
      <c r="G83" s="103">
        <f t="shared" si="39"/>
        <v>0</v>
      </c>
      <c r="H83" s="103">
        <f t="shared" si="39"/>
        <v>0</v>
      </c>
      <c r="I83" s="103">
        <f t="shared" si="39"/>
        <v>0</v>
      </c>
      <c r="J83" s="103">
        <f t="shared" si="39"/>
        <v>0</v>
      </c>
      <c r="K83" s="103">
        <f t="shared" si="39"/>
        <v>0</v>
      </c>
      <c r="L83" s="103">
        <f t="shared" si="39"/>
        <v>0</v>
      </c>
      <c r="M83" s="103">
        <f t="shared" si="39"/>
        <v>0</v>
      </c>
      <c r="N83" s="103">
        <f t="shared" si="39"/>
        <v>0</v>
      </c>
      <c r="O83" s="103" t="str">
        <f t="shared" si="39"/>
        <v/>
      </c>
      <c r="P83" s="103" t="str">
        <f t="shared" si="39"/>
        <v/>
      </c>
      <c r="Q83" s="103" t="str">
        <f t="shared" si="39"/>
        <v/>
      </c>
      <c r="R83" s="103" t="str">
        <f t="shared" si="39"/>
        <v/>
      </c>
      <c r="S83" s="103" t="str">
        <f t="shared" si="39"/>
        <v/>
      </c>
      <c r="T83" s="103" t="str">
        <f t="shared" si="39"/>
        <v/>
      </c>
      <c r="U83" s="103" t="str">
        <f t="shared" si="39"/>
        <v/>
      </c>
      <c r="V83" s="103" t="str">
        <f t="shared" si="39"/>
        <v/>
      </c>
      <c r="W83" s="103" t="str">
        <f t="shared" si="39"/>
        <v/>
      </c>
      <c r="X83" s="103" t="str">
        <f t="shared" si="39"/>
        <v/>
      </c>
      <c r="Y83" s="103" t="str">
        <f t="shared" si="39"/>
        <v/>
      </c>
      <c r="Z83" s="103" t="str">
        <f t="shared" si="39"/>
        <v/>
      </c>
      <c r="AA83" s="103" t="str">
        <f t="shared" si="39"/>
        <v/>
      </c>
      <c r="AB83" s="103" t="str">
        <f t="shared" si="39"/>
        <v/>
      </c>
    </row>
    <row r="84" spans="1:30" ht="18" customHeight="1" outlineLevel="1" x14ac:dyDescent="0.25">
      <c r="A84" s="9" t="s">
        <v>252</v>
      </c>
      <c r="B84" s="102"/>
      <c r="C84" s="103">
        <f t="shared" si="6"/>
        <v>0.43040358305180848</v>
      </c>
      <c r="D84" s="103">
        <f t="shared" ref="D84:AB84" si="40">IF(SUM(D82:D83)=0,"",SUM(D82:D83))</f>
        <v>0.40695654561205874</v>
      </c>
      <c r="E84" s="103">
        <f t="shared" si="40"/>
        <v>0.40766436834838504</v>
      </c>
      <c r="F84" s="103">
        <f t="shared" si="40"/>
        <v>0.40878417417002505</v>
      </c>
      <c r="G84" s="103">
        <f t="shared" si="40"/>
        <v>0.4141793926141154</v>
      </c>
      <c r="H84" s="103">
        <f t="shared" si="40"/>
        <v>0.69478625724444898</v>
      </c>
      <c r="I84" s="103">
        <f t="shared" si="40"/>
        <v>0.42110165870814881</v>
      </c>
      <c r="J84" s="103">
        <f t="shared" si="40"/>
        <v>0.41585150220290107</v>
      </c>
      <c r="K84" s="103">
        <f t="shared" si="40"/>
        <v>0.39143570282576845</v>
      </c>
      <c r="L84" s="103">
        <f t="shared" si="40"/>
        <v>0.39208705073158601</v>
      </c>
      <c r="M84" s="103">
        <f t="shared" si="40"/>
        <v>0.39066833055857231</v>
      </c>
      <c r="N84" s="103">
        <f t="shared" si="40"/>
        <v>0.39092443055388282</v>
      </c>
      <c r="O84" s="103" t="str">
        <f t="shared" si="40"/>
        <v/>
      </c>
      <c r="P84" s="103" t="str">
        <f t="shared" si="40"/>
        <v/>
      </c>
      <c r="Q84" s="103" t="str">
        <f t="shared" si="40"/>
        <v/>
      </c>
      <c r="R84" s="103" t="str">
        <f t="shared" si="40"/>
        <v/>
      </c>
      <c r="S84" s="103" t="str">
        <f t="shared" si="40"/>
        <v/>
      </c>
      <c r="T84" s="103" t="str">
        <f t="shared" si="40"/>
        <v/>
      </c>
      <c r="U84" s="103" t="str">
        <f t="shared" si="40"/>
        <v/>
      </c>
      <c r="V84" s="103" t="str">
        <f t="shared" si="40"/>
        <v/>
      </c>
      <c r="W84" s="103" t="str">
        <f t="shared" si="40"/>
        <v/>
      </c>
      <c r="X84" s="103" t="str">
        <f t="shared" si="40"/>
        <v/>
      </c>
      <c r="Y84" s="103" t="str">
        <f t="shared" si="40"/>
        <v/>
      </c>
      <c r="Z84" s="103" t="str">
        <f t="shared" si="40"/>
        <v/>
      </c>
      <c r="AA84" s="103" t="str">
        <f t="shared" si="40"/>
        <v/>
      </c>
      <c r="AB84" s="103" t="str">
        <f t="shared" si="40"/>
        <v/>
      </c>
    </row>
    <row r="86" spans="1:30" ht="18" customHeight="1" outlineLevel="2" x14ac:dyDescent="0.25">
      <c r="A86" s="9" t="s">
        <v>253</v>
      </c>
      <c r="B86" s="189"/>
      <c r="C86" s="7">
        <f>IFERROR(AVERAGE(D86:AB86), "")</f>
        <v>159.70410705546072</v>
      </c>
      <c r="D86" s="7">
        <f>IF(D$75="","",D$75/Gas!$I$35*Gas!$B$11)</f>
        <v>159.7041070554607</v>
      </c>
      <c r="E86" s="7">
        <f>IF(E$75="","",E$75/Gas!$I$35*Gas!$B$11)</f>
        <v>159.7041070554607</v>
      </c>
      <c r="F86" s="7">
        <f>IF(F$75="","",F$75/Gas!$I$35*Gas!$B$11)</f>
        <v>159.7041070554607</v>
      </c>
      <c r="G86" s="7">
        <f>IF(G$75="","",G$75/Gas!$I$35*Gas!$B$11)</f>
        <v>159.7041070554607</v>
      </c>
      <c r="H86" s="7">
        <f>IF(H$75="","",H$75/Gas!$I$35*Gas!$B$11)</f>
        <v>159.7041070554607</v>
      </c>
      <c r="I86" s="7">
        <f>IF(I$75="","",I$75/Gas!$I$35*Gas!$B$11)</f>
        <v>159.7041070554607</v>
      </c>
      <c r="J86" s="7">
        <f>IF(J$75="","",J$75/Gas!$I$35*Gas!$B$11)</f>
        <v>159.7041070554607</v>
      </c>
      <c r="K86" s="7">
        <f>IF(K$75="","",K$75/Gas!$I$35*Gas!$B$11)</f>
        <v>159.7041070554607</v>
      </c>
      <c r="L86" s="7">
        <f>IF(L$75="","",L$75/Gas!$I$35*Gas!$B$11)</f>
        <v>159.7041070554607</v>
      </c>
      <c r="M86" s="7">
        <f>IF(M$75="","",M$75/Gas!$I$35*Gas!$B$11)</f>
        <v>159.7041070554607</v>
      </c>
      <c r="N86" s="7">
        <f>IF(N$75="","",N$75/Gas!$I$35*Gas!$B$11)</f>
        <v>159.7041070554607</v>
      </c>
      <c r="O86" s="7" t="str">
        <f>IF(O$75="","",O$75/Gas!$I$35*Gas!$B$11)</f>
        <v/>
      </c>
      <c r="P86" s="7" t="str">
        <f>IF(P$75="","",P$75/Gas!$I$35*Gas!$B$11)</f>
        <v/>
      </c>
      <c r="Q86" s="7" t="str">
        <f>IF(Q$75="","",Q$75/Gas!$I$35*Gas!$B$11)</f>
        <v/>
      </c>
      <c r="R86" s="7" t="str">
        <f>IF(R$75="","",R$75/Gas!$I$35*Gas!$B$11)</f>
        <v/>
      </c>
      <c r="S86" s="7" t="str">
        <f>IF(S$75="","",S$75/Gas!$I$35*Gas!$B$11)</f>
        <v/>
      </c>
      <c r="T86" s="7" t="str">
        <f>IF(T$75="","",T$75/Gas!$I$35*Gas!$B$11)</f>
        <v/>
      </c>
      <c r="U86" s="7" t="str">
        <f>IF(U$75="","",U$75/Gas!$I$35*Gas!$B$11)</f>
        <v/>
      </c>
      <c r="V86" s="7" t="str">
        <f>IF(V$75="","",V$75/Gas!$I$35*Gas!$B$11)</f>
        <v/>
      </c>
      <c r="W86" s="7" t="str">
        <f>IF(W$75="","",W$75/Gas!$I$35*Gas!$B$11)</f>
        <v/>
      </c>
      <c r="X86" s="7" t="str">
        <f>IF(X$75="","",X$75/Gas!$I$35*Gas!$B$11)</f>
        <v/>
      </c>
      <c r="Y86" s="7" t="str">
        <f>IF(Y$75="","",Y$75/Gas!$I$35*Gas!$B$11)</f>
        <v/>
      </c>
      <c r="Z86" s="7" t="str">
        <f>IF(Z$75="","",Z$75/Gas!$I$35*Gas!$B$11)</f>
        <v/>
      </c>
      <c r="AA86" s="7" t="str">
        <f>IF(AA$75="","",AA$75/Gas!$I$35*Gas!$B$11)</f>
        <v/>
      </c>
      <c r="AB86" s="7" t="str">
        <f>IF(AB$75="","",AB$75/Gas!$I$35*Gas!$B$11)</f>
        <v/>
      </c>
    </row>
    <row r="87" spans="1:30" ht="18" customHeight="1" outlineLevel="2" x14ac:dyDescent="0.25">
      <c r="A87" s="9" t="s">
        <v>254</v>
      </c>
      <c r="B87" s="218"/>
      <c r="C87" s="7" t="s">
        <v>247</v>
      </c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D87" s="136"/>
    </row>
    <row r="88" spans="1:30" ht="18" customHeight="1" outlineLevel="2" x14ac:dyDescent="0.25">
      <c r="A88" s="9" t="str">
        <f t="shared" ref="A88:A118" si="41">IF(A20="", "", CONCATENATE(A20, " [Nl/h]"))</f>
        <v>Methane [Nl/h]</v>
      </c>
      <c r="B88" s="219"/>
      <c r="C88" s="103">
        <f t="shared" ref="C88:C118" si="42">IFERROR(AVERAGE(D88:AB88), "")</f>
        <v>3.9646097405018357</v>
      </c>
      <c r="D88" s="103">
        <f t="shared" ref="D88:AB88" si="43">IF(D$86="","",D20/100*D$86)</f>
        <v>4.1451680098565991</v>
      </c>
      <c r="E88" s="103">
        <f t="shared" si="43"/>
        <v>4.1379621605462571</v>
      </c>
      <c r="F88" s="103">
        <f t="shared" si="43"/>
        <v>4.150680995632154</v>
      </c>
      <c r="G88" s="103">
        <f t="shared" si="43"/>
        <v>4.2164966551907792</v>
      </c>
      <c r="H88" s="103">
        <f t="shared" si="43"/>
        <v>1.8870812964190995</v>
      </c>
      <c r="I88" s="103">
        <f t="shared" si="43"/>
        <v>4.2033370367694092</v>
      </c>
      <c r="J88" s="103">
        <f t="shared" si="43"/>
        <v>4.2113078687525478</v>
      </c>
      <c r="K88" s="103">
        <f t="shared" si="43"/>
        <v>4.1637304182196546</v>
      </c>
      <c r="L88" s="103">
        <f t="shared" si="43"/>
        <v>4.1656676290382384</v>
      </c>
      <c r="M88" s="103">
        <f t="shared" si="43"/>
        <v>4.1625294433345976</v>
      </c>
      <c r="N88" s="103">
        <f t="shared" si="43"/>
        <v>4.166745631760862</v>
      </c>
      <c r="O88" s="103" t="str">
        <f t="shared" si="43"/>
        <v/>
      </c>
      <c r="P88" s="103" t="str">
        <f t="shared" si="43"/>
        <v/>
      </c>
      <c r="Q88" s="103" t="str">
        <f t="shared" si="43"/>
        <v/>
      </c>
      <c r="R88" s="103" t="str">
        <f t="shared" si="43"/>
        <v/>
      </c>
      <c r="S88" s="103" t="str">
        <f t="shared" si="43"/>
        <v/>
      </c>
      <c r="T88" s="103" t="str">
        <f t="shared" si="43"/>
        <v/>
      </c>
      <c r="U88" s="103" t="str">
        <f t="shared" si="43"/>
        <v/>
      </c>
      <c r="V88" s="103" t="str">
        <f t="shared" si="43"/>
        <v/>
      </c>
      <c r="W88" s="103" t="str">
        <f t="shared" si="43"/>
        <v/>
      </c>
      <c r="X88" s="103" t="str">
        <f t="shared" si="43"/>
        <v/>
      </c>
      <c r="Y88" s="103" t="str">
        <f t="shared" si="43"/>
        <v/>
      </c>
      <c r="Z88" s="103" t="str">
        <f t="shared" si="43"/>
        <v/>
      </c>
      <c r="AA88" s="103" t="str">
        <f t="shared" si="43"/>
        <v/>
      </c>
      <c r="AB88" s="103" t="str">
        <f t="shared" si="43"/>
        <v/>
      </c>
    </row>
    <row r="89" spans="1:30" ht="18" customHeight="1" outlineLevel="2" x14ac:dyDescent="0.25">
      <c r="A89" s="9" t="str">
        <f t="shared" si="41"/>
        <v>Ethane [Nl/h]</v>
      </c>
      <c r="B89" s="219"/>
      <c r="C89" s="103">
        <f t="shared" si="42"/>
        <v>1.3656443379864313E-2</v>
      </c>
      <c r="D89" s="103">
        <f t="shared" ref="D89:AB89" si="44">IF(D$86="","",D21/100*D$86)</f>
        <v>3.5661927105484375E-3</v>
      </c>
      <c r="E89" s="103">
        <f t="shared" si="44"/>
        <v>3.4496087123979508E-3</v>
      </c>
      <c r="F89" s="103">
        <f t="shared" si="44"/>
        <v>3.3873241106463217E-3</v>
      </c>
      <c r="G89" s="103">
        <f t="shared" si="44"/>
        <v>3.2116495928853151E-3</v>
      </c>
      <c r="H89" s="103">
        <f t="shared" si="44"/>
        <v>0.11887415504566162</v>
      </c>
      <c r="I89" s="103">
        <f t="shared" si="44"/>
        <v>2.9433466930321407E-3</v>
      </c>
      <c r="J89" s="103">
        <f t="shared" si="44"/>
        <v>2.6415059306973201E-3</v>
      </c>
      <c r="K89" s="103">
        <f t="shared" si="44"/>
        <v>3.5725808748306555E-3</v>
      </c>
      <c r="L89" s="103">
        <f t="shared" si="44"/>
        <v>2.8044041198938899E-3</v>
      </c>
      <c r="M89" s="103">
        <f t="shared" si="44"/>
        <v>2.8555094341516374E-3</v>
      </c>
      <c r="N89" s="103">
        <f t="shared" si="44"/>
        <v>2.9145999537621577E-3</v>
      </c>
      <c r="O89" s="103" t="str">
        <f t="shared" si="44"/>
        <v/>
      </c>
      <c r="P89" s="103" t="str">
        <f t="shared" si="44"/>
        <v/>
      </c>
      <c r="Q89" s="103" t="str">
        <f t="shared" si="44"/>
        <v/>
      </c>
      <c r="R89" s="103" t="str">
        <f t="shared" si="44"/>
        <v/>
      </c>
      <c r="S89" s="103" t="str">
        <f t="shared" si="44"/>
        <v/>
      </c>
      <c r="T89" s="103" t="str">
        <f t="shared" si="44"/>
        <v/>
      </c>
      <c r="U89" s="103" t="str">
        <f t="shared" si="44"/>
        <v/>
      </c>
      <c r="V89" s="103" t="str">
        <f t="shared" si="44"/>
        <v/>
      </c>
      <c r="W89" s="103" t="str">
        <f t="shared" si="44"/>
        <v/>
      </c>
      <c r="X89" s="103" t="str">
        <f t="shared" si="44"/>
        <v/>
      </c>
      <c r="Y89" s="103" t="str">
        <f t="shared" si="44"/>
        <v/>
      </c>
      <c r="Z89" s="103" t="str">
        <f t="shared" si="44"/>
        <v/>
      </c>
      <c r="AA89" s="103" t="str">
        <f t="shared" si="44"/>
        <v/>
      </c>
      <c r="AB89" s="103" t="str">
        <f t="shared" si="44"/>
        <v/>
      </c>
    </row>
    <row r="90" spans="1:30" ht="18" customHeight="1" outlineLevel="2" x14ac:dyDescent="0.25">
      <c r="A90" s="9" t="str">
        <f t="shared" si="41"/>
        <v>Ethylene [Nl/h]</v>
      </c>
      <c r="B90" s="219"/>
      <c r="C90" s="103">
        <f t="shared" si="42"/>
        <v>2.6269348183406831</v>
      </c>
      <c r="D90" s="103">
        <f t="shared" ref="D90:AB90" si="45">IF(D$86="","",D22/100*D$86)</f>
        <v>2.5941025576411181</v>
      </c>
      <c r="E90" s="103">
        <f t="shared" si="45"/>
        <v>2.5951486195423312</v>
      </c>
      <c r="F90" s="103">
        <f t="shared" si="45"/>
        <v>2.6058232420579182</v>
      </c>
      <c r="G90" s="103">
        <f t="shared" si="45"/>
        <v>2.6490599349610431</v>
      </c>
      <c r="H90" s="103">
        <f t="shared" si="45"/>
        <v>2.6828724885068254</v>
      </c>
      <c r="I90" s="103">
        <f t="shared" si="45"/>
        <v>2.6490136207699968</v>
      </c>
      <c r="J90" s="103">
        <f t="shared" si="45"/>
        <v>2.637339250544243</v>
      </c>
      <c r="K90" s="103">
        <f t="shared" si="45"/>
        <v>2.6212666292101816</v>
      </c>
      <c r="L90" s="103">
        <f t="shared" si="45"/>
        <v>2.6196663940574858</v>
      </c>
      <c r="M90" s="103">
        <f t="shared" si="45"/>
        <v>2.6191249971345676</v>
      </c>
      <c r="N90" s="103">
        <f t="shared" si="45"/>
        <v>2.6228652673218065</v>
      </c>
      <c r="O90" s="103" t="str">
        <f t="shared" si="45"/>
        <v/>
      </c>
      <c r="P90" s="103" t="str">
        <f t="shared" si="45"/>
        <v/>
      </c>
      <c r="Q90" s="103" t="str">
        <f t="shared" si="45"/>
        <v/>
      </c>
      <c r="R90" s="103" t="str">
        <f t="shared" si="45"/>
        <v/>
      </c>
      <c r="S90" s="103" t="str">
        <f t="shared" si="45"/>
        <v/>
      </c>
      <c r="T90" s="103" t="str">
        <f t="shared" si="45"/>
        <v/>
      </c>
      <c r="U90" s="103" t="str">
        <f t="shared" si="45"/>
        <v/>
      </c>
      <c r="V90" s="103" t="str">
        <f t="shared" si="45"/>
        <v/>
      </c>
      <c r="W90" s="103" t="str">
        <f t="shared" si="45"/>
        <v/>
      </c>
      <c r="X90" s="103" t="str">
        <f t="shared" si="45"/>
        <v/>
      </c>
      <c r="Y90" s="103" t="str">
        <f t="shared" si="45"/>
        <v/>
      </c>
      <c r="Z90" s="103" t="str">
        <f t="shared" si="45"/>
        <v/>
      </c>
      <c r="AA90" s="103" t="str">
        <f t="shared" si="45"/>
        <v/>
      </c>
      <c r="AB90" s="103" t="str">
        <f t="shared" si="45"/>
        <v/>
      </c>
    </row>
    <row r="91" spans="1:30" ht="18" customHeight="1" outlineLevel="2" x14ac:dyDescent="0.25">
      <c r="A91" s="9" t="str">
        <f t="shared" si="41"/>
        <v>Propane [Nl/h]</v>
      </c>
      <c r="B91" s="219"/>
      <c r="C91" s="103">
        <f t="shared" si="42"/>
        <v>2.9734001022689409E-4</v>
      </c>
      <c r="D91" s="103">
        <f t="shared" ref="D91:AB91" si="46">IF(D$86="","",D23/100*D$86)</f>
        <v>0</v>
      </c>
      <c r="E91" s="103">
        <f t="shared" si="46"/>
        <v>0</v>
      </c>
      <c r="F91" s="103">
        <f t="shared" si="46"/>
        <v>0</v>
      </c>
      <c r="G91" s="103">
        <f t="shared" si="46"/>
        <v>0</v>
      </c>
      <c r="H91" s="103">
        <f t="shared" si="46"/>
        <v>3.270740112495835E-3</v>
      </c>
      <c r="I91" s="103">
        <f t="shared" si="46"/>
        <v>0</v>
      </c>
      <c r="J91" s="103">
        <f t="shared" si="46"/>
        <v>0</v>
      </c>
      <c r="K91" s="103">
        <f t="shared" si="46"/>
        <v>0</v>
      </c>
      <c r="L91" s="103">
        <f t="shared" si="46"/>
        <v>0</v>
      </c>
      <c r="M91" s="103">
        <f t="shared" si="46"/>
        <v>0</v>
      </c>
      <c r="N91" s="103">
        <f t="shared" si="46"/>
        <v>0</v>
      </c>
      <c r="O91" s="103" t="str">
        <f t="shared" si="46"/>
        <v/>
      </c>
      <c r="P91" s="103" t="str">
        <f t="shared" si="46"/>
        <v/>
      </c>
      <c r="Q91" s="103" t="str">
        <f t="shared" si="46"/>
        <v/>
      </c>
      <c r="R91" s="103" t="str">
        <f t="shared" si="46"/>
        <v/>
      </c>
      <c r="S91" s="103" t="str">
        <f t="shared" si="46"/>
        <v/>
      </c>
      <c r="T91" s="103" t="str">
        <f t="shared" si="46"/>
        <v/>
      </c>
      <c r="U91" s="103" t="str">
        <f t="shared" si="46"/>
        <v/>
      </c>
      <c r="V91" s="103" t="str">
        <f t="shared" si="46"/>
        <v/>
      </c>
      <c r="W91" s="103" t="str">
        <f t="shared" si="46"/>
        <v/>
      </c>
      <c r="X91" s="103" t="str">
        <f t="shared" si="46"/>
        <v/>
      </c>
      <c r="Y91" s="103" t="str">
        <f t="shared" si="46"/>
        <v/>
      </c>
      <c r="Z91" s="103" t="str">
        <f t="shared" si="46"/>
        <v/>
      </c>
      <c r="AA91" s="103" t="str">
        <f t="shared" si="46"/>
        <v/>
      </c>
      <c r="AB91" s="103" t="str">
        <f t="shared" si="46"/>
        <v/>
      </c>
    </row>
    <row r="92" spans="1:30" ht="18" customHeight="1" outlineLevel="2" x14ac:dyDescent="0.25">
      <c r="A92" s="9" t="str">
        <f t="shared" si="41"/>
        <v>Propylene [Nl/h]</v>
      </c>
      <c r="B92" s="219"/>
      <c r="C92" s="103">
        <f t="shared" si="42"/>
        <v>1.9344522930972352E-3</v>
      </c>
      <c r="D92" s="103">
        <f t="shared" ref="D92:AB92" si="47">IF(D$86="","",D24/100*D$86)</f>
        <v>2.820374530599436E-3</v>
      </c>
      <c r="E92" s="103">
        <f t="shared" si="47"/>
        <v>1.7040428222817655E-3</v>
      </c>
      <c r="F92" s="103">
        <f t="shared" si="47"/>
        <v>1.0827938458360235E-3</v>
      </c>
      <c r="G92" s="103">
        <f t="shared" si="47"/>
        <v>7.6657971386621135E-4</v>
      </c>
      <c r="H92" s="103">
        <f t="shared" si="47"/>
        <v>1.396293007985893E-2</v>
      </c>
      <c r="I92" s="103">
        <f t="shared" si="47"/>
        <v>5.4299396398856635E-4</v>
      </c>
      <c r="J92" s="103">
        <f t="shared" si="47"/>
        <v>3.9926026763865177E-4</v>
      </c>
      <c r="K92" s="103">
        <f t="shared" si="47"/>
        <v>0</v>
      </c>
      <c r="L92" s="103">
        <f t="shared" si="47"/>
        <v>0</v>
      </c>
      <c r="M92" s="103">
        <f t="shared" si="47"/>
        <v>0</v>
      </c>
      <c r="N92" s="103">
        <f t="shared" si="47"/>
        <v>0</v>
      </c>
      <c r="O92" s="103" t="str">
        <f t="shared" si="47"/>
        <v/>
      </c>
      <c r="P92" s="103" t="str">
        <f t="shared" si="47"/>
        <v/>
      </c>
      <c r="Q92" s="103" t="str">
        <f t="shared" si="47"/>
        <v/>
      </c>
      <c r="R92" s="103" t="str">
        <f t="shared" si="47"/>
        <v/>
      </c>
      <c r="S92" s="103" t="str">
        <f t="shared" si="47"/>
        <v/>
      </c>
      <c r="T92" s="103" t="str">
        <f t="shared" si="47"/>
        <v/>
      </c>
      <c r="U92" s="103" t="str">
        <f t="shared" si="47"/>
        <v/>
      </c>
      <c r="V92" s="103" t="str">
        <f t="shared" si="47"/>
        <v/>
      </c>
      <c r="W92" s="103" t="str">
        <f t="shared" si="47"/>
        <v/>
      </c>
      <c r="X92" s="103" t="str">
        <f t="shared" si="47"/>
        <v/>
      </c>
      <c r="Y92" s="103" t="str">
        <f t="shared" si="47"/>
        <v/>
      </c>
      <c r="Z92" s="103" t="str">
        <f t="shared" si="47"/>
        <v/>
      </c>
      <c r="AA92" s="103" t="str">
        <f t="shared" si="47"/>
        <v/>
      </c>
      <c r="AB92" s="103" t="str">
        <f t="shared" si="47"/>
        <v/>
      </c>
    </row>
    <row r="93" spans="1:30" ht="18" customHeight="1" outlineLevel="2" x14ac:dyDescent="0.25">
      <c r="A93" s="9" t="str">
        <f t="shared" si="41"/>
        <v>Butane [Nl/h]</v>
      </c>
      <c r="B93" s="219"/>
      <c r="C93" s="103">
        <f t="shared" si="42"/>
        <v>5.4430063395538369E-4</v>
      </c>
      <c r="D93" s="103">
        <f t="shared" ref="D93:AB93" si="48">IF(D$86="","",D25/100*D$86)</f>
        <v>0</v>
      </c>
      <c r="E93" s="103">
        <f t="shared" si="48"/>
        <v>0</v>
      </c>
      <c r="F93" s="103">
        <f t="shared" si="48"/>
        <v>0</v>
      </c>
      <c r="G93" s="103">
        <f t="shared" si="48"/>
        <v>0</v>
      </c>
      <c r="H93" s="103">
        <f t="shared" si="48"/>
        <v>5.2271154239252283E-3</v>
      </c>
      <c r="I93" s="103">
        <f t="shared" si="48"/>
        <v>0</v>
      </c>
      <c r="J93" s="103">
        <f t="shared" si="48"/>
        <v>0</v>
      </c>
      <c r="K93" s="103">
        <f t="shared" si="48"/>
        <v>0</v>
      </c>
      <c r="L93" s="103">
        <f t="shared" si="48"/>
        <v>0</v>
      </c>
      <c r="M93" s="103">
        <f t="shared" si="48"/>
        <v>3.3378158374591289E-4</v>
      </c>
      <c r="N93" s="103">
        <f t="shared" si="48"/>
        <v>4.2640996583808002E-4</v>
      </c>
      <c r="O93" s="103" t="str">
        <f t="shared" si="48"/>
        <v/>
      </c>
      <c r="P93" s="103" t="str">
        <f t="shared" si="48"/>
        <v/>
      </c>
      <c r="Q93" s="103" t="str">
        <f t="shared" si="48"/>
        <v/>
      </c>
      <c r="R93" s="103" t="str">
        <f t="shared" si="48"/>
        <v/>
      </c>
      <c r="S93" s="103" t="str">
        <f t="shared" si="48"/>
        <v/>
      </c>
      <c r="T93" s="103" t="str">
        <f t="shared" si="48"/>
        <v/>
      </c>
      <c r="U93" s="103" t="str">
        <f t="shared" si="48"/>
        <v/>
      </c>
      <c r="V93" s="103" t="str">
        <f t="shared" si="48"/>
        <v/>
      </c>
      <c r="W93" s="103" t="str">
        <f t="shared" si="48"/>
        <v/>
      </c>
      <c r="X93" s="103" t="str">
        <f t="shared" si="48"/>
        <v/>
      </c>
      <c r="Y93" s="103" t="str">
        <f t="shared" si="48"/>
        <v/>
      </c>
      <c r="Z93" s="103" t="str">
        <f t="shared" si="48"/>
        <v/>
      </c>
      <c r="AA93" s="103" t="str">
        <f t="shared" si="48"/>
        <v/>
      </c>
      <c r="AB93" s="103" t="str">
        <f t="shared" si="48"/>
        <v/>
      </c>
    </row>
    <row r="94" spans="1:30" ht="18" customHeight="1" outlineLevel="2" x14ac:dyDescent="0.25">
      <c r="A94" s="9" t="str">
        <f t="shared" si="41"/>
        <v>Pentane [Nl/h]</v>
      </c>
      <c r="B94" s="219"/>
      <c r="C94" s="103">
        <f t="shared" si="42"/>
        <v>0</v>
      </c>
      <c r="D94" s="103">
        <f t="shared" ref="D94:AB94" si="49">IF(D$86="","",D26/100*D$86)</f>
        <v>0</v>
      </c>
      <c r="E94" s="103">
        <f t="shared" si="49"/>
        <v>0</v>
      </c>
      <c r="F94" s="103">
        <f t="shared" si="49"/>
        <v>0</v>
      </c>
      <c r="G94" s="103">
        <f t="shared" si="49"/>
        <v>0</v>
      </c>
      <c r="H94" s="103">
        <f t="shared" si="49"/>
        <v>0</v>
      </c>
      <c r="I94" s="103">
        <f t="shared" si="49"/>
        <v>0</v>
      </c>
      <c r="J94" s="103">
        <f t="shared" si="49"/>
        <v>0</v>
      </c>
      <c r="K94" s="103">
        <f t="shared" si="49"/>
        <v>0</v>
      </c>
      <c r="L94" s="103">
        <f t="shared" si="49"/>
        <v>0</v>
      </c>
      <c r="M94" s="103">
        <f t="shared" si="49"/>
        <v>0</v>
      </c>
      <c r="N94" s="103">
        <f t="shared" si="49"/>
        <v>0</v>
      </c>
      <c r="O94" s="103" t="str">
        <f t="shared" si="49"/>
        <v/>
      </c>
      <c r="P94" s="103" t="str">
        <f t="shared" si="49"/>
        <v/>
      </c>
      <c r="Q94" s="103" t="str">
        <f t="shared" si="49"/>
        <v/>
      </c>
      <c r="R94" s="103" t="str">
        <f t="shared" si="49"/>
        <v/>
      </c>
      <c r="S94" s="103" t="str">
        <f t="shared" si="49"/>
        <v/>
      </c>
      <c r="T94" s="103" t="str">
        <f t="shared" si="49"/>
        <v/>
      </c>
      <c r="U94" s="103" t="str">
        <f t="shared" si="49"/>
        <v/>
      </c>
      <c r="V94" s="103" t="str">
        <f t="shared" si="49"/>
        <v/>
      </c>
      <c r="W94" s="103" t="str">
        <f t="shared" si="49"/>
        <v/>
      </c>
      <c r="X94" s="103" t="str">
        <f t="shared" si="49"/>
        <v/>
      </c>
      <c r="Y94" s="103" t="str">
        <f t="shared" si="49"/>
        <v/>
      </c>
      <c r="Z94" s="103" t="str">
        <f t="shared" si="49"/>
        <v/>
      </c>
      <c r="AA94" s="103" t="str">
        <f t="shared" si="49"/>
        <v/>
      </c>
      <c r="AB94" s="103" t="str">
        <f t="shared" si="49"/>
        <v/>
      </c>
    </row>
    <row r="95" spans="1:30" ht="18" customHeight="1" outlineLevel="2" x14ac:dyDescent="0.25">
      <c r="A95" s="9" t="str">
        <f t="shared" si="41"/>
        <v>C6s (Isomers of hexane?) [Nl/h]</v>
      </c>
      <c r="B95" s="219"/>
      <c r="C95" s="103">
        <f t="shared" si="42"/>
        <v>0</v>
      </c>
      <c r="D95" s="103">
        <f t="shared" ref="D95:AB95" si="50">IF(D$86="","",D27/100*D$86)</f>
        <v>0</v>
      </c>
      <c r="E95" s="103">
        <f t="shared" si="50"/>
        <v>0</v>
      </c>
      <c r="F95" s="103">
        <f t="shared" si="50"/>
        <v>0</v>
      </c>
      <c r="G95" s="103">
        <f t="shared" si="50"/>
        <v>0</v>
      </c>
      <c r="H95" s="103">
        <f t="shared" si="50"/>
        <v>0</v>
      </c>
      <c r="I95" s="103">
        <f t="shared" si="50"/>
        <v>0</v>
      </c>
      <c r="J95" s="103">
        <f t="shared" si="50"/>
        <v>0</v>
      </c>
      <c r="K95" s="103">
        <f t="shared" si="50"/>
        <v>0</v>
      </c>
      <c r="L95" s="103">
        <f t="shared" si="50"/>
        <v>0</v>
      </c>
      <c r="M95" s="103">
        <f t="shared" si="50"/>
        <v>0</v>
      </c>
      <c r="N95" s="103">
        <f t="shared" si="50"/>
        <v>0</v>
      </c>
      <c r="O95" s="103" t="str">
        <f t="shared" si="50"/>
        <v/>
      </c>
      <c r="P95" s="103" t="str">
        <f t="shared" si="50"/>
        <v/>
      </c>
      <c r="Q95" s="103" t="str">
        <f t="shared" si="50"/>
        <v/>
      </c>
      <c r="R95" s="103" t="str">
        <f t="shared" si="50"/>
        <v/>
      </c>
      <c r="S95" s="103" t="str">
        <f t="shared" si="50"/>
        <v/>
      </c>
      <c r="T95" s="103" t="str">
        <f t="shared" si="50"/>
        <v/>
      </c>
      <c r="U95" s="103" t="str">
        <f t="shared" si="50"/>
        <v/>
      </c>
      <c r="V95" s="103" t="str">
        <f t="shared" si="50"/>
        <v/>
      </c>
      <c r="W95" s="103" t="str">
        <f t="shared" si="50"/>
        <v/>
      </c>
      <c r="X95" s="103" t="str">
        <f t="shared" si="50"/>
        <v/>
      </c>
      <c r="Y95" s="103" t="str">
        <f t="shared" si="50"/>
        <v/>
      </c>
      <c r="Z95" s="103" t="str">
        <f t="shared" si="50"/>
        <v/>
      </c>
      <c r="AA95" s="103" t="str">
        <f t="shared" si="50"/>
        <v/>
      </c>
      <c r="AB95" s="103" t="str">
        <f t="shared" si="50"/>
        <v/>
      </c>
    </row>
    <row r="96" spans="1:30" ht="18" customHeight="1" outlineLevel="2" x14ac:dyDescent="0.25">
      <c r="A96" s="9" t="str">
        <f t="shared" si="41"/>
        <v>Hexane [Nl/h]</v>
      </c>
      <c r="B96" s="219"/>
      <c r="C96" s="103">
        <f t="shared" si="42"/>
        <v>0</v>
      </c>
      <c r="D96" s="103">
        <f t="shared" ref="D96:AB96" si="51">IF(D$86="","",D28/100*D$86)</f>
        <v>0</v>
      </c>
      <c r="E96" s="103">
        <f t="shared" si="51"/>
        <v>0</v>
      </c>
      <c r="F96" s="103">
        <f t="shared" si="51"/>
        <v>0</v>
      </c>
      <c r="G96" s="103">
        <f t="shared" si="51"/>
        <v>0</v>
      </c>
      <c r="H96" s="103">
        <f t="shared" si="51"/>
        <v>0</v>
      </c>
      <c r="I96" s="103">
        <f t="shared" si="51"/>
        <v>0</v>
      </c>
      <c r="J96" s="103">
        <f t="shared" si="51"/>
        <v>0</v>
      </c>
      <c r="K96" s="103">
        <f t="shared" si="51"/>
        <v>0</v>
      </c>
      <c r="L96" s="103">
        <f t="shared" si="51"/>
        <v>0</v>
      </c>
      <c r="M96" s="103">
        <f t="shared" si="51"/>
        <v>0</v>
      </c>
      <c r="N96" s="103">
        <f t="shared" si="51"/>
        <v>0</v>
      </c>
      <c r="O96" s="103" t="str">
        <f t="shared" si="51"/>
        <v/>
      </c>
      <c r="P96" s="103" t="str">
        <f t="shared" si="51"/>
        <v/>
      </c>
      <c r="Q96" s="103" t="str">
        <f t="shared" si="51"/>
        <v/>
      </c>
      <c r="R96" s="103" t="str">
        <f t="shared" si="51"/>
        <v/>
      </c>
      <c r="S96" s="103" t="str">
        <f t="shared" si="51"/>
        <v/>
      </c>
      <c r="T96" s="103" t="str">
        <f t="shared" si="51"/>
        <v/>
      </c>
      <c r="U96" s="103" t="str">
        <f t="shared" si="51"/>
        <v/>
      </c>
      <c r="V96" s="103" t="str">
        <f t="shared" si="51"/>
        <v/>
      </c>
      <c r="W96" s="103" t="str">
        <f t="shared" si="51"/>
        <v/>
      </c>
      <c r="X96" s="103" t="str">
        <f t="shared" si="51"/>
        <v/>
      </c>
      <c r="Y96" s="103" t="str">
        <f t="shared" si="51"/>
        <v/>
      </c>
      <c r="Z96" s="103" t="str">
        <f t="shared" si="51"/>
        <v/>
      </c>
      <c r="AA96" s="103" t="str">
        <f t="shared" si="51"/>
        <v/>
      </c>
      <c r="AB96" s="103" t="str">
        <f t="shared" si="51"/>
        <v/>
      </c>
    </row>
    <row r="97" spans="1:28" ht="18" customHeight="1" outlineLevel="2" x14ac:dyDescent="0.25">
      <c r="A97" s="9" t="str">
        <f t="shared" si="41"/>
        <v>C4 [Nl/h]</v>
      </c>
      <c r="B97" s="219"/>
      <c r="C97" s="103">
        <f t="shared" si="42"/>
        <v>6.1252332477843924E-2</v>
      </c>
      <c r="D97" s="103">
        <f t="shared" ref="D97:AB97" si="52">IF(D$86="","",D29/100*D$86)</f>
        <v>1.0332855726488306E-3</v>
      </c>
      <c r="E97" s="103">
        <f t="shared" si="52"/>
        <v>4.5819108314211678E-3</v>
      </c>
      <c r="F97" s="103">
        <f t="shared" si="52"/>
        <v>5.5193739398367216E-3</v>
      </c>
      <c r="G97" s="103">
        <f t="shared" si="52"/>
        <v>5.9841128913681119E-3</v>
      </c>
      <c r="H97" s="103">
        <f t="shared" si="52"/>
        <v>0.64470312160790699</v>
      </c>
      <c r="I97" s="103">
        <f t="shared" si="52"/>
        <v>3.7067323247572431E-3</v>
      </c>
      <c r="J97" s="103">
        <f t="shared" si="52"/>
        <v>9.294779030627813E-4</v>
      </c>
      <c r="K97" s="103">
        <f t="shared" si="52"/>
        <v>2.4466669200896578E-3</v>
      </c>
      <c r="L97" s="103">
        <f t="shared" si="52"/>
        <v>1.689669452646774E-3</v>
      </c>
      <c r="M97" s="103">
        <f t="shared" si="52"/>
        <v>1.5762795366373972E-3</v>
      </c>
      <c r="N97" s="103">
        <f t="shared" si="52"/>
        <v>1.6050262759073801E-3</v>
      </c>
      <c r="O97" s="103" t="str">
        <f t="shared" si="52"/>
        <v/>
      </c>
      <c r="P97" s="103" t="str">
        <f t="shared" si="52"/>
        <v/>
      </c>
      <c r="Q97" s="103" t="str">
        <f t="shared" si="52"/>
        <v/>
      </c>
      <c r="R97" s="103" t="str">
        <f t="shared" si="52"/>
        <v/>
      </c>
      <c r="S97" s="103" t="str">
        <f t="shared" si="52"/>
        <v/>
      </c>
      <c r="T97" s="103" t="str">
        <f t="shared" si="52"/>
        <v/>
      </c>
      <c r="U97" s="103" t="str">
        <f t="shared" si="52"/>
        <v/>
      </c>
      <c r="V97" s="103" t="str">
        <f t="shared" si="52"/>
        <v/>
      </c>
      <c r="W97" s="103" t="str">
        <f t="shared" si="52"/>
        <v/>
      </c>
      <c r="X97" s="103" t="str">
        <f t="shared" si="52"/>
        <v/>
      </c>
      <c r="Y97" s="103" t="str">
        <f t="shared" si="52"/>
        <v/>
      </c>
      <c r="Z97" s="103" t="str">
        <f t="shared" si="52"/>
        <v/>
      </c>
      <c r="AA97" s="103" t="str">
        <f t="shared" si="52"/>
        <v/>
      </c>
      <c r="AB97" s="103" t="str">
        <f t="shared" si="52"/>
        <v/>
      </c>
    </row>
    <row r="98" spans="1:28" ht="18" customHeight="1" outlineLevel="2" x14ac:dyDescent="0.25">
      <c r="A98" s="9" t="str">
        <f t="shared" si="41"/>
        <v>C5 [Nl/h]</v>
      </c>
      <c r="B98" s="219"/>
      <c r="C98" s="103">
        <f t="shared" si="42"/>
        <v>0</v>
      </c>
      <c r="D98" s="103">
        <f t="shared" ref="D98:AB98" si="53">IF(D$86="","",D30/100*D$86)</f>
        <v>0</v>
      </c>
      <c r="E98" s="103">
        <f t="shared" si="53"/>
        <v>0</v>
      </c>
      <c r="F98" s="103">
        <f t="shared" si="53"/>
        <v>0</v>
      </c>
      <c r="G98" s="103">
        <f t="shared" si="53"/>
        <v>0</v>
      </c>
      <c r="H98" s="103">
        <f t="shared" si="53"/>
        <v>0</v>
      </c>
      <c r="I98" s="103">
        <f t="shared" si="53"/>
        <v>0</v>
      </c>
      <c r="J98" s="103">
        <f t="shared" si="53"/>
        <v>0</v>
      </c>
      <c r="K98" s="103">
        <f t="shared" si="53"/>
        <v>0</v>
      </c>
      <c r="L98" s="103">
        <f t="shared" si="53"/>
        <v>0</v>
      </c>
      <c r="M98" s="103">
        <f t="shared" si="53"/>
        <v>0</v>
      </c>
      <c r="N98" s="103">
        <f t="shared" si="53"/>
        <v>0</v>
      </c>
      <c r="O98" s="103" t="str">
        <f t="shared" si="53"/>
        <v/>
      </c>
      <c r="P98" s="103" t="str">
        <f t="shared" si="53"/>
        <v/>
      </c>
      <c r="Q98" s="103" t="str">
        <f t="shared" si="53"/>
        <v/>
      </c>
      <c r="R98" s="103" t="str">
        <f t="shared" si="53"/>
        <v/>
      </c>
      <c r="S98" s="103" t="str">
        <f t="shared" si="53"/>
        <v/>
      </c>
      <c r="T98" s="103" t="str">
        <f t="shared" si="53"/>
        <v/>
      </c>
      <c r="U98" s="103" t="str">
        <f t="shared" si="53"/>
        <v/>
      </c>
      <c r="V98" s="103" t="str">
        <f t="shared" si="53"/>
        <v/>
      </c>
      <c r="W98" s="103" t="str">
        <f t="shared" si="53"/>
        <v/>
      </c>
      <c r="X98" s="103" t="str">
        <f t="shared" si="53"/>
        <v/>
      </c>
      <c r="Y98" s="103" t="str">
        <f t="shared" si="53"/>
        <v/>
      </c>
      <c r="Z98" s="103" t="str">
        <f t="shared" si="53"/>
        <v/>
      </c>
      <c r="AA98" s="103" t="str">
        <f t="shared" si="53"/>
        <v/>
      </c>
      <c r="AB98" s="103" t="str">
        <f t="shared" si="53"/>
        <v/>
      </c>
    </row>
    <row r="99" spans="1:28" ht="18" customHeight="1" outlineLevel="2" x14ac:dyDescent="0.25">
      <c r="A99" s="9" t="str">
        <f t="shared" si="41"/>
        <v>C6 [Nl/h]</v>
      </c>
      <c r="B99" s="219"/>
      <c r="C99" s="103">
        <f t="shared" si="42"/>
        <v>4.0811658630263636E-4</v>
      </c>
      <c r="D99" s="103">
        <f t="shared" ref="D99:AB99" si="54">IF(D$86="","",D31/100*D$86)</f>
        <v>1.3734553206769618E-3</v>
      </c>
      <c r="E99" s="103">
        <f t="shared" si="54"/>
        <v>0</v>
      </c>
      <c r="F99" s="103">
        <f t="shared" si="54"/>
        <v>0</v>
      </c>
      <c r="G99" s="103">
        <f t="shared" si="54"/>
        <v>0</v>
      </c>
      <c r="H99" s="103">
        <f t="shared" si="54"/>
        <v>3.1158271286520385E-3</v>
      </c>
      <c r="I99" s="103">
        <f t="shared" si="54"/>
        <v>0</v>
      </c>
      <c r="J99" s="103">
        <f t="shared" si="54"/>
        <v>0</v>
      </c>
      <c r="K99" s="103">
        <f t="shared" si="54"/>
        <v>0</v>
      </c>
      <c r="L99" s="103">
        <f t="shared" si="54"/>
        <v>0</v>
      </c>
      <c r="M99" s="103">
        <f t="shared" si="54"/>
        <v>0</v>
      </c>
      <c r="N99" s="103">
        <f t="shared" si="54"/>
        <v>0</v>
      </c>
      <c r="O99" s="103" t="str">
        <f t="shared" si="54"/>
        <v/>
      </c>
      <c r="P99" s="103" t="str">
        <f t="shared" si="54"/>
        <v/>
      </c>
      <c r="Q99" s="103" t="str">
        <f t="shared" si="54"/>
        <v/>
      </c>
      <c r="R99" s="103" t="str">
        <f t="shared" si="54"/>
        <v/>
      </c>
      <c r="S99" s="103" t="str">
        <f t="shared" si="54"/>
        <v/>
      </c>
      <c r="T99" s="103" t="str">
        <f t="shared" si="54"/>
        <v/>
      </c>
      <c r="U99" s="103" t="str">
        <f t="shared" si="54"/>
        <v/>
      </c>
      <c r="V99" s="103" t="str">
        <f t="shared" si="54"/>
        <v/>
      </c>
      <c r="W99" s="103" t="str">
        <f t="shared" si="54"/>
        <v/>
      </c>
      <c r="X99" s="103" t="str">
        <f t="shared" si="54"/>
        <v/>
      </c>
      <c r="Y99" s="103" t="str">
        <f t="shared" si="54"/>
        <v/>
      </c>
      <c r="Z99" s="103" t="str">
        <f t="shared" si="54"/>
        <v/>
      </c>
      <c r="AA99" s="103" t="str">
        <f t="shared" si="54"/>
        <v/>
      </c>
      <c r="AB99" s="103" t="str">
        <f t="shared" si="54"/>
        <v/>
      </c>
    </row>
    <row r="100" spans="1:28" ht="18" customHeight="1" outlineLevel="2" x14ac:dyDescent="0.25">
      <c r="A100" s="9" t="str">
        <f t="shared" si="41"/>
        <v>C6 Above [Nl/h]</v>
      </c>
      <c r="B100" s="219"/>
      <c r="C100" s="103">
        <f t="shared" si="42"/>
        <v>3.0200191829739487E-2</v>
      </c>
      <c r="D100" s="103">
        <f t="shared" ref="D100:AB100" si="55">IF(D$86="","",D32/100*D$86)</f>
        <v>3.7616705375843211E-2</v>
      </c>
      <c r="E100" s="103">
        <f t="shared" si="55"/>
        <v>2.9336047425017574E-2</v>
      </c>
      <c r="F100" s="103">
        <f t="shared" si="55"/>
        <v>2.3567535078174336E-2</v>
      </c>
      <c r="G100" s="103">
        <f t="shared" si="55"/>
        <v>2.2098257293264097E-2</v>
      </c>
      <c r="H100" s="103">
        <f t="shared" si="55"/>
        <v>0.1555565913952304</v>
      </c>
      <c r="I100" s="103">
        <f t="shared" si="55"/>
        <v>4.6277459101460847E-2</v>
      </c>
      <c r="J100" s="103">
        <f t="shared" si="55"/>
        <v>4.3599221226140773E-3</v>
      </c>
      <c r="K100" s="103">
        <f t="shared" si="55"/>
        <v>3.1413797857809118E-3</v>
      </c>
      <c r="L100" s="103">
        <f t="shared" si="55"/>
        <v>2.9433466930321407E-3</v>
      </c>
      <c r="M100" s="103">
        <f t="shared" si="55"/>
        <v>3.002437212642661E-3</v>
      </c>
      <c r="N100" s="103">
        <f t="shared" si="55"/>
        <v>4.3024286440741114E-3</v>
      </c>
      <c r="O100" s="103" t="str">
        <f t="shared" si="55"/>
        <v/>
      </c>
      <c r="P100" s="103" t="str">
        <f t="shared" si="55"/>
        <v/>
      </c>
      <c r="Q100" s="103" t="str">
        <f t="shared" si="55"/>
        <v/>
      </c>
      <c r="R100" s="103" t="str">
        <f t="shared" si="55"/>
        <v/>
      </c>
      <c r="S100" s="103" t="str">
        <f t="shared" si="55"/>
        <v/>
      </c>
      <c r="T100" s="103" t="str">
        <f t="shared" si="55"/>
        <v/>
      </c>
      <c r="U100" s="103" t="str">
        <f t="shared" si="55"/>
        <v/>
      </c>
      <c r="V100" s="103" t="str">
        <f t="shared" si="55"/>
        <v/>
      </c>
      <c r="W100" s="103" t="str">
        <f t="shared" si="55"/>
        <v/>
      </c>
      <c r="X100" s="103" t="str">
        <f t="shared" si="55"/>
        <v/>
      </c>
      <c r="Y100" s="103" t="str">
        <f t="shared" si="55"/>
        <v/>
      </c>
      <c r="Z100" s="103" t="str">
        <f t="shared" si="55"/>
        <v/>
      </c>
      <c r="AA100" s="103" t="str">
        <f t="shared" si="55"/>
        <v/>
      </c>
      <c r="AB100" s="103" t="str">
        <f t="shared" si="55"/>
        <v/>
      </c>
    </row>
    <row r="101" spans="1:28" ht="18" customHeight="1" outlineLevel="2" x14ac:dyDescent="0.25">
      <c r="A101" s="9" t="str">
        <f t="shared" si="41"/>
        <v>Benzene [Nl/h]</v>
      </c>
      <c r="B101" s="219"/>
      <c r="C101" s="103">
        <f t="shared" si="42"/>
        <v>0</v>
      </c>
      <c r="D101" s="103">
        <f t="shared" ref="D101:AB101" si="56">IF(D$86="","",D33/100*D$86)</f>
        <v>0</v>
      </c>
      <c r="E101" s="103">
        <f t="shared" si="56"/>
        <v>0</v>
      </c>
      <c r="F101" s="103">
        <f t="shared" si="56"/>
        <v>0</v>
      </c>
      <c r="G101" s="103">
        <f t="shared" si="56"/>
        <v>0</v>
      </c>
      <c r="H101" s="103">
        <f t="shared" si="56"/>
        <v>0</v>
      </c>
      <c r="I101" s="103">
        <f t="shared" si="56"/>
        <v>0</v>
      </c>
      <c r="J101" s="103">
        <f t="shared" si="56"/>
        <v>0</v>
      </c>
      <c r="K101" s="103">
        <f t="shared" si="56"/>
        <v>0</v>
      </c>
      <c r="L101" s="103">
        <f t="shared" si="56"/>
        <v>0</v>
      </c>
      <c r="M101" s="103">
        <f t="shared" si="56"/>
        <v>0</v>
      </c>
      <c r="N101" s="103">
        <f t="shared" si="56"/>
        <v>0</v>
      </c>
      <c r="O101" s="103" t="str">
        <f t="shared" si="56"/>
        <v/>
      </c>
      <c r="P101" s="103" t="str">
        <f t="shared" si="56"/>
        <v/>
      </c>
      <c r="Q101" s="103" t="str">
        <f t="shared" si="56"/>
        <v/>
      </c>
      <c r="R101" s="103" t="str">
        <f t="shared" si="56"/>
        <v/>
      </c>
      <c r="S101" s="103" t="str">
        <f t="shared" si="56"/>
        <v/>
      </c>
      <c r="T101" s="103" t="str">
        <f t="shared" si="56"/>
        <v/>
      </c>
      <c r="U101" s="103" t="str">
        <f t="shared" si="56"/>
        <v/>
      </c>
      <c r="V101" s="103" t="str">
        <f t="shared" si="56"/>
        <v/>
      </c>
      <c r="W101" s="103" t="str">
        <f t="shared" si="56"/>
        <v/>
      </c>
      <c r="X101" s="103" t="str">
        <f t="shared" si="56"/>
        <v/>
      </c>
      <c r="Y101" s="103" t="str">
        <f t="shared" si="56"/>
        <v/>
      </c>
      <c r="Z101" s="103" t="str">
        <f t="shared" si="56"/>
        <v/>
      </c>
      <c r="AA101" s="103" t="str">
        <f t="shared" si="56"/>
        <v/>
      </c>
      <c r="AB101" s="103" t="str">
        <f t="shared" si="56"/>
        <v/>
      </c>
    </row>
    <row r="102" spans="1:28" ht="18" customHeight="1" outlineLevel="2" x14ac:dyDescent="0.25">
      <c r="A102" s="9" t="str">
        <f t="shared" si="41"/>
        <v>Toluene [Nl/h]</v>
      </c>
      <c r="B102" s="219"/>
      <c r="C102" s="103">
        <f t="shared" si="42"/>
        <v>0</v>
      </c>
      <c r="D102" s="103">
        <f t="shared" ref="D102:AB102" si="57">IF(D$86="","",D34/100*D$86)</f>
        <v>0</v>
      </c>
      <c r="E102" s="103">
        <f t="shared" si="57"/>
        <v>0</v>
      </c>
      <c r="F102" s="103">
        <f t="shared" si="57"/>
        <v>0</v>
      </c>
      <c r="G102" s="103">
        <f t="shared" si="57"/>
        <v>0</v>
      </c>
      <c r="H102" s="103">
        <f t="shared" si="57"/>
        <v>0</v>
      </c>
      <c r="I102" s="103">
        <f t="shared" si="57"/>
        <v>0</v>
      </c>
      <c r="J102" s="103">
        <f t="shared" si="57"/>
        <v>0</v>
      </c>
      <c r="K102" s="103">
        <f t="shared" si="57"/>
        <v>0</v>
      </c>
      <c r="L102" s="103">
        <f t="shared" si="57"/>
        <v>0</v>
      </c>
      <c r="M102" s="103">
        <f t="shared" si="57"/>
        <v>0</v>
      </c>
      <c r="N102" s="103">
        <f t="shared" si="57"/>
        <v>0</v>
      </c>
      <c r="O102" s="103" t="str">
        <f t="shared" si="57"/>
        <v/>
      </c>
      <c r="P102" s="103" t="str">
        <f t="shared" si="57"/>
        <v/>
      </c>
      <c r="Q102" s="103" t="str">
        <f t="shared" si="57"/>
        <v/>
      </c>
      <c r="R102" s="103" t="str">
        <f t="shared" si="57"/>
        <v/>
      </c>
      <c r="S102" s="103" t="str">
        <f t="shared" si="57"/>
        <v/>
      </c>
      <c r="T102" s="103" t="str">
        <f t="shared" si="57"/>
        <v/>
      </c>
      <c r="U102" s="103" t="str">
        <f t="shared" si="57"/>
        <v/>
      </c>
      <c r="V102" s="103" t="str">
        <f t="shared" si="57"/>
        <v/>
      </c>
      <c r="W102" s="103" t="str">
        <f t="shared" si="57"/>
        <v/>
      </c>
      <c r="X102" s="103" t="str">
        <f t="shared" si="57"/>
        <v/>
      </c>
      <c r="Y102" s="103" t="str">
        <f t="shared" si="57"/>
        <v/>
      </c>
      <c r="Z102" s="103" t="str">
        <f t="shared" si="57"/>
        <v/>
      </c>
      <c r="AA102" s="103" t="str">
        <f t="shared" si="57"/>
        <v/>
      </c>
      <c r="AB102" s="103" t="str">
        <f t="shared" si="57"/>
        <v/>
      </c>
    </row>
    <row r="103" spans="1:28" ht="18" customHeight="1" outlineLevel="2" x14ac:dyDescent="0.25">
      <c r="A103" s="9" t="str">
        <f t="shared" si="41"/>
        <v>Ethylbenzene [Nl/h]</v>
      </c>
      <c r="B103" s="219"/>
      <c r="C103" s="103">
        <f t="shared" si="42"/>
        <v>0</v>
      </c>
      <c r="D103" s="103">
        <f t="shared" ref="D103:AB103" si="58">IF(D$86="","",D35/100*D$86)</f>
        <v>0</v>
      </c>
      <c r="E103" s="103">
        <f t="shared" si="58"/>
        <v>0</v>
      </c>
      <c r="F103" s="103">
        <f t="shared" si="58"/>
        <v>0</v>
      </c>
      <c r="G103" s="103">
        <f t="shared" si="58"/>
        <v>0</v>
      </c>
      <c r="H103" s="103">
        <f t="shared" si="58"/>
        <v>0</v>
      </c>
      <c r="I103" s="103">
        <f t="shared" si="58"/>
        <v>0</v>
      </c>
      <c r="J103" s="103">
        <f t="shared" si="58"/>
        <v>0</v>
      </c>
      <c r="K103" s="103">
        <f t="shared" si="58"/>
        <v>0</v>
      </c>
      <c r="L103" s="103">
        <f t="shared" si="58"/>
        <v>0</v>
      </c>
      <c r="M103" s="103">
        <f t="shared" si="58"/>
        <v>0</v>
      </c>
      <c r="N103" s="103">
        <f t="shared" si="58"/>
        <v>0</v>
      </c>
      <c r="O103" s="103" t="str">
        <f t="shared" si="58"/>
        <v/>
      </c>
      <c r="P103" s="103" t="str">
        <f t="shared" si="58"/>
        <v/>
      </c>
      <c r="Q103" s="103" t="str">
        <f t="shared" si="58"/>
        <v/>
      </c>
      <c r="R103" s="103" t="str">
        <f t="shared" si="58"/>
        <v/>
      </c>
      <c r="S103" s="103" t="str">
        <f t="shared" si="58"/>
        <v/>
      </c>
      <c r="T103" s="103" t="str">
        <f t="shared" si="58"/>
        <v/>
      </c>
      <c r="U103" s="103" t="str">
        <f t="shared" si="58"/>
        <v/>
      </c>
      <c r="V103" s="103" t="str">
        <f t="shared" si="58"/>
        <v/>
      </c>
      <c r="W103" s="103" t="str">
        <f t="shared" si="58"/>
        <v/>
      </c>
      <c r="X103" s="103" t="str">
        <f t="shared" si="58"/>
        <v/>
      </c>
      <c r="Y103" s="103" t="str">
        <f t="shared" si="58"/>
        <v/>
      </c>
      <c r="Z103" s="103" t="str">
        <f t="shared" si="58"/>
        <v/>
      </c>
      <c r="AA103" s="103" t="str">
        <f t="shared" si="58"/>
        <v/>
      </c>
      <c r="AB103" s="103" t="str">
        <f t="shared" si="58"/>
        <v/>
      </c>
    </row>
    <row r="104" spans="1:28" ht="18" customHeight="1" outlineLevel="2" x14ac:dyDescent="0.25">
      <c r="A104" s="9" t="str">
        <f t="shared" si="41"/>
        <v>p-Xylene [Nl/h]</v>
      </c>
      <c r="B104" s="219"/>
      <c r="C104" s="103">
        <f t="shared" si="42"/>
        <v>0</v>
      </c>
      <c r="D104" s="103">
        <f t="shared" ref="D104:AB104" si="59">IF(D$86="","",D36/100*D$86)</f>
        <v>0</v>
      </c>
      <c r="E104" s="103">
        <f t="shared" si="59"/>
        <v>0</v>
      </c>
      <c r="F104" s="103">
        <f t="shared" si="59"/>
        <v>0</v>
      </c>
      <c r="G104" s="103">
        <f t="shared" si="59"/>
        <v>0</v>
      </c>
      <c r="H104" s="103">
        <f t="shared" si="59"/>
        <v>0</v>
      </c>
      <c r="I104" s="103">
        <f t="shared" si="59"/>
        <v>0</v>
      </c>
      <c r="J104" s="103">
        <f t="shared" si="59"/>
        <v>0</v>
      </c>
      <c r="K104" s="103">
        <f t="shared" si="59"/>
        <v>0</v>
      </c>
      <c r="L104" s="103">
        <f t="shared" si="59"/>
        <v>0</v>
      </c>
      <c r="M104" s="103">
        <f t="shared" si="59"/>
        <v>0</v>
      </c>
      <c r="N104" s="103">
        <f t="shared" si="59"/>
        <v>0</v>
      </c>
      <c r="O104" s="103" t="str">
        <f t="shared" si="59"/>
        <v/>
      </c>
      <c r="P104" s="103" t="str">
        <f t="shared" si="59"/>
        <v/>
      </c>
      <c r="Q104" s="103" t="str">
        <f t="shared" si="59"/>
        <v/>
      </c>
      <c r="R104" s="103" t="str">
        <f t="shared" si="59"/>
        <v/>
      </c>
      <c r="S104" s="103" t="str">
        <f t="shared" si="59"/>
        <v/>
      </c>
      <c r="T104" s="103" t="str">
        <f t="shared" si="59"/>
        <v/>
      </c>
      <c r="U104" s="103" t="str">
        <f t="shared" si="59"/>
        <v/>
      </c>
      <c r="V104" s="103" t="str">
        <f t="shared" si="59"/>
        <v/>
      </c>
      <c r="W104" s="103" t="str">
        <f t="shared" si="59"/>
        <v/>
      </c>
      <c r="X104" s="103" t="str">
        <f t="shared" si="59"/>
        <v/>
      </c>
      <c r="Y104" s="103" t="str">
        <f t="shared" si="59"/>
        <v/>
      </c>
      <c r="Z104" s="103" t="str">
        <f t="shared" si="59"/>
        <v/>
      </c>
      <c r="AA104" s="103" t="str">
        <f t="shared" si="59"/>
        <v/>
      </c>
      <c r="AB104" s="103" t="str">
        <f t="shared" si="59"/>
        <v/>
      </c>
    </row>
    <row r="105" spans="1:28" ht="18" customHeight="1" outlineLevel="2" x14ac:dyDescent="0.25">
      <c r="A105" s="9" t="str">
        <f t="shared" si="41"/>
        <v>m-Xylene [Nl/h]</v>
      </c>
      <c r="B105" s="219"/>
      <c r="C105" s="103">
        <f t="shared" si="42"/>
        <v>3.2708852980477044E-3</v>
      </c>
      <c r="D105" s="103">
        <f t="shared" ref="D105:AB105" si="60">IF(D$86="","",D37/100*D$86)</f>
        <v>1.0051776498070698E-2</v>
      </c>
      <c r="E105" s="103">
        <f t="shared" si="60"/>
        <v>5.7493478539965854E-3</v>
      </c>
      <c r="F105" s="103">
        <f t="shared" si="60"/>
        <v>2.2997391415986342E-3</v>
      </c>
      <c r="G105" s="103">
        <f t="shared" si="60"/>
        <v>1.8365972311377981E-3</v>
      </c>
      <c r="H105" s="103">
        <f t="shared" si="60"/>
        <v>6.9599049854769772E-3</v>
      </c>
      <c r="I105" s="103">
        <f t="shared" si="60"/>
        <v>6.9726813140414141E-3</v>
      </c>
      <c r="J105" s="103">
        <f t="shared" si="60"/>
        <v>0</v>
      </c>
      <c r="K105" s="103">
        <f t="shared" si="60"/>
        <v>4.99873855083592E-4</v>
      </c>
      <c r="L105" s="103">
        <f t="shared" si="60"/>
        <v>5.2063538900080193E-4</v>
      </c>
      <c r="M105" s="103">
        <f t="shared" si="60"/>
        <v>5.1424722471858349E-4</v>
      </c>
      <c r="N105" s="103">
        <f t="shared" si="60"/>
        <v>5.7493478539965854E-4</v>
      </c>
      <c r="O105" s="103" t="str">
        <f t="shared" si="60"/>
        <v/>
      </c>
      <c r="P105" s="103" t="str">
        <f t="shared" si="60"/>
        <v/>
      </c>
      <c r="Q105" s="103" t="str">
        <f t="shared" si="60"/>
        <v/>
      </c>
      <c r="R105" s="103" t="str">
        <f t="shared" si="60"/>
        <v/>
      </c>
      <c r="S105" s="103" t="str">
        <f t="shared" si="60"/>
        <v/>
      </c>
      <c r="T105" s="103" t="str">
        <f t="shared" si="60"/>
        <v/>
      </c>
      <c r="U105" s="103" t="str">
        <f t="shared" si="60"/>
        <v/>
      </c>
      <c r="V105" s="103" t="str">
        <f t="shared" si="60"/>
        <v/>
      </c>
      <c r="W105" s="103" t="str">
        <f t="shared" si="60"/>
        <v/>
      </c>
      <c r="X105" s="103" t="str">
        <f t="shared" si="60"/>
        <v/>
      </c>
      <c r="Y105" s="103" t="str">
        <f t="shared" si="60"/>
        <v/>
      </c>
      <c r="Z105" s="103" t="str">
        <f t="shared" si="60"/>
        <v/>
      </c>
      <c r="AA105" s="103" t="str">
        <f t="shared" si="60"/>
        <v/>
      </c>
      <c r="AB105" s="103" t="str">
        <f t="shared" si="60"/>
        <v/>
      </c>
    </row>
    <row r="106" spans="1:28" ht="18" customHeight="1" outlineLevel="2" x14ac:dyDescent="0.25">
      <c r="A106" s="9" t="str">
        <f t="shared" si="41"/>
        <v>o-Xylene [Nl/h]</v>
      </c>
      <c r="B106" s="219"/>
      <c r="C106" s="103">
        <f t="shared" si="42"/>
        <v>0</v>
      </c>
      <c r="D106" s="103">
        <f t="shared" ref="D106:AB106" si="61">IF(D$86="","",D38/100*D$86)</f>
        <v>0</v>
      </c>
      <c r="E106" s="103">
        <f t="shared" si="61"/>
        <v>0</v>
      </c>
      <c r="F106" s="103">
        <f t="shared" si="61"/>
        <v>0</v>
      </c>
      <c r="G106" s="103">
        <f t="shared" si="61"/>
        <v>0</v>
      </c>
      <c r="H106" s="103">
        <f t="shared" si="61"/>
        <v>0</v>
      </c>
      <c r="I106" s="103">
        <f t="shared" si="61"/>
        <v>0</v>
      </c>
      <c r="J106" s="103">
        <f t="shared" si="61"/>
        <v>0</v>
      </c>
      <c r="K106" s="103">
        <f t="shared" si="61"/>
        <v>0</v>
      </c>
      <c r="L106" s="103">
        <f t="shared" si="61"/>
        <v>0</v>
      </c>
      <c r="M106" s="103">
        <f t="shared" si="61"/>
        <v>0</v>
      </c>
      <c r="N106" s="103">
        <f t="shared" si="61"/>
        <v>0</v>
      </c>
      <c r="O106" s="103" t="str">
        <f t="shared" si="61"/>
        <v/>
      </c>
      <c r="P106" s="103" t="str">
        <f t="shared" si="61"/>
        <v/>
      </c>
      <c r="Q106" s="103" t="str">
        <f t="shared" si="61"/>
        <v/>
      </c>
      <c r="R106" s="103" t="str">
        <f t="shared" si="61"/>
        <v/>
      </c>
      <c r="S106" s="103" t="str">
        <f t="shared" si="61"/>
        <v/>
      </c>
      <c r="T106" s="103" t="str">
        <f t="shared" si="61"/>
        <v/>
      </c>
      <c r="U106" s="103" t="str">
        <f t="shared" si="61"/>
        <v/>
      </c>
      <c r="V106" s="103" t="str">
        <f t="shared" si="61"/>
        <v/>
      </c>
      <c r="W106" s="103" t="str">
        <f t="shared" si="61"/>
        <v/>
      </c>
      <c r="X106" s="103" t="str">
        <f t="shared" si="61"/>
        <v/>
      </c>
      <c r="Y106" s="103" t="str">
        <f t="shared" si="61"/>
        <v/>
      </c>
      <c r="Z106" s="103" t="str">
        <f t="shared" si="61"/>
        <v/>
      </c>
      <c r="AA106" s="103" t="str">
        <f t="shared" si="61"/>
        <v/>
      </c>
      <c r="AB106" s="103" t="str">
        <f t="shared" si="61"/>
        <v/>
      </c>
    </row>
    <row r="107" spans="1:28" ht="18" customHeight="1" outlineLevel="2" x14ac:dyDescent="0.25">
      <c r="A107" s="9" t="str">
        <f t="shared" si="41"/>
        <v>C6 Unknowns [Nl/h]</v>
      </c>
      <c r="B107" s="219"/>
      <c r="C107" s="103">
        <f t="shared" si="42"/>
        <v>6.1252332477843924E-2</v>
      </c>
      <c r="D107" s="103">
        <f t="shared" ref="D107:AB107" si="62">IF(D$86="","",D39/100*D$86)</f>
        <v>1.0332855726488306E-3</v>
      </c>
      <c r="E107" s="103">
        <f t="shared" si="62"/>
        <v>4.5819108314211678E-3</v>
      </c>
      <c r="F107" s="103">
        <f t="shared" si="62"/>
        <v>5.5193739398367216E-3</v>
      </c>
      <c r="G107" s="103">
        <f t="shared" si="62"/>
        <v>5.9841128913681119E-3</v>
      </c>
      <c r="H107" s="103">
        <f t="shared" si="62"/>
        <v>0.64470312160790699</v>
      </c>
      <c r="I107" s="103">
        <f t="shared" si="62"/>
        <v>3.7067323247572431E-3</v>
      </c>
      <c r="J107" s="103">
        <f t="shared" si="62"/>
        <v>9.294779030627813E-4</v>
      </c>
      <c r="K107" s="103">
        <f t="shared" si="62"/>
        <v>2.4466669200896578E-3</v>
      </c>
      <c r="L107" s="103">
        <f t="shared" si="62"/>
        <v>1.689669452646774E-3</v>
      </c>
      <c r="M107" s="103">
        <f t="shared" si="62"/>
        <v>1.5762795366373972E-3</v>
      </c>
      <c r="N107" s="103">
        <f t="shared" si="62"/>
        <v>1.6050262759073801E-3</v>
      </c>
      <c r="O107" s="103" t="str">
        <f t="shared" si="62"/>
        <v/>
      </c>
      <c r="P107" s="103" t="str">
        <f t="shared" si="62"/>
        <v/>
      </c>
      <c r="Q107" s="103" t="str">
        <f t="shared" si="62"/>
        <v/>
      </c>
      <c r="R107" s="103" t="str">
        <f t="shared" si="62"/>
        <v/>
      </c>
      <c r="S107" s="103" t="str">
        <f t="shared" si="62"/>
        <v/>
      </c>
      <c r="T107" s="103" t="str">
        <f t="shared" si="62"/>
        <v/>
      </c>
      <c r="U107" s="103" t="str">
        <f t="shared" si="62"/>
        <v/>
      </c>
      <c r="V107" s="103" t="str">
        <f t="shared" si="62"/>
        <v/>
      </c>
      <c r="W107" s="103" t="str">
        <f t="shared" si="62"/>
        <v/>
      </c>
      <c r="X107" s="103" t="str">
        <f t="shared" si="62"/>
        <v/>
      </c>
      <c r="Y107" s="103" t="str">
        <f t="shared" si="62"/>
        <v/>
      </c>
      <c r="Z107" s="103" t="str">
        <f t="shared" si="62"/>
        <v/>
      </c>
      <c r="AA107" s="103" t="str">
        <f t="shared" si="62"/>
        <v/>
      </c>
      <c r="AB107" s="103" t="str">
        <f t="shared" si="62"/>
        <v/>
      </c>
    </row>
    <row r="108" spans="1:28" ht="18" customHeight="1" outlineLevel="2" x14ac:dyDescent="0.25">
      <c r="A108" s="9" t="str">
        <f t="shared" si="41"/>
        <v>C8 Unknowns [Nl/h]</v>
      </c>
      <c r="B108" s="219"/>
      <c r="C108" s="103">
        <f t="shared" si="42"/>
        <v>0</v>
      </c>
      <c r="D108" s="103">
        <f t="shared" ref="D108:AB108" si="63">IF(D$86="","",D40/100*D$86)</f>
        <v>0</v>
      </c>
      <c r="E108" s="103">
        <f t="shared" si="63"/>
        <v>0</v>
      </c>
      <c r="F108" s="103">
        <f t="shared" si="63"/>
        <v>0</v>
      </c>
      <c r="G108" s="103">
        <f t="shared" si="63"/>
        <v>0</v>
      </c>
      <c r="H108" s="103">
        <f t="shared" si="63"/>
        <v>0</v>
      </c>
      <c r="I108" s="103">
        <f t="shared" si="63"/>
        <v>0</v>
      </c>
      <c r="J108" s="103">
        <f t="shared" si="63"/>
        <v>0</v>
      </c>
      <c r="K108" s="103">
        <f t="shared" si="63"/>
        <v>0</v>
      </c>
      <c r="L108" s="103">
        <f t="shared" si="63"/>
        <v>0</v>
      </c>
      <c r="M108" s="103">
        <f t="shared" si="63"/>
        <v>0</v>
      </c>
      <c r="N108" s="103">
        <f t="shared" si="63"/>
        <v>0</v>
      </c>
      <c r="O108" s="103" t="str">
        <f t="shared" si="63"/>
        <v/>
      </c>
      <c r="P108" s="103" t="str">
        <f t="shared" si="63"/>
        <v/>
      </c>
      <c r="Q108" s="103" t="str">
        <f t="shared" si="63"/>
        <v/>
      </c>
      <c r="R108" s="103" t="str">
        <f t="shared" si="63"/>
        <v/>
      </c>
      <c r="S108" s="103" t="str">
        <f t="shared" si="63"/>
        <v/>
      </c>
      <c r="T108" s="103" t="str">
        <f t="shared" si="63"/>
        <v/>
      </c>
      <c r="U108" s="103" t="str">
        <f t="shared" si="63"/>
        <v/>
      </c>
      <c r="V108" s="103" t="str">
        <f t="shared" si="63"/>
        <v/>
      </c>
      <c r="W108" s="103" t="str">
        <f t="shared" si="63"/>
        <v/>
      </c>
      <c r="X108" s="103" t="str">
        <f t="shared" si="63"/>
        <v/>
      </c>
      <c r="Y108" s="103" t="str">
        <f t="shared" si="63"/>
        <v/>
      </c>
      <c r="Z108" s="103" t="str">
        <f t="shared" si="63"/>
        <v/>
      </c>
      <c r="AA108" s="103" t="str">
        <f t="shared" si="63"/>
        <v/>
      </c>
      <c r="AB108" s="103" t="str">
        <f t="shared" si="63"/>
        <v/>
      </c>
    </row>
    <row r="109" spans="1:28" ht="18" customHeight="1" outlineLevel="2" x14ac:dyDescent="0.25">
      <c r="A109" s="9" t="str">
        <f t="shared" si="41"/>
        <v>C7 Unknowns [Nl/h]</v>
      </c>
      <c r="B109" s="219"/>
      <c r="C109" s="103">
        <f t="shared" si="42"/>
        <v>0</v>
      </c>
      <c r="D109" s="103">
        <f t="shared" ref="D109:AB109" si="64">IF(D$86="","",D41/100*D$86)</f>
        <v>0</v>
      </c>
      <c r="E109" s="103">
        <f t="shared" si="64"/>
        <v>0</v>
      </c>
      <c r="F109" s="103">
        <f t="shared" si="64"/>
        <v>0</v>
      </c>
      <c r="G109" s="103">
        <f t="shared" si="64"/>
        <v>0</v>
      </c>
      <c r="H109" s="103">
        <f t="shared" si="64"/>
        <v>0</v>
      </c>
      <c r="I109" s="103">
        <f t="shared" si="64"/>
        <v>0</v>
      </c>
      <c r="J109" s="103">
        <f t="shared" si="64"/>
        <v>0</v>
      </c>
      <c r="K109" s="103">
        <f t="shared" si="64"/>
        <v>0</v>
      </c>
      <c r="L109" s="103">
        <f t="shared" si="64"/>
        <v>0</v>
      </c>
      <c r="M109" s="103">
        <f t="shared" si="64"/>
        <v>0</v>
      </c>
      <c r="N109" s="103">
        <f t="shared" si="64"/>
        <v>0</v>
      </c>
      <c r="O109" s="103" t="str">
        <f t="shared" si="64"/>
        <v/>
      </c>
      <c r="P109" s="103" t="str">
        <f t="shared" si="64"/>
        <v/>
      </c>
      <c r="Q109" s="103" t="str">
        <f t="shared" si="64"/>
        <v/>
      </c>
      <c r="R109" s="103" t="str">
        <f t="shared" si="64"/>
        <v/>
      </c>
      <c r="S109" s="103" t="str">
        <f t="shared" si="64"/>
        <v/>
      </c>
      <c r="T109" s="103" t="str">
        <f t="shared" si="64"/>
        <v/>
      </c>
      <c r="U109" s="103" t="str">
        <f t="shared" si="64"/>
        <v/>
      </c>
      <c r="V109" s="103" t="str">
        <f t="shared" si="64"/>
        <v/>
      </c>
      <c r="W109" s="103" t="str">
        <f t="shared" si="64"/>
        <v/>
      </c>
      <c r="X109" s="103" t="str">
        <f t="shared" si="64"/>
        <v/>
      </c>
      <c r="Y109" s="103" t="str">
        <f t="shared" si="64"/>
        <v/>
      </c>
      <c r="Z109" s="103" t="str">
        <f t="shared" si="64"/>
        <v/>
      </c>
      <c r="AA109" s="103" t="str">
        <f t="shared" si="64"/>
        <v/>
      </c>
      <c r="AB109" s="103" t="str">
        <f t="shared" si="64"/>
        <v/>
      </c>
    </row>
    <row r="110" spans="1:28" ht="18" customHeight="1" outlineLevel="2" x14ac:dyDescent="0.25">
      <c r="A110" s="9" t="str">
        <f t="shared" si="41"/>
        <v>CO2 [Nl/h]</v>
      </c>
      <c r="B110" s="219"/>
      <c r="C110" s="103">
        <f t="shared" si="42"/>
        <v>0</v>
      </c>
      <c r="D110" s="103">
        <f t="shared" ref="D110:AB110" si="65">IF(D$86="","",D42/100*D$86)</f>
        <v>0</v>
      </c>
      <c r="E110" s="103">
        <f t="shared" si="65"/>
        <v>0</v>
      </c>
      <c r="F110" s="103">
        <f t="shared" si="65"/>
        <v>0</v>
      </c>
      <c r="G110" s="103">
        <f t="shared" si="65"/>
        <v>0</v>
      </c>
      <c r="H110" s="103">
        <f t="shared" si="65"/>
        <v>0</v>
      </c>
      <c r="I110" s="103">
        <f t="shared" si="65"/>
        <v>0</v>
      </c>
      <c r="J110" s="103">
        <f t="shared" si="65"/>
        <v>0</v>
      </c>
      <c r="K110" s="103">
        <f t="shared" si="65"/>
        <v>0</v>
      </c>
      <c r="L110" s="103">
        <f t="shared" si="65"/>
        <v>0</v>
      </c>
      <c r="M110" s="103">
        <f t="shared" si="65"/>
        <v>0</v>
      </c>
      <c r="N110" s="103">
        <f t="shared" si="65"/>
        <v>0</v>
      </c>
      <c r="O110" s="103" t="str">
        <f t="shared" si="65"/>
        <v/>
      </c>
      <c r="P110" s="103" t="str">
        <f t="shared" si="65"/>
        <v/>
      </c>
      <c r="Q110" s="103" t="str">
        <f t="shared" si="65"/>
        <v/>
      </c>
      <c r="R110" s="103" t="str">
        <f t="shared" si="65"/>
        <v/>
      </c>
      <c r="S110" s="103" t="str">
        <f t="shared" si="65"/>
        <v/>
      </c>
      <c r="T110" s="103" t="str">
        <f t="shared" si="65"/>
        <v/>
      </c>
      <c r="U110" s="103" t="str">
        <f t="shared" si="65"/>
        <v/>
      </c>
      <c r="V110" s="103" t="str">
        <f t="shared" si="65"/>
        <v/>
      </c>
      <c r="W110" s="103" t="str">
        <f t="shared" si="65"/>
        <v/>
      </c>
      <c r="X110" s="103" t="str">
        <f t="shared" si="65"/>
        <v/>
      </c>
      <c r="Y110" s="103" t="str">
        <f t="shared" si="65"/>
        <v/>
      </c>
      <c r="Z110" s="103" t="str">
        <f t="shared" si="65"/>
        <v/>
      </c>
      <c r="AA110" s="103" t="str">
        <f t="shared" si="65"/>
        <v/>
      </c>
      <c r="AB110" s="103" t="str">
        <f t="shared" si="65"/>
        <v/>
      </c>
    </row>
    <row r="111" spans="1:28" ht="18" customHeight="1" outlineLevel="2" x14ac:dyDescent="0.25">
      <c r="A111" s="9" t="str">
        <f t="shared" si="41"/>
        <v>Argon [Nl/h]</v>
      </c>
      <c r="B111" s="219"/>
      <c r="C111" s="103">
        <f t="shared" si="42"/>
        <v>6.5032421254538288</v>
      </c>
      <c r="D111" s="103">
        <f t="shared" ref="D111:AB111" si="66">IF(D$86="","",D43/100*D$86)</f>
        <v>6.8994394135047088</v>
      </c>
      <c r="E111" s="103">
        <f t="shared" si="66"/>
        <v>6.8776350117684268</v>
      </c>
      <c r="F111" s="103">
        <f t="shared" si="66"/>
        <v>6.8775535626738282</v>
      </c>
      <c r="G111" s="103">
        <f t="shared" si="66"/>
        <v>6.9075986963341727</v>
      </c>
      <c r="H111" s="103">
        <f t="shared" si="66"/>
        <v>2.7789313148185437</v>
      </c>
      <c r="I111" s="103">
        <f t="shared" si="66"/>
        <v>6.831637034854313</v>
      </c>
      <c r="J111" s="103">
        <f t="shared" si="66"/>
        <v>6.8403409086888365</v>
      </c>
      <c r="K111" s="103">
        <f t="shared" si="66"/>
        <v>6.8906780461916455</v>
      </c>
      <c r="L111" s="103">
        <f t="shared" si="66"/>
        <v>6.8593680560034249</v>
      </c>
      <c r="M111" s="103">
        <f t="shared" si="66"/>
        <v>6.8847833676002299</v>
      </c>
      <c r="N111" s="103">
        <f t="shared" si="66"/>
        <v>6.8876979675539918</v>
      </c>
      <c r="O111" s="103" t="str">
        <f t="shared" si="66"/>
        <v/>
      </c>
      <c r="P111" s="103" t="str">
        <f t="shared" si="66"/>
        <v/>
      </c>
      <c r="Q111" s="103" t="str">
        <f t="shared" si="66"/>
        <v/>
      </c>
      <c r="R111" s="103" t="str">
        <f t="shared" si="66"/>
        <v/>
      </c>
      <c r="S111" s="103" t="str">
        <f t="shared" si="66"/>
        <v/>
      </c>
      <c r="T111" s="103" t="str">
        <f t="shared" si="66"/>
        <v/>
      </c>
      <c r="U111" s="103" t="str">
        <f t="shared" si="66"/>
        <v/>
      </c>
      <c r="V111" s="103" t="str">
        <f t="shared" si="66"/>
        <v/>
      </c>
      <c r="W111" s="103" t="str">
        <f t="shared" si="66"/>
        <v/>
      </c>
      <c r="X111" s="103" t="str">
        <f t="shared" si="66"/>
        <v/>
      </c>
      <c r="Y111" s="103" t="str">
        <f t="shared" si="66"/>
        <v/>
      </c>
      <c r="Z111" s="103" t="str">
        <f t="shared" si="66"/>
        <v/>
      </c>
      <c r="AA111" s="103" t="str">
        <f t="shared" si="66"/>
        <v/>
      </c>
      <c r="AB111" s="103" t="str">
        <f t="shared" si="66"/>
        <v/>
      </c>
    </row>
    <row r="112" spans="1:28" ht="18" customHeight="1" outlineLevel="2" x14ac:dyDescent="0.25">
      <c r="A112" s="9" t="str">
        <f t="shared" si="41"/>
        <v>CO [Nl/h]</v>
      </c>
      <c r="B112" s="219"/>
      <c r="C112" s="103">
        <f t="shared" si="42"/>
        <v>0</v>
      </c>
      <c r="D112" s="103">
        <f t="shared" ref="D112:AB112" si="67">IF(D$86="","",D44/100*D$86)</f>
        <v>0</v>
      </c>
      <c r="E112" s="103">
        <f t="shared" si="67"/>
        <v>0</v>
      </c>
      <c r="F112" s="103">
        <f t="shared" si="67"/>
        <v>0</v>
      </c>
      <c r="G112" s="103">
        <f t="shared" si="67"/>
        <v>0</v>
      </c>
      <c r="H112" s="103">
        <f t="shared" si="67"/>
        <v>0</v>
      </c>
      <c r="I112" s="103">
        <f t="shared" si="67"/>
        <v>0</v>
      </c>
      <c r="J112" s="103">
        <f t="shared" si="67"/>
        <v>0</v>
      </c>
      <c r="K112" s="103">
        <f t="shared" si="67"/>
        <v>0</v>
      </c>
      <c r="L112" s="103">
        <f t="shared" si="67"/>
        <v>0</v>
      </c>
      <c r="M112" s="103">
        <f t="shared" si="67"/>
        <v>0</v>
      </c>
      <c r="N112" s="103">
        <f t="shared" si="67"/>
        <v>0</v>
      </c>
      <c r="O112" s="103" t="str">
        <f t="shared" si="67"/>
        <v/>
      </c>
      <c r="P112" s="103" t="str">
        <f t="shared" si="67"/>
        <v/>
      </c>
      <c r="Q112" s="103" t="str">
        <f t="shared" si="67"/>
        <v/>
      </c>
      <c r="R112" s="103" t="str">
        <f t="shared" si="67"/>
        <v/>
      </c>
      <c r="S112" s="103" t="str">
        <f t="shared" si="67"/>
        <v/>
      </c>
      <c r="T112" s="103" t="str">
        <f t="shared" si="67"/>
        <v/>
      </c>
      <c r="U112" s="103" t="str">
        <f t="shared" si="67"/>
        <v/>
      </c>
      <c r="V112" s="103" t="str">
        <f t="shared" si="67"/>
        <v/>
      </c>
      <c r="W112" s="103" t="str">
        <f t="shared" si="67"/>
        <v/>
      </c>
      <c r="X112" s="103" t="str">
        <f t="shared" si="67"/>
        <v/>
      </c>
      <c r="Y112" s="103" t="str">
        <f t="shared" si="67"/>
        <v/>
      </c>
      <c r="Z112" s="103" t="str">
        <f t="shared" si="67"/>
        <v/>
      </c>
      <c r="AA112" s="103" t="str">
        <f t="shared" si="67"/>
        <v/>
      </c>
      <c r="AB112" s="103" t="str">
        <f t="shared" si="67"/>
        <v/>
      </c>
    </row>
    <row r="113" spans="1:28" ht="18" customHeight="1" outlineLevel="2" x14ac:dyDescent="0.25">
      <c r="A113" s="9" t="str">
        <f t="shared" si="41"/>
        <v>H2 [Nl/h]</v>
      </c>
      <c r="B113" s="219"/>
      <c r="C113" s="103">
        <f t="shared" si="42"/>
        <v>32.564937802187281</v>
      </c>
      <c r="D113" s="103">
        <f t="shared" ref="D113:AB113" si="68">IF(D$86="","",D45/100*D$86)</f>
        <v>34.435511356173372</v>
      </c>
      <c r="E113" s="103">
        <f t="shared" si="68"/>
        <v>34.804094061887739</v>
      </c>
      <c r="F113" s="103">
        <f t="shared" si="68"/>
        <v>34.772051029848136</v>
      </c>
      <c r="G113" s="103">
        <f t="shared" si="68"/>
        <v>34.951328472264308</v>
      </c>
      <c r="H113" s="103">
        <f t="shared" si="68"/>
        <v>11.70397936720226</v>
      </c>
      <c r="I113" s="103">
        <f t="shared" si="68"/>
        <v>34.561605733899015</v>
      </c>
      <c r="J113" s="103">
        <f t="shared" si="68"/>
        <v>34.610767449173892</v>
      </c>
      <c r="K113" s="103">
        <f t="shared" si="68"/>
        <v>34.726070620385798</v>
      </c>
      <c r="L113" s="103">
        <f t="shared" si="68"/>
        <v>34.545838147409427</v>
      </c>
      <c r="M113" s="103">
        <f t="shared" si="68"/>
        <v>34.657325987503775</v>
      </c>
      <c r="N113" s="103">
        <f t="shared" si="68"/>
        <v>34.445743598312418</v>
      </c>
      <c r="O113" s="103" t="str">
        <f t="shared" si="68"/>
        <v/>
      </c>
      <c r="P113" s="103" t="str">
        <f t="shared" si="68"/>
        <v/>
      </c>
      <c r="Q113" s="103" t="str">
        <f t="shared" si="68"/>
        <v/>
      </c>
      <c r="R113" s="103" t="str">
        <f t="shared" si="68"/>
        <v/>
      </c>
      <c r="S113" s="103" t="str">
        <f t="shared" si="68"/>
        <v/>
      </c>
      <c r="T113" s="103" t="str">
        <f t="shared" si="68"/>
        <v/>
      </c>
      <c r="U113" s="103" t="str">
        <f t="shared" si="68"/>
        <v/>
      </c>
      <c r="V113" s="103" t="str">
        <f t="shared" si="68"/>
        <v/>
      </c>
      <c r="W113" s="103" t="str">
        <f t="shared" si="68"/>
        <v/>
      </c>
      <c r="X113" s="103" t="str">
        <f t="shared" si="68"/>
        <v/>
      </c>
      <c r="Y113" s="103" t="str">
        <f t="shared" si="68"/>
        <v/>
      </c>
      <c r="Z113" s="103" t="str">
        <f t="shared" si="68"/>
        <v/>
      </c>
      <c r="AA113" s="103" t="str">
        <f t="shared" si="68"/>
        <v/>
      </c>
      <c r="AB113" s="103" t="str">
        <f t="shared" si="68"/>
        <v/>
      </c>
    </row>
    <row r="114" spans="1:28" ht="18" customHeight="1" outlineLevel="2" x14ac:dyDescent="0.25">
      <c r="A114" s="9" t="str">
        <f t="shared" si="41"/>
        <v>Acetylene [Nl/h]</v>
      </c>
      <c r="B114" s="219"/>
      <c r="C114" s="103">
        <f t="shared" si="42"/>
        <v>12.335161213179093</v>
      </c>
      <c r="D114" s="103">
        <f t="shared" ref="D114:AB114" si="69">IF(D$86="","",D46/100*D$86)</f>
        <v>13.26474684392136</v>
      </c>
      <c r="E114" s="103">
        <f t="shared" si="69"/>
        <v>13.277443320432269</v>
      </c>
      <c r="F114" s="103">
        <f t="shared" si="69"/>
        <v>13.341645968509633</v>
      </c>
      <c r="G114" s="103">
        <f t="shared" si="69"/>
        <v>13.592285594122476</v>
      </c>
      <c r="H114" s="103">
        <f t="shared" si="69"/>
        <v>4.5002477333194282</v>
      </c>
      <c r="I114" s="103">
        <f t="shared" si="69"/>
        <v>13.605823711277564</v>
      </c>
      <c r="J114" s="103">
        <f t="shared" si="69"/>
        <v>13.603083188800491</v>
      </c>
      <c r="K114" s="103">
        <f t="shared" si="69"/>
        <v>12.656285375327549</v>
      </c>
      <c r="L114" s="103">
        <f t="shared" si="69"/>
        <v>12.610381623836597</v>
      </c>
      <c r="M114" s="103">
        <f t="shared" si="69"/>
        <v>12.61384400887756</v>
      </c>
      <c r="N114" s="103">
        <f t="shared" si="69"/>
        <v>12.62098597654508</v>
      </c>
      <c r="O114" s="103" t="str">
        <f t="shared" si="69"/>
        <v/>
      </c>
      <c r="P114" s="103" t="str">
        <f t="shared" si="69"/>
        <v/>
      </c>
      <c r="Q114" s="103" t="str">
        <f t="shared" si="69"/>
        <v/>
      </c>
      <c r="R114" s="103" t="str">
        <f t="shared" si="69"/>
        <v/>
      </c>
      <c r="S114" s="103" t="str">
        <f t="shared" si="69"/>
        <v/>
      </c>
      <c r="T114" s="103" t="str">
        <f t="shared" si="69"/>
        <v/>
      </c>
      <c r="U114" s="103" t="str">
        <f t="shared" si="69"/>
        <v/>
      </c>
      <c r="V114" s="103" t="str">
        <f t="shared" si="69"/>
        <v/>
      </c>
      <c r="W114" s="103" t="str">
        <f t="shared" si="69"/>
        <v/>
      </c>
      <c r="X114" s="103" t="str">
        <f t="shared" si="69"/>
        <v/>
      </c>
      <c r="Y114" s="103" t="str">
        <f t="shared" si="69"/>
        <v/>
      </c>
      <c r="Z114" s="103" t="str">
        <f t="shared" si="69"/>
        <v/>
      </c>
      <c r="AA114" s="103" t="str">
        <f t="shared" si="69"/>
        <v/>
      </c>
      <c r="AB114" s="103" t="str">
        <f t="shared" si="69"/>
        <v/>
      </c>
    </row>
    <row r="115" spans="1:28" ht="18" customHeight="1" outlineLevel="2" x14ac:dyDescent="0.25">
      <c r="A115" s="9" t="str">
        <f t="shared" si="41"/>
        <v>Isobutane [Nl/h]</v>
      </c>
      <c r="B115" s="219"/>
      <c r="C115" s="103">
        <f t="shared" si="42"/>
        <v>0</v>
      </c>
      <c r="D115" s="103">
        <f t="shared" ref="D115:AB115" si="70">IF(D$86="","",D47/100*D$86)</f>
        <v>0</v>
      </c>
      <c r="E115" s="103">
        <f t="shared" si="70"/>
        <v>0</v>
      </c>
      <c r="F115" s="103">
        <f t="shared" si="70"/>
        <v>0</v>
      </c>
      <c r="G115" s="103">
        <f t="shared" si="70"/>
        <v>0</v>
      </c>
      <c r="H115" s="103">
        <f t="shared" si="70"/>
        <v>0</v>
      </c>
      <c r="I115" s="103">
        <f t="shared" si="70"/>
        <v>0</v>
      </c>
      <c r="J115" s="103">
        <f t="shared" si="70"/>
        <v>0</v>
      </c>
      <c r="K115" s="103">
        <f t="shared" si="70"/>
        <v>0</v>
      </c>
      <c r="L115" s="103">
        <f t="shared" si="70"/>
        <v>0</v>
      </c>
      <c r="M115" s="103">
        <f t="shared" si="70"/>
        <v>0</v>
      </c>
      <c r="N115" s="103">
        <f t="shared" si="70"/>
        <v>0</v>
      </c>
      <c r="O115" s="103" t="str">
        <f t="shared" si="70"/>
        <v/>
      </c>
      <c r="P115" s="103" t="str">
        <f t="shared" si="70"/>
        <v/>
      </c>
      <c r="Q115" s="103" t="str">
        <f t="shared" si="70"/>
        <v/>
      </c>
      <c r="R115" s="103" t="str">
        <f t="shared" si="70"/>
        <v/>
      </c>
      <c r="S115" s="103" t="str">
        <f t="shared" si="70"/>
        <v/>
      </c>
      <c r="T115" s="103" t="str">
        <f t="shared" si="70"/>
        <v/>
      </c>
      <c r="U115" s="103" t="str">
        <f t="shared" si="70"/>
        <v/>
      </c>
      <c r="V115" s="103" t="str">
        <f t="shared" si="70"/>
        <v/>
      </c>
      <c r="W115" s="103" t="str">
        <f t="shared" si="70"/>
        <v/>
      </c>
      <c r="X115" s="103" t="str">
        <f t="shared" si="70"/>
        <v/>
      </c>
      <c r="Y115" s="103" t="str">
        <f t="shared" si="70"/>
        <v/>
      </c>
      <c r="Z115" s="103" t="str">
        <f t="shared" si="70"/>
        <v/>
      </c>
      <c r="AA115" s="103" t="str">
        <f t="shared" si="70"/>
        <v/>
      </c>
      <c r="AB115" s="103" t="str">
        <f t="shared" si="70"/>
        <v/>
      </c>
    </row>
    <row r="116" spans="1:28" ht="18" customHeight="1" outlineLevel="2" x14ac:dyDescent="0.25">
      <c r="A116" s="9" t="str">
        <f t="shared" si="41"/>
        <v>N2 [Nl/h]</v>
      </c>
      <c r="B116" s="219"/>
      <c r="C116" s="103">
        <f t="shared" si="42"/>
        <v>97.318712702600635</v>
      </c>
      <c r="D116" s="103">
        <f t="shared" ref="D116:AB116" si="71">IF(D$86="","",D48/100*D$86)</f>
        <v>93.325059318375239</v>
      </c>
      <c r="E116" s="103">
        <f t="shared" si="71"/>
        <v>93.782649914074824</v>
      </c>
      <c r="F116" s="103">
        <f t="shared" si="71"/>
        <v>93.728444743099146</v>
      </c>
      <c r="G116" s="103">
        <f t="shared" si="71"/>
        <v>93.781867363950255</v>
      </c>
      <c r="H116" s="103">
        <f t="shared" si="71"/>
        <v>129.74421546225773</v>
      </c>
      <c r="I116" s="103">
        <f t="shared" si="71"/>
        <v>93.201846002740879</v>
      </c>
      <c r="J116" s="103">
        <f t="shared" si="71"/>
        <v>93.497164449343558</v>
      </c>
      <c r="K116" s="103">
        <f t="shared" si="71"/>
        <v>94.859378197924883</v>
      </c>
      <c r="L116" s="103">
        <f t="shared" si="71"/>
        <v>94.711282982411291</v>
      </c>
      <c r="M116" s="103">
        <f t="shared" si="71"/>
        <v>94.855032649171918</v>
      </c>
      <c r="N116" s="103">
        <f t="shared" si="71"/>
        <v>95.018898645257238</v>
      </c>
      <c r="O116" s="103" t="str">
        <f t="shared" si="71"/>
        <v/>
      </c>
      <c r="P116" s="103" t="str">
        <f t="shared" si="71"/>
        <v/>
      </c>
      <c r="Q116" s="103" t="str">
        <f t="shared" si="71"/>
        <v/>
      </c>
      <c r="R116" s="103" t="str">
        <f t="shared" si="71"/>
        <v/>
      </c>
      <c r="S116" s="103" t="str">
        <f t="shared" si="71"/>
        <v/>
      </c>
      <c r="T116" s="103" t="str">
        <f t="shared" si="71"/>
        <v/>
      </c>
      <c r="U116" s="103" t="str">
        <f t="shared" si="71"/>
        <v/>
      </c>
      <c r="V116" s="103" t="str">
        <f t="shared" si="71"/>
        <v/>
      </c>
      <c r="W116" s="103" t="str">
        <f t="shared" si="71"/>
        <v/>
      </c>
      <c r="X116" s="103" t="str">
        <f t="shared" si="71"/>
        <v/>
      </c>
      <c r="Y116" s="103" t="str">
        <f t="shared" si="71"/>
        <v/>
      </c>
      <c r="Z116" s="103" t="str">
        <f t="shared" si="71"/>
        <v/>
      </c>
      <c r="AA116" s="103" t="str">
        <f t="shared" si="71"/>
        <v/>
      </c>
      <c r="AB116" s="103" t="str">
        <f t="shared" si="71"/>
        <v/>
      </c>
    </row>
    <row r="117" spans="1:28" ht="18" customHeight="1" outlineLevel="2" x14ac:dyDescent="0.25">
      <c r="A117" s="9" t="str">
        <f t="shared" si="41"/>
        <v/>
      </c>
      <c r="B117" s="219"/>
      <c r="C117" s="103" t="str">
        <f t="shared" si="42"/>
        <v/>
      </c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</row>
    <row r="118" spans="1:28" ht="18" customHeight="1" outlineLevel="2" x14ac:dyDescent="0.25">
      <c r="A118" s="9" t="str">
        <f t="shared" si="41"/>
        <v/>
      </c>
      <c r="B118" s="219"/>
      <c r="C118" s="103" t="str">
        <f t="shared" si="42"/>
        <v/>
      </c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</row>
    <row r="120" spans="1:28" ht="18" customHeight="1" x14ac:dyDescent="0.25">
      <c r="A120" s="11" t="s">
        <v>255</v>
      </c>
      <c r="B120" s="244"/>
      <c r="C120" s="217" t="s">
        <v>256</v>
      </c>
      <c r="D120" s="233" t="s">
        <v>257</v>
      </c>
      <c r="E120" s="249" t="str">
        <f t="shared" ref="E120:AB120" si="72">E$17</f>
        <v/>
      </c>
      <c r="F120" s="249" t="str">
        <f t="shared" si="72"/>
        <v/>
      </c>
      <c r="G120" s="249" t="str">
        <f t="shared" si="72"/>
        <v/>
      </c>
      <c r="H120" s="249" t="str">
        <f t="shared" si="72"/>
        <v/>
      </c>
      <c r="I120" s="249" t="str">
        <f t="shared" si="72"/>
        <v/>
      </c>
      <c r="J120" s="249" t="str">
        <f t="shared" si="72"/>
        <v/>
      </c>
      <c r="K120" s="249" t="str">
        <f t="shared" si="72"/>
        <v/>
      </c>
      <c r="L120" s="249" t="str">
        <f t="shared" si="72"/>
        <v/>
      </c>
      <c r="M120" s="249" t="str">
        <f t="shared" si="72"/>
        <v/>
      </c>
      <c r="N120" s="249" t="str">
        <f t="shared" si="72"/>
        <v/>
      </c>
      <c r="O120" s="249" t="str">
        <f t="shared" si="72"/>
        <v/>
      </c>
      <c r="P120" s="249" t="str">
        <f t="shared" si="72"/>
        <v/>
      </c>
      <c r="Q120" s="249" t="str">
        <f t="shared" si="72"/>
        <v/>
      </c>
      <c r="R120" s="249" t="str">
        <f t="shared" si="72"/>
        <v/>
      </c>
      <c r="S120" s="249" t="str">
        <f t="shared" si="72"/>
        <v/>
      </c>
      <c r="T120" s="249" t="str">
        <f t="shared" si="72"/>
        <v/>
      </c>
      <c r="U120" s="249" t="str">
        <f t="shared" si="72"/>
        <v/>
      </c>
      <c r="V120" s="249" t="str">
        <f t="shared" si="72"/>
        <v/>
      </c>
      <c r="W120" s="249" t="str">
        <f t="shared" si="72"/>
        <v/>
      </c>
      <c r="X120" s="249" t="str">
        <f t="shared" si="72"/>
        <v/>
      </c>
      <c r="Y120" s="249" t="str">
        <f t="shared" si="72"/>
        <v/>
      </c>
      <c r="Z120" s="249" t="str">
        <f t="shared" si="72"/>
        <v/>
      </c>
      <c r="AA120" s="249" t="str">
        <f t="shared" si="72"/>
        <v/>
      </c>
      <c r="AB120" s="249" t="str">
        <f t="shared" si="72"/>
        <v/>
      </c>
    </row>
    <row r="121" spans="1:28" ht="18" customHeight="1" x14ac:dyDescent="0.25">
      <c r="A121" s="11" t="s">
        <v>258</v>
      </c>
      <c r="B121" s="244"/>
      <c r="C121" s="233">
        <f t="shared" ref="C121:C149" si="73">IFERROR(AVERAGE(D121:AB121), "")</f>
        <v>4.2217890706154289E-2</v>
      </c>
      <c r="D121" s="233">
        <f t="shared" ref="D121:AB121" si="74">IFERROR((12.011*$AD52/$B20)*D52,"")</f>
        <v>4.1350021914706346E-2</v>
      </c>
      <c r="E121" s="233">
        <f t="shared" si="74"/>
        <v>4.1409005642336932E-2</v>
      </c>
      <c r="F121" s="233">
        <f t="shared" si="74"/>
        <v>4.1536776214285448E-2</v>
      </c>
      <c r="G121" s="233">
        <f t="shared" si="74"/>
        <v>4.20118757889986E-2</v>
      </c>
      <c r="H121" s="233">
        <f t="shared" si="74"/>
        <v>4.6736932950599129E-2</v>
      </c>
      <c r="I121" s="233">
        <f t="shared" si="74"/>
        <v>4.234643376574343E-2</v>
      </c>
      <c r="J121" s="233">
        <f t="shared" si="74"/>
        <v>4.2372750582670364E-2</v>
      </c>
      <c r="K121" s="233">
        <f t="shared" si="74"/>
        <v>4.1588001977023968E-2</v>
      </c>
      <c r="L121" s="233">
        <f t="shared" si="74"/>
        <v>4.1797270356048362E-2</v>
      </c>
      <c r="M121" s="233">
        <f t="shared" si="74"/>
        <v>4.1611603385087508E-2</v>
      </c>
      <c r="N121" s="233">
        <f t="shared" si="74"/>
        <v>4.163612519019716E-2</v>
      </c>
      <c r="O121" s="233" t="str">
        <f t="shared" si="74"/>
        <v/>
      </c>
      <c r="P121" s="233" t="str">
        <f t="shared" si="74"/>
        <v/>
      </c>
      <c r="Q121" s="233" t="str">
        <f t="shared" si="74"/>
        <v/>
      </c>
      <c r="R121" s="233" t="str">
        <f t="shared" si="74"/>
        <v/>
      </c>
      <c r="S121" s="233" t="str">
        <f t="shared" si="74"/>
        <v/>
      </c>
      <c r="T121" s="233" t="str">
        <f t="shared" si="74"/>
        <v/>
      </c>
      <c r="U121" s="233" t="str">
        <f t="shared" si="74"/>
        <v/>
      </c>
      <c r="V121" s="233" t="str">
        <f t="shared" si="74"/>
        <v/>
      </c>
      <c r="W121" s="233" t="str">
        <f t="shared" si="74"/>
        <v/>
      </c>
      <c r="X121" s="233" t="str">
        <f t="shared" si="74"/>
        <v/>
      </c>
      <c r="Y121" s="233" t="str">
        <f t="shared" si="74"/>
        <v/>
      </c>
      <c r="Z121" s="233" t="str">
        <f t="shared" si="74"/>
        <v/>
      </c>
      <c r="AA121" s="233" t="str">
        <f t="shared" si="74"/>
        <v/>
      </c>
      <c r="AB121" s="233" t="str">
        <f t="shared" si="74"/>
        <v/>
      </c>
    </row>
    <row r="122" spans="1:28" ht="18" customHeight="1" x14ac:dyDescent="0.25">
      <c r="A122" s="11" t="s">
        <v>259</v>
      </c>
      <c r="B122" s="244"/>
      <c r="C122" s="233">
        <f t="shared" si="73"/>
        <v>5.9233557159841025E-4</v>
      </c>
      <c r="D122" s="233">
        <f t="shared" ref="D122:AB122" si="75">IFERROR((12.011*$AD53/$B21)*D53,"")</f>
        <v>7.1148936005778571E-5</v>
      </c>
      <c r="E122" s="233">
        <f t="shared" si="75"/>
        <v>6.9041166203745216E-5</v>
      </c>
      <c r="F122" s="233">
        <f t="shared" si="75"/>
        <v>6.779539246558802E-5</v>
      </c>
      <c r="G122" s="233">
        <f t="shared" si="75"/>
        <v>6.399977744935783E-5</v>
      </c>
      <c r="H122" s="233">
        <f t="shared" si="75"/>
        <v>5.8882608019811865E-3</v>
      </c>
      <c r="I122" s="233">
        <f t="shared" si="75"/>
        <v>5.9305373181257505E-5</v>
      </c>
      <c r="J122" s="233">
        <f t="shared" si="75"/>
        <v>5.3155872452154285E-5</v>
      </c>
      <c r="K122" s="233">
        <f t="shared" si="75"/>
        <v>7.1367012540194316E-5</v>
      </c>
      <c r="L122" s="233">
        <f t="shared" si="75"/>
        <v>5.627738342335462E-5</v>
      </c>
      <c r="M122" s="233">
        <f t="shared" si="75"/>
        <v>5.7091404471174211E-5</v>
      </c>
      <c r="N122" s="233">
        <f t="shared" si="75"/>
        <v>5.8248167408722053E-5</v>
      </c>
      <c r="O122" s="233" t="str">
        <f t="shared" si="75"/>
        <v/>
      </c>
      <c r="P122" s="233" t="str">
        <f t="shared" si="75"/>
        <v/>
      </c>
      <c r="Q122" s="233" t="str">
        <f t="shared" si="75"/>
        <v/>
      </c>
      <c r="R122" s="233" t="str">
        <f t="shared" si="75"/>
        <v/>
      </c>
      <c r="S122" s="233" t="str">
        <f t="shared" si="75"/>
        <v/>
      </c>
      <c r="T122" s="233" t="str">
        <f t="shared" si="75"/>
        <v/>
      </c>
      <c r="U122" s="233" t="str">
        <f t="shared" si="75"/>
        <v/>
      </c>
      <c r="V122" s="233" t="str">
        <f t="shared" si="75"/>
        <v/>
      </c>
      <c r="W122" s="233" t="str">
        <f t="shared" si="75"/>
        <v/>
      </c>
      <c r="X122" s="233" t="str">
        <f t="shared" si="75"/>
        <v/>
      </c>
      <c r="Y122" s="233" t="str">
        <f t="shared" si="75"/>
        <v/>
      </c>
      <c r="Z122" s="233" t="str">
        <f t="shared" si="75"/>
        <v/>
      </c>
      <c r="AA122" s="233" t="str">
        <f t="shared" si="75"/>
        <v/>
      </c>
      <c r="AB122" s="233" t="str">
        <f t="shared" si="75"/>
        <v/>
      </c>
    </row>
    <row r="123" spans="1:28" ht="18" customHeight="1" x14ac:dyDescent="0.25">
      <c r="A123" s="11" t="s">
        <v>260</v>
      </c>
      <c r="B123" s="244"/>
      <c r="C123" s="233">
        <f t="shared" si="73"/>
        <v>5.9790295569783151E-2</v>
      </c>
      <c r="D123" s="233">
        <f t="shared" ref="D123:AB123" si="76">IFERROR((12.011*$AD54/$B22)*D54,"")</f>
        <v>5.1754813002702307E-2</v>
      </c>
      <c r="E123" s="233">
        <f t="shared" si="76"/>
        <v>5.193982915259189E-2</v>
      </c>
      <c r="F123" s="233">
        <f t="shared" si="76"/>
        <v>5.2154090845933011E-2</v>
      </c>
      <c r="G123" s="233">
        <f t="shared" si="76"/>
        <v>5.2788836821766931E-2</v>
      </c>
      <c r="H123" s="233">
        <f t="shared" si="76"/>
        <v>0.13289224141883815</v>
      </c>
      <c r="I123" s="233">
        <f t="shared" si="76"/>
        <v>5.3374868041847545E-2</v>
      </c>
      <c r="J123" s="233">
        <f t="shared" si="76"/>
        <v>5.307202500884857E-2</v>
      </c>
      <c r="K123" s="233">
        <f t="shared" si="76"/>
        <v>5.2363256411068176E-2</v>
      </c>
      <c r="L123" s="233">
        <f t="shared" si="76"/>
        <v>5.2570158863276865E-2</v>
      </c>
      <c r="M123" s="233">
        <f t="shared" si="76"/>
        <v>5.2365270723189652E-2</v>
      </c>
      <c r="N123" s="233">
        <f t="shared" si="76"/>
        <v>5.2417860977551606E-2</v>
      </c>
      <c r="O123" s="233" t="str">
        <f t="shared" si="76"/>
        <v/>
      </c>
      <c r="P123" s="233" t="str">
        <f t="shared" si="76"/>
        <v/>
      </c>
      <c r="Q123" s="233" t="str">
        <f t="shared" si="76"/>
        <v/>
      </c>
      <c r="R123" s="233" t="str">
        <f t="shared" si="76"/>
        <v/>
      </c>
      <c r="S123" s="233" t="str">
        <f t="shared" si="76"/>
        <v/>
      </c>
      <c r="T123" s="233" t="str">
        <f t="shared" si="76"/>
        <v/>
      </c>
      <c r="U123" s="233" t="str">
        <f t="shared" si="76"/>
        <v/>
      </c>
      <c r="V123" s="233" t="str">
        <f t="shared" si="76"/>
        <v/>
      </c>
      <c r="W123" s="233" t="str">
        <f t="shared" si="76"/>
        <v/>
      </c>
      <c r="X123" s="233" t="str">
        <f t="shared" si="76"/>
        <v/>
      </c>
      <c r="Y123" s="233" t="str">
        <f t="shared" si="76"/>
        <v/>
      </c>
      <c r="Z123" s="233" t="str">
        <f t="shared" si="76"/>
        <v/>
      </c>
      <c r="AA123" s="233" t="str">
        <f t="shared" si="76"/>
        <v/>
      </c>
      <c r="AB123" s="233" t="str">
        <f t="shared" si="76"/>
        <v/>
      </c>
    </row>
    <row r="124" spans="1:28" ht="18" customHeight="1" x14ac:dyDescent="0.25">
      <c r="A124" s="11" t="s">
        <v>261</v>
      </c>
      <c r="B124" s="244"/>
      <c r="C124" s="233">
        <f t="shared" si="73"/>
        <v>2.2092466521514123E-5</v>
      </c>
      <c r="D124" s="233">
        <f t="shared" ref="D124:AB124" si="77">IFERROR((12.011*$AD55/$B23)*D55,"")</f>
        <v>0</v>
      </c>
      <c r="E124" s="233">
        <f t="shared" si="77"/>
        <v>0</v>
      </c>
      <c r="F124" s="233">
        <f t="shared" si="77"/>
        <v>0</v>
      </c>
      <c r="G124" s="233">
        <f t="shared" si="77"/>
        <v>0</v>
      </c>
      <c r="H124" s="233">
        <f t="shared" si="77"/>
        <v>2.4301713173665535E-4</v>
      </c>
      <c r="I124" s="233">
        <f t="shared" si="77"/>
        <v>0</v>
      </c>
      <c r="J124" s="233">
        <f t="shared" si="77"/>
        <v>0</v>
      </c>
      <c r="K124" s="233">
        <f t="shared" si="77"/>
        <v>0</v>
      </c>
      <c r="L124" s="233">
        <f t="shared" si="77"/>
        <v>0</v>
      </c>
      <c r="M124" s="233">
        <f t="shared" si="77"/>
        <v>0</v>
      </c>
      <c r="N124" s="233">
        <f t="shared" si="77"/>
        <v>0</v>
      </c>
      <c r="O124" s="233" t="str">
        <f t="shared" si="77"/>
        <v/>
      </c>
      <c r="P124" s="233" t="str">
        <f t="shared" si="77"/>
        <v/>
      </c>
      <c r="Q124" s="233" t="str">
        <f t="shared" si="77"/>
        <v/>
      </c>
      <c r="R124" s="233" t="str">
        <f t="shared" si="77"/>
        <v/>
      </c>
      <c r="S124" s="233" t="str">
        <f t="shared" si="77"/>
        <v/>
      </c>
      <c r="T124" s="233" t="str">
        <f t="shared" si="77"/>
        <v/>
      </c>
      <c r="U124" s="233" t="str">
        <f t="shared" si="77"/>
        <v/>
      </c>
      <c r="V124" s="233" t="str">
        <f t="shared" si="77"/>
        <v/>
      </c>
      <c r="W124" s="233" t="str">
        <f t="shared" si="77"/>
        <v/>
      </c>
      <c r="X124" s="233" t="str">
        <f t="shared" si="77"/>
        <v/>
      </c>
      <c r="Y124" s="233" t="str">
        <f t="shared" si="77"/>
        <v/>
      </c>
      <c r="Z124" s="233" t="str">
        <f t="shared" si="77"/>
        <v/>
      </c>
      <c r="AA124" s="233" t="str">
        <f t="shared" si="77"/>
        <v/>
      </c>
      <c r="AB124" s="233" t="str">
        <f t="shared" si="77"/>
        <v/>
      </c>
    </row>
    <row r="125" spans="1:28" ht="18" customHeight="1" x14ac:dyDescent="0.25">
      <c r="A125" s="11" t="s">
        <v>262</v>
      </c>
      <c r="B125" s="244"/>
      <c r="C125" s="233">
        <f t="shared" si="73"/>
        <v>1.1426326043612765E-4</v>
      </c>
      <c r="D125" s="233">
        <f t="shared" ref="D125:AB125" si="78">IFERROR((12.011*$AD56/$B24)*D56,"")</f>
        <v>8.4403731069998889E-5</v>
      </c>
      <c r="E125" s="233">
        <f t="shared" si="78"/>
        <v>5.1157586346802883E-5</v>
      </c>
      <c r="F125" s="233">
        <f t="shared" si="78"/>
        <v>3.2507267391562009E-5</v>
      </c>
      <c r="G125" s="233">
        <f t="shared" si="78"/>
        <v>2.2913893467696487E-5</v>
      </c>
      <c r="H125" s="233">
        <f t="shared" si="78"/>
        <v>1.0374505775261613E-3</v>
      </c>
      <c r="I125" s="233">
        <f t="shared" si="78"/>
        <v>1.641114504744511E-5</v>
      </c>
      <c r="J125" s="233">
        <f t="shared" si="78"/>
        <v>1.2051663947737523E-5</v>
      </c>
      <c r="K125" s="233">
        <f t="shared" si="78"/>
        <v>0</v>
      </c>
      <c r="L125" s="233">
        <f t="shared" si="78"/>
        <v>0</v>
      </c>
      <c r="M125" s="233">
        <f t="shared" si="78"/>
        <v>0</v>
      </c>
      <c r="N125" s="233">
        <f t="shared" si="78"/>
        <v>0</v>
      </c>
      <c r="O125" s="233" t="str">
        <f t="shared" si="78"/>
        <v/>
      </c>
      <c r="P125" s="233" t="str">
        <f t="shared" si="78"/>
        <v/>
      </c>
      <c r="Q125" s="233" t="str">
        <f t="shared" si="78"/>
        <v/>
      </c>
      <c r="R125" s="233" t="str">
        <f t="shared" si="78"/>
        <v/>
      </c>
      <c r="S125" s="233" t="str">
        <f t="shared" si="78"/>
        <v/>
      </c>
      <c r="T125" s="233" t="str">
        <f t="shared" si="78"/>
        <v/>
      </c>
      <c r="U125" s="233" t="str">
        <f t="shared" si="78"/>
        <v/>
      </c>
      <c r="V125" s="233" t="str">
        <f t="shared" si="78"/>
        <v/>
      </c>
      <c r="W125" s="233" t="str">
        <f t="shared" si="78"/>
        <v/>
      </c>
      <c r="X125" s="233" t="str">
        <f t="shared" si="78"/>
        <v/>
      </c>
      <c r="Y125" s="233" t="str">
        <f t="shared" si="78"/>
        <v/>
      </c>
      <c r="Z125" s="233" t="str">
        <f t="shared" si="78"/>
        <v/>
      </c>
      <c r="AA125" s="233" t="str">
        <f t="shared" si="78"/>
        <v/>
      </c>
      <c r="AB125" s="233" t="str">
        <f t="shared" si="78"/>
        <v/>
      </c>
    </row>
    <row r="126" spans="1:28" ht="18" customHeight="1" x14ac:dyDescent="0.25">
      <c r="A126" s="11" t="s">
        <v>263</v>
      </c>
      <c r="B126" s="244"/>
      <c r="C126" s="233">
        <f t="shared" si="73"/>
        <v>4.9838707161543176E-5</v>
      </c>
      <c r="D126" s="233">
        <f t="shared" ref="D126:AB126" si="79">IFERROR((12.011*$AD57/$B25)*D57,"")</f>
        <v>0</v>
      </c>
      <c r="E126" s="233">
        <f t="shared" si="79"/>
        <v>0</v>
      </c>
      <c r="F126" s="233">
        <f t="shared" si="79"/>
        <v>0</v>
      </c>
      <c r="G126" s="233">
        <f t="shared" si="79"/>
        <v>0</v>
      </c>
      <c r="H126" s="233">
        <f t="shared" si="79"/>
        <v>5.1783533344666212E-4</v>
      </c>
      <c r="I126" s="233">
        <f t="shared" si="79"/>
        <v>0</v>
      </c>
      <c r="J126" s="233">
        <f t="shared" si="79"/>
        <v>0</v>
      </c>
      <c r="K126" s="233">
        <f t="shared" si="79"/>
        <v>0</v>
      </c>
      <c r="L126" s="233">
        <f t="shared" si="79"/>
        <v>0</v>
      </c>
      <c r="M126" s="233">
        <f t="shared" si="79"/>
        <v>1.3346871962500458E-5</v>
      </c>
      <c r="N126" s="233">
        <f t="shared" si="79"/>
        <v>1.7043573367812372E-5</v>
      </c>
      <c r="O126" s="233" t="str">
        <f t="shared" si="79"/>
        <v/>
      </c>
      <c r="P126" s="233" t="str">
        <f t="shared" si="79"/>
        <v/>
      </c>
      <c r="Q126" s="233" t="str">
        <f t="shared" si="79"/>
        <v/>
      </c>
      <c r="R126" s="233" t="str">
        <f t="shared" si="79"/>
        <v/>
      </c>
      <c r="S126" s="233" t="str">
        <f t="shared" si="79"/>
        <v/>
      </c>
      <c r="T126" s="233" t="str">
        <f t="shared" si="79"/>
        <v/>
      </c>
      <c r="U126" s="233" t="str">
        <f t="shared" si="79"/>
        <v/>
      </c>
      <c r="V126" s="233" t="str">
        <f t="shared" si="79"/>
        <v/>
      </c>
      <c r="W126" s="233" t="str">
        <f t="shared" si="79"/>
        <v/>
      </c>
      <c r="X126" s="233" t="str">
        <f t="shared" si="79"/>
        <v/>
      </c>
      <c r="Y126" s="233" t="str">
        <f t="shared" si="79"/>
        <v/>
      </c>
      <c r="Z126" s="233" t="str">
        <f t="shared" si="79"/>
        <v/>
      </c>
      <c r="AA126" s="233" t="str">
        <f t="shared" si="79"/>
        <v/>
      </c>
      <c r="AB126" s="233" t="str">
        <f t="shared" si="79"/>
        <v/>
      </c>
    </row>
    <row r="127" spans="1:28" ht="18" customHeight="1" x14ac:dyDescent="0.25">
      <c r="A127" s="11" t="s">
        <v>264</v>
      </c>
      <c r="B127" s="244"/>
      <c r="C127" s="233">
        <f t="shared" si="73"/>
        <v>0</v>
      </c>
      <c r="D127" s="233">
        <f t="shared" ref="D127:AB127" si="80">IFERROR((12.011*$AD58/$B26)*D58,"")</f>
        <v>0</v>
      </c>
      <c r="E127" s="233">
        <f t="shared" si="80"/>
        <v>0</v>
      </c>
      <c r="F127" s="233">
        <f t="shared" si="80"/>
        <v>0</v>
      </c>
      <c r="G127" s="233">
        <f t="shared" si="80"/>
        <v>0</v>
      </c>
      <c r="H127" s="233">
        <f t="shared" si="80"/>
        <v>0</v>
      </c>
      <c r="I127" s="233">
        <f t="shared" si="80"/>
        <v>0</v>
      </c>
      <c r="J127" s="233">
        <f t="shared" si="80"/>
        <v>0</v>
      </c>
      <c r="K127" s="233">
        <f t="shared" si="80"/>
        <v>0</v>
      </c>
      <c r="L127" s="233">
        <f t="shared" si="80"/>
        <v>0</v>
      </c>
      <c r="M127" s="233">
        <f t="shared" si="80"/>
        <v>0</v>
      </c>
      <c r="N127" s="233">
        <f t="shared" si="80"/>
        <v>0</v>
      </c>
      <c r="O127" s="233" t="str">
        <f t="shared" si="80"/>
        <v/>
      </c>
      <c r="P127" s="233" t="str">
        <f t="shared" si="80"/>
        <v/>
      </c>
      <c r="Q127" s="233" t="str">
        <f t="shared" si="80"/>
        <v/>
      </c>
      <c r="R127" s="233" t="str">
        <f t="shared" si="80"/>
        <v/>
      </c>
      <c r="S127" s="233" t="str">
        <f t="shared" si="80"/>
        <v/>
      </c>
      <c r="T127" s="233" t="str">
        <f t="shared" si="80"/>
        <v/>
      </c>
      <c r="U127" s="233" t="str">
        <f t="shared" si="80"/>
        <v/>
      </c>
      <c r="V127" s="233" t="str">
        <f t="shared" si="80"/>
        <v/>
      </c>
      <c r="W127" s="233" t="str">
        <f t="shared" si="80"/>
        <v/>
      </c>
      <c r="X127" s="233" t="str">
        <f t="shared" si="80"/>
        <v/>
      </c>
      <c r="Y127" s="233" t="str">
        <f t="shared" si="80"/>
        <v/>
      </c>
      <c r="Z127" s="233" t="str">
        <f t="shared" si="80"/>
        <v/>
      </c>
      <c r="AA127" s="233" t="str">
        <f t="shared" si="80"/>
        <v/>
      </c>
      <c r="AB127" s="233" t="str">
        <f t="shared" si="80"/>
        <v/>
      </c>
    </row>
    <row r="128" spans="1:28" ht="18" customHeight="1" x14ac:dyDescent="0.25">
      <c r="A128" s="11" t="s">
        <v>265</v>
      </c>
      <c r="B128" s="244"/>
      <c r="C128" s="233">
        <f t="shared" si="73"/>
        <v>0</v>
      </c>
      <c r="D128" s="233">
        <f t="shared" ref="D128:AB128" si="81">IFERROR((12.011*$AD59/$B27)*D59,"")</f>
        <v>0</v>
      </c>
      <c r="E128" s="233">
        <f t="shared" si="81"/>
        <v>0</v>
      </c>
      <c r="F128" s="233">
        <f t="shared" si="81"/>
        <v>0</v>
      </c>
      <c r="G128" s="233">
        <f t="shared" si="81"/>
        <v>0</v>
      </c>
      <c r="H128" s="233">
        <f t="shared" si="81"/>
        <v>0</v>
      </c>
      <c r="I128" s="233">
        <f t="shared" si="81"/>
        <v>0</v>
      </c>
      <c r="J128" s="233">
        <f t="shared" si="81"/>
        <v>0</v>
      </c>
      <c r="K128" s="233">
        <f t="shared" si="81"/>
        <v>0</v>
      </c>
      <c r="L128" s="233">
        <f t="shared" si="81"/>
        <v>0</v>
      </c>
      <c r="M128" s="233">
        <f t="shared" si="81"/>
        <v>0</v>
      </c>
      <c r="N128" s="233">
        <f t="shared" si="81"/>
        <v>0</v>
      </c>
      <c r="O128" s="233" t="str">
        <f t="shared" si="81"/>
        <v/>
      </c>
      <c r="P128" s="233" t="str">
        <f t="shared" si="81"/>
        <v/>
      </c>
      <c r="Q128" s="233" t="str">
        <f t="shared" si="81"/>
        <v/>
      </c>
      <c r="R128" s="233" t="str">
        <f t="shared" si="81"/>
        <v/>
      </c>
      <c r="S128" s="233" t="str">
        <f t="shared" si="81"/>
        <v/>
      </c>
      <c r="T128" s="233" t="str">
        <f t="shared" si="81"/>
        <v/>
      </c>
      <c r="U128" s="233" t="str">
        <f t="shared" si="81"/>
        <v/>
      </c>
      <c r="V128" s="233" t="str">
        <f t="shared" si="81"/>
        <v/>
      </c>
      <c r="W128" s="233" t="str">
        <f t="shared" si="81"/>
        <v/>
      </c>
      <c r="X128" s="233" t="str">
        <f t="shared" si="81"/>
        <v/>
      </c>
      <c r="Y128" s="233" t="str">
        <f t="shared" si="81"/>
        <v/>
      </c>
      <c r="Z128" s="233" t="str">
        <f t="shared" si="81"/>
        <v/>
      </c>
      <c r="AA128" s="233" t="str">
        <f t="shared" si="81"/>
        <v/>
      </c>
      <c r="AB128" s="233" t="str">
        <f t="shared" si="81"/>
        <v/>
      </c>
    </row>
    <row r="129" spans="1:28" ht="18" customHeight="1" x14ac:dyDescent="0.25">
      <c r="A129" s="11" t="s">
        <v>266</v>
      </c>
      <c r="B129" s="244"/>
      <c r="C129" s="233">
        <f t="shared" si="73"/>
        <v>0</v>
      </c>
      <c r="D129" s="233">
        <f t="shared" ref="D129:AB129" si="82">IFERROR((12.011*$AD60/$B28)*D60,"")</f>
        <v>0</v>
      </c>
      <c r="E129" s="233">
        <f t="shared" si="82"/>
        <v>0</v>
      </c>
      <c r="F129" s="233">
        <f t="shared" si="82"/>
        <v>0</v>
      </c>
      <c r="G129" s="233">
        <f t="shared" si="82"/>
        <v>0</v>
      </c>
      <c r="H129" s="233">
        <f t="shared" si="82"/>
        <v>0</v>
      </c>
      <c r="I129" s="233">
        <f t="shared" si="82"/>
        <v>0</v>
      </c>
      <c r="J129" s="233">
        <f t="shared" si="82"/>
        <v>0</v>
      </c>
      <c r="K129" s="233">
        <f t="shared" si="82"/>
        <v>0</v>
      </c>
      <c r="L129" s="233">
        <f t="shared" si="82"/>
        <v>0</v>
      </c>
      <c r="M129" s="233">
        <f t="shared" si="82"/>
        <v>0</v>
      </c>
      <c r="N129" s="233">
        <f t="shared" si="82"/>
        <v>0</v>
      </c>
      <c r="O129" s="233" t="str">
        <f t="shared" si="82"/>
        <v/>
      </c>
      <c r="P129" s="233" t="str">
        <f t="shared" si="82"/>
        <v/>
      </c>
      <c r="Q129" s="233" t="str">
        <f t="shared" si="82"/>
        <v/>
      </c>
      <c r="R129" s="233" t="str">
        <f t="shared" si="82"/>
        <v/>
      </c>
      <c r="S129" s="233" t="str">
        <f t="shared" si="82"/>
        <v/>
      </c>
      <c r="T129" s="233" t="str">
        <f t="shared" si="82"/>
        <v/>
      </c>
      <c r="U129" s="233" t="str">
        <f t="shared" si="82"/>
        <v/>
      </c>
      <c r="V129" s="233" t="str">
        <f t="shared" si="82"/>
        <v/>
      </c>
      <c r="W129" s="233" t="str">
        <f t="shared" si="82"/>
        <v/>
      </c>
      <c r="X129" s="233" t="str">
        <f t="shared" si="82"/>
        <v/>
      </c>
      <c r="Y129" s="233" t="str">
        <f t="shared" si="82"/>
        <v/>
      </c>
      <c r="Z129" s="233" t="str">
        <f t="shared" si="82"/>
        <v/>
      </c>
      <c r="AA129" s="233" t="str">
        <f t="shared" si="82"/>
        <v/>
      </c>
      <c r="AB129" s="233" t="str">
        <f t="shared" si="82"/>
        <v/>
      </c>
    </row>
    <row r="130" spans="1:28" ht="18" customHeight="1" x14ac:dyDescent="0.25">
      <c r="A130" s="11" t="s">
        <v>267</v>
      </c>
      <c r="B130" s="244"/>
      <c r="C130" s="233">
        <f t="shared" si="73"/>
        <v>5.9120442285275467E-3</v>
      </c>
      <c r="D130" s="233">
        <f t="shared" ref="D130:AB130" si="83">IFERROR((12.011*$AD61/$B29)*D61,"")</f>
        <v>4.1230059646877522E-5</v>
      </c>
      <c r="E130" s="233">
        <f t="shared" si="83"/>
        <v>1.8340657948013429E-4</v>
      </c>
      <c r="F130" s="233">
        <f t="shared" si="83"/>
        <v>2.2093434828955412E-4</v>
      </c>
      <c r="G130" s="233">
        <f t="shared" si="83"/>
        <v>2.3849544117627425E-4</v>
      </c>
      <c r="H130" s="233">
        <f t="shared" si="83"/>
        <v>6.3868889220210584E-2</v>
      </c>
      <c r="I130" s="233">
        <f t="shared" si="83"/>
        <v>1.4937359864752978E-4</v>
      </c>
      <c r="J130" s="233">
        <f t="shared" si="83"/>
        <v>3.7408364893777268E-5</v>
      </c>
      <c r="K130" s="233">
        <f t="shared" si="83"/>
        <v>9.7750794109591131E-5</v>
      </c>
      <c r="L130" s="233">
        <f t="shared" si="83"/>
        <v>6.7814887997618673E-5</v>
      </c>
      <c r="M130" s="233">
        <f t="shared" si="83"/>
        <v>6.3030443191329933E-5</v>
      </c>
      <c r="N130" s="233">
        <f t="shared" si="83"/>
        <v>6.4152776159743198E-5</v>
      </c>
      <c r="O130" s="233" t="str">
        <f t="shared" si="83"/>
        <v/>
      </c>
      <c r="P130" s="233" t="str">
        <f t="shared" si="83"/>
        <v/>
      </c>
      <c r="Q130" s="233" t="str">
        <f t="shared" si="83"/>
        <v/>
      </c>
      <c r="R130" s="233" t="str">
        <f t="shared" si="83"/>
        <v/>
      </c>
      <c r="S130" s="233" t="str">
        <f t="shared" si="83"/>
        <v/>
      </c>
      <c r="T130" s="233" t="str">
        <f t="shared" si="83"/>
        <v/>
      </c>
      <c r="U130" s="233" t="str">
        <f t="shared" si="83"/>
        <v/>
      </c>
      <c r="V130" s="233" t="str">
        <f t="shared" si="83"/>
        <v/>
      </c>
      <c r="W130" s="233" t="str">
        <f t="shared" si="83"/>
        <v/>
      </c>
      <c r="X130" s="233" t="str">
        <f t="shared" si="83"/>
        <v/>
      </c>
      <c r="Y130" s="233" t="str">
        <f t="shared" si="83"/>
        <v/>
      </c>
      <c r="Z130" s="233" t="str">
        <f t="shared" si="83"/>
        <v/>
      </c>
      <c r="AA130" s="233" t="str">
        <f t="shared" si="83"/>
        <v/>
      </c>
      <c r="AB130" s="233" t="str">
        <f t="shared" si="83"/>
        <v/>
      </c>
    </row>
    <row r="131" spans="1:28" ht="18" customHeight="1" x14ac:dyDescent="0.25">
      <c r="A131" s="11" t="s">
        <v>268</v>
      </c>
      <c r="B131" s="244"/>
      <c r="C131" s="233">
        <f t="shared" si="73"/>
        <v>0</v>
      </c>
      <c r="D131" s="233">
        <f t="shared" ref="D131:AB131" si="84">IFERROR((12.011*$AD62/$B30)*D62,"")</f>
        <v>0</v>
      </c>
      <c r="E131" s="233">
        <f t="shared" si="84"/>
        <v>0</v>
      </c>
      <c r="F131" s="233">
        <f t="shared" si="84"/>
        <v>0</v>
      </c>
      <c r="G131" s="233">
        <f t="shared" si="84"/>
        <v>0</v>
      </c>
      <c r="H131" s="233">
        <f t="shared" si="84"/>
        <v>0</v>
      </c>
      <c r="I131" s="233">
        <f t="shared" si="84"/>
        <v>0</v>
      </c>
      <c r="J131" s="233">
        <f t="shared" si="84"/>
        <v>0</v>
      </c>
      <c r="K131" s="233">
        <f t="shared" si="84"/>
        <v>0</v>
      </c>
      <c r="L131" s="233">
        <f t="shared" si="84"/>
        <v>0</v>
      </c>
      <c r="M131" s="233">
        <f t="shared" si="84"/>
        <v>0</v>
      </c>
      <c r="N131" s="233">
        <f t="shared" si="84"/>
        <v>0</v>
      </c>
      <c r="O131" s="233" t="str">
        <f t="shared" si="84"/>
        <v/>
      </c>
      <c r="P131" s="233" t="str">
        <f t="shared" si="84"/>
        <v/>
      </c>
      <c r="Q131" s="233" t="str">
        <f t="shared" si="84"/>
        <v/>
      </c>
      <c r="R131" s="233" t="str">
        <f t="shared" si="84"/>
        <v/>
      </c>
      <c r="S131" s="233" t="str">
        <f t="shared" si="84"/>
        <v/>
      </c>
      <c r="T131" s="233" t="str">
        <f t="shared" si="84"/>
        <v/>
      </c>
      <c r="U131" s="233" t="str">
        <f t="shared" si="84"/>
        <v/>
      </c>
      <c r="V131" s="233" t="str">
        <f t="shared" si="84"/>
        <v/>
      </c>
      <c r="W131" s="233" t="str">
        <f t="shared" si="84"/>
        <v/>
      </c>
      <c r="X131" s="233" t="str">
        <f t="shared" si="84"/>
        <v/>
      </c>
      <c r="Y131" s="233" t="str">
        <f t="shared" si="84"/>
        <v/>
      </c>
      <c r="Z131" s="233" t="str">
        <f t="shared" si="84"/>
        <v/>
      </c>
      <c r="AA131" s="233" t="str">
        <f t="shared" si="84"/>
        <v/>
      </c>
      <c r="AB131" s="233" t="str">
        <f t="shared" si="84"/>
        <v/>
      </c>
    </row>
    <row r="132" spans="1:28" ht="18" customHeight="1" x14ac:dyDescent="0.25">
      <c r="A132" s="11" t="s">
        <v>269</v>
      </c>
      <c r="B132" s="244"/>
      <c r="C132" s="233">
        <f t="shared" si="73"/>
        <v>4.9565391394905612E-5</v>
      </c>
      <c r="D132" s="233">
        <f t="shared" ref="D132:AB132" si="85">IFERROR((12.011*$AD63/$B31)*D63,"")</f>
        <v>8.2205219388673884E-5</v>
      </c>
      <c r="E132" s="233">
        <f t="shared" si="85"/>
        <v>0</v>
      </c>
      <c r="F132" s="233">
        <f t="shared" si="85"/>
        <v>0</v>
      </c>
      <c r="G132" s="233">
        <f t="shared" si="85"/>
        <v>0</v>
      </c>
      <c r="H132" s="233">
        <f t="shared" si="85"/>
        <v>4.6301408595528779E-4</v>
      </c>
      <c r="I132" s="233">
        <f t="shared" si="85"/>
        <v>0</v>
      </c>
      <c r="J132" s="233">
        <f t="shared" si="85"/>
        <v>0</v>
      </c>
      <c r="K132" s="233">
        <f t="shared" si="85"/>
        <v>0</v>
      </c>
      <c r="L132" s="233">
        <f t="shared" si="85"/>
        <v>0</v>
      </c>
      <c r="M132" s="233">
        <f t="shared" si="85"/>
        <v>0</v>
      </c>
      <c r="N132" s="233">
        <f t="shared" si="85"/>
        <v>0</v>
      </c>
      <c r="O132" s="233" t="str">
        <f t="shared" si="85"/>
        <v/>
      </c>
      <c r="P132" s="233" t="str">
        <f t="shared" si="85"/>
        <v/>
      </c>
      <c r="Q132" s="233" t="str">
        <f t="shared" si="85"/>
        <v/>
      </c>
      <c r="R132" s="233" t="str">
        <f t="shared" si="85"/>
        <v/>
      </c>
      <c r="S132" s="233" t="str">
        <f t="shared" si="85"/>
        <v/>
      </c>
      <c r="T132" s="233" t="str">
        <f t="shared" si="85"/>
        <v/>
      </c>
      <c r="U132" s="233" t="str">
        <f t="shared" si="85"/>
        <v/>
      </c>
      <c r="V132" s="233" t="str">
        <f t="shared" si="85"/>
        <v/>
      </c>
      <c r="W132" s="233" t="str">
        <f t="shared" si="85"/>
        <v/>
      </c>
      <c r="X132" s="233" t="str">
        <f t="shared" si="85"/>
        <v/>
      </c>
      <c r="Y132" s="233" t="str">
        <f t="shared" si="85"/>
        <v/>
      </c>
      <c r="Z132" s="233" t="str">
        <f t="shared" si="85"/>
        <v/>
      </c>
      <c r="AA132" s="233" t="str">
        <f t="shared" si="85"/>
        <v/>
      </c>
      <c r="AB132" s="233" t="str">
        <f t="shared" si="85"/>
        <v/>
      </c>
    </row>
    <row r="133" spans="1:28" ht="18" customHeight="1" x14ac:dyDescent="0.25">
      <c r="A133" s="11" t="s">
        <v>270</v>
      </c>
      <c r="B133" s="244"/>
      <c r="C133" s="233">
        <f t="shared" si="73"/>
        <v>3.0662621533309314E-3</v>
      </c>
      <c r="D133" s="233">
        <f t="shared" ref="D133:AB133" si="86">IFERROR((12.011*$AD64/$B32)*D64,"")</f>
        <v>2.2514671366056097E-3</v>
      </c>
      <c r="E133" s="233">
        <f t="shared" si="86"/>
        <v>1.7614127527730498E-3</v>
      </c>
      <c r="F133" s="233">
        <f t="shared" si="86"/>
        <v>1.4150729937972876E-3</v>
      </c>
      <c r="G133" s="233">
        <f t="shared" si="86"/>
        <v>1.3210814329688177E-3</v>
      </c>
      <c r="H133" s="233">
        <f t="shared" si="86"/>
        <v>2.3115818049360783E-2</v>
      </c>
      <c r="I133" s="233">
        <f t="shared" si="86"/>
        <v>2.7973279414106873E-3</v>
      </c>
      <c r="J133" s="233">
        <f t="shared" si="86"/>
        <v>2.6320834061858744E-4</v>
      </c>
      <c r="K133" s="233">
        <f t="shared" si="86"/>
        <v>1.8825960706289079E-4</v>
      </c>
      <c r="L133" s="233">
        <f t="shared" si="86"/>
        <v>1.7719684108640535E-4</v>
      </c>
      <c r="M133" s="233">
        <f t="shared" si="86"/>
        <v>1.800869805466569E-4</v>
      </c>
      <c r="N133" s="233">
        <f t="shared" si="86"/>
        <v>2.5795161040947494E-4</v>
      </c>
      <c r="O133" s="233" t="str">
        <f t="shared" si="86"/>
        <v/>
      </c>
      <c r="P133" s="233" t="str">
        <f t="shared" si="86"/>
        <v/>
      </c>
      <c r="Q133" s="233" t="str">
        <f t="shared" si="86"/>
        <v/>
      </c>
      <c r="R133" s="233" t="str">
        <f t="shared" si="86"/>
        <v/>
      </c>
      <c r="S133" s="233" t="str">
        <f t="shared" si="86"/>
        <v/>
      </c>
      <c r="T133" s="233" t="str">
        <f t="shared" si="86"/>
        <v/>
      </c>
      <c r="U133" s="233" t="str">
        <f t="shared" si="86"/>
        <v/>
      </c>
      <c r="V133" s="233" t="str">
        <f t="shared" si="86"/>
        <v/>
      </c>
      <c r="W133" s="233" t="str">
        <f t="shared" si="86"/>
        <v/>
      </c>
      <c r="X133" s="233" t="str">
        <f t="shared" si="86"/>
        <v/>
      </c>
      <c r="Y133" s="233" t="str">
        <f t="shared" si="86"/>
        <v/>
      </c>
      <c r="Z133" s="233" t="str">
        <f t="shared" si="86"/>
        <v/>
      </c>
      <c r="AA133" s="233" t="str">
        <f t="shared" si="86"/>
        <v/>
      </c>
      <c r="AB133" s="233" t="str">
        <f t="shared" si="86"/>
        <v/>
      </c>
    </row>
    <row r="134" spans="1:28" ht="18" customHeight="1" x14ac:dyDescent="0.25">
      <c r="A134" s="11" t="s">
        <v>271</v>
      </c>
      <c r="B134" s="244"/>
      <c r="C134" s="233">
        <f t="shared" si="73"/>
        <v>0</v>
      </c>
      <c r="D134" s="233">
        <f t="shared" ref="D134:AB134" si="87">IFERROR((12.011*$AD65/$B33)*D65,"")</f>
        <v>0</v>
      </c>
      <c r="E134" s="233">
        <f t="shared" si="87"/>
        <v>0</v>
      </c>
      <c r="F134" s="233">
        <f t="shared" si="87"/>
        <v>0</v>
      </c>
      <c r="G134" s="233">
        <f t="shared" si="87"/>
        <v>0</v>
      </c>
      <c r="H134" s="233">
        <f t="shared" si="87"/>
        <v>0</v>
      </c>
      <c r="I134" s="233">
        <f t="shared" si="87"/>
        <v>0</v>
      </c>
      <c r="J134" s="233">
        <f t="shared" si="87"/>
        <v>0</v>
      </c>
      <c r="K134" s="233">
        <f t="shared" si="87"/>
        <v>0</v>
      </c>
      <c r="L134" s="233">
        <f t="shared" si="87"/>
        <v>0</v>
      </c>
      <c r="M134" s="233">
        <f t="shared" si="87"/>
        <v>0</v>
      </c>
      <c r="N134" s="233">
        <f t="shared" si="87"/>
        <v>0</v>
      </c>
      <c r="O134" s="233" t="str">
        <f t="shared" si="87"/>
        <v/>
      </c>
      <c r="P134" s="233" t="str">
        <f t="shared" si="87"/>
        <v/>
      </c>
      <c r="Q134" s="233" t="str">
        <f t="shared" si="87"/>
        <v/>
      </c>
      <c r="R134" s="233" t="str">
        <f t="shared" si="87"/>
        <v/>
      </c>
      <c r="S134" s="233" t="str">
        <f t="shared" si="87"/>
        <v/>
      </c>
      <c r="T134" s="233" t="str">
        <f t="shared" si="87"/>
        <v/>
      </c>
      <c r="U134" s="233" t="str">
        <f t="shared" si="87"/>
        <v/>
      </c>
      <c r="V134" s="233" t="str">
        <f t="shared" si="87"/>
        <v/>
      </c>
      <c r="W134" s="233" t="str">
        <f t="shared" si="87"/>
        <v/>
      </c>
      <c r="X134" s="233" t="str">
        <f t="shared" si="87"/>
        <v/>
      </c>
      <c r="Y134" s="233" t="str">
        <f t="shared" si="87"/>
        <v/>
      </c>
      <c r="Z134" s="233" t="str">
        <f t="shared" si="87"/>
        <v/>
      </c>
      <c r="AA134" s="233" t="str">
        <f t="shared" si="87"/>
        <v/>
      </c>
      <c r="AB134" s="233" t="str">
        <f t="shared" si="87"/>
        <v/>
      </c>
    </row>
    <row r="135" spans="1:28" ht="18" customHeight="1" x14ac:dyDescent="0.25">
      <c r="A135" s="11" t="s">
        <v>272</v>
      </c>
      <c r="B135" s="244"/>
      <c r="C135" s="233">
        <f t="shared" si="73"/>
        <v>0</v>
      </c>
      <c r="D135" s="233">
        <f t="shared" ref="D135:AB135" si="88">IFERROR((12.011*$AD66/$B34)*D66,"")</f>
        <v>0</v>
      </c>
      <c r="E135" s="233">
        <f t="shared" si="88"/>
        <v>0</v>
      </c>
      <c r="F135" s="233">
        <f t="shared" si="88"/>
        <v>0</v>
      </c>
      <c r="G135" s="233">
        <f t="shared" si="88"/>
        <v>0</v>
      </c>
      <c r="H135" s="233">
        <f t="shared" si="88"/>
        <v>0</v>
      </c>
      <c r="I135" s="233">
        <f t="shared" si="88"/>
        <v>0</v>
      </c>
      <c r="J135" s="233">
        <f t="shared" si="88"/>
        <v>0</v>
      </c>
      <c r="K135" s="233">
        <f t="shared" si="88"/>
        <v>0</v>
      </c>
      <c r="L135" s="233">
        <f t="shared" si="88"/>
        <v>0</v>
      </c>
      <c r="M135" s="233">
        <f t="shared" si="88"/>
        <v>0</v>
      </c>
      <c r="N135" s="233">
        <f t="shared" si="88"/>
        <v>0</v>
      </c>
      <c r="O135" s="233" t="str">
        <f t="shared" si="88"/>
        <v/>
      </c>
      <c r="P135" s="233" t="str">
        <f t="shared" si="88"/>
        <v/>
      </c>
      <c r="Q135" s="233" t="str">
        <f t="shared" si="88"/>
        <v/>
      </c>
      <c r="R135" s="233" t="str">
        <f t="shared" si="88"/>
        <v/>
      </c>
      <c r="S135" s="233" t="str">
        <f t="shared" si="88"/>
        <v/>
      </c>
      <c r="T135" s="233" t="str">
        <f t="shared" si="88"/>
        <v/>
      </c>
      <c r="U135" s="233" t="str">
        <f t="shared" si="88"/>
        <v/>
      </c>
      <c r="V135" s="233" t="str">
        <f t="shared" si="88"/>
        <v/>
      </c>
      <c r="W135" s="233" t="str">
        <f t="shared" si="88"/>
        <v/>
      </c>
      <c r="X135" s="233" t="str">
        <f t="shared" si="88"/>
        <v/>
      </c>
      <c r="Y135" s="233" t="str">
        <f t="shared" si="88"/>
        <v/>
      </c>
      <c r="Z135" s="233" t="str">
        <f t="shared" si="88"/>
        <v/>
      </c>
      <c r="AA135" s="233" t="str">
        <f t="shared" si="88"/>
        <v/>
      </c>
      <c r="AB135" s="233" t="str">
        <f t="shared" si="88"/>
        <v/>
      </c>
    </row>
    <row r="136" spans="1:28" ht="18" customHeight="1" x14ac:dyDescent="0.25">
      <c r="A136" s="11" t="s">
        <v>273</v>
      </c>
      <c r="B136" s="244"/>
      <c r="C136" s="233">
        <f t="shared" si="73"/>
        <v>0</v>
      </c>
      <c r="D136" s="233">
        <f t="shared" ref="D136:AB136" si="89">IFERROR((12.011*$AD67/$B35)*D67,"")</f>
        <v>0</v>
      </c>
      <c r="E136" s="233">
        <f t="shared" si="89"/>
        <v>0</v>
      </c>
      <c r="F136" s="233">
        <f t="shared" si="89"/>
        <v>0</v>
      </c>
      <c r="G136" s="233">
        <f t="shared" si="89"/>
        <v>0</v>
      </c>
      <c r="H136" s="233">
        <f t="shared" si="89"/>
        <v>0</v>
      </c>
      <c r="I136" s="233">
        <f t="shared" si="89"/>
        <v>0</v>
      </c>
      <c r="J136" s="233">
        <f t="shared" si="89"/>
        <v>0</v>
      </c>
      <c r="K136" s="233">
        <f t="shared" si="89"/>
        <v>0</v>
      </c>
      <c r="L136" s="233">
        <f t="shared" si="89"/>
        <v>0</v>
      </c>
      <c r="M136" s="233">
        <f t="shared" si="89"/>
        <v>0</v>
      </c>
      <c r="N136" s="233">
        <f t="shared" si="89"/>
        <v>0</v>
      </c>
      <c r="O136" s="233" t="str">
        <f t="shared" si="89"/>
        <v/>
      </c>
      <c r="P136" s="233" t="str">
        <f t="shared" si="89"/>
        <v/>
      </c>
      <c r="Q136" s="233" t="str">
        <f t="shared" si="89"/>
        <v/>
      </c>
      <c r="R136" s="233" t="str">
        <f t="shared" si="89"/>
        <v/>
      </c>
      <c r="S136" s="233" t="str">
        <f t="shared" si="89"/>
        <v/>
      </c>
      <c r="T136" s="233" t="str">
        <f t="shared" si="89"/>
        <v/>
      </c>
      <c r="U136" s="233" t="str">
        <f t="shared" si="89"/>
        <v/>
      </c>
      <c r="V136" s="233" t="str">
        <f t="shared" si="89"/>
        <v/>
      </c>
      <c r="W136" s="233" t="str">
        <f t="shared" si="89"/>
        <v/>
      </c>
      <c r="X136" s="233" t="str">
        <f t="shared" si="89"/>
        <v/>
      </c>
      <c r="Y136" s="233" t="str">
        <f t="shared" si="89"/>
        <v/>
      </c>
      <c r="Z136" s="233" t="str">
        <f t="shared" si="89"/>
        <v/>
      </c>
      <c r="AA136" s="233" t="str">
        <f t="shared" si="89"/>
        <v/>
      </c>
      <c r="AB136" s="233" t="str">
        <f t="shared" si="89"/>
        <v/>
      </c>
    </row>
    <row r="137" spans="1:28" ht="18" customHeight="1" x14ac:dyDescent="0.25">
      <c r="A137" s="11" t="s">
        <v>274</v>
      </c>
      <c r="B137" s="244"/>
      <c r="C137" s="233">
        <f t="shared" si="73"/>
        <v>0</v>
      </c>
      <c r="D137" s="233">
        <f t="shared" ref="D137:AB137" si="90">IFERROR((12.011*$AD68/$B36)*D68,"")</f>
        <v>0</v>
      </c>
      <c r="E137" s="233">
        <f t="shared" si="90"/>
        <v>0</v>
      </c>
      <c r="F137" s="233">
        <f t="shared" si="90"/>
        <v>0</v>
      </c>
      <c r="G137" s="233">
        <f t="shared" si="90"/>
        <v>0</v>
      </c>
      <c r="H137" s="233">
        <f t="shared" si="90"/>
        <v>0</v>
      </c>
      <c r="I137" s="233">
        <f t="shared" si="90"/>
        <v>0</v>
      </c>
      <c r="J137" s="233">
        <f t="shared" si="90"/>
        <v>0</v>
      </c>
      <c r="K137" s="233">
        <f t="shared" si="90"/>
        <v>0</v>
      </c>
      <c r="L137" s="233">
        <f t="shared" si="90"/>
        <v>0</v>
      </c>
      <c r="M137" s="233">
        <f t="shared" si="90"/>
        <v>0</v>
      </c>
      <c r="N137" s="233">
        <f t="shared" si="90"/>
        <v>0</v>
      </c>
      <c r="O137" s="233" t="str">
        <f t="shared" si="90"/>
        <v/>
      </c>
      <c r="P137" s="233" t="str">
        <f t="shared" si="90"/>
        <v/>
      </c>
      <c r="Q137" s="233" t="str">
        <f t="shared" si="90"/>
        <v/>
      </c>
      <c r="R137" s="233" t="str">
        <f t="shared" si="90"/>
        <v/>
      </c>
      <c r="S137" s="233" t="str">
        <f t="shared" si="90"/>
        <v/>
      </c>
      <c r="T137" s="233" t="str">
        <f t="shared" si="90"/>
        <v/>
      </c>
      <c r="U137" s="233" t="str">
        <f t="shared" si="90"/>
        <v/>
      </c>
      <c r="V137" s="233" t="str">
        <f t="shared" si="90"/>
        <v/>
      </c>
      <c r="W137" s="233" t="str">
        <f t="shared" si="90"/>
        <v/>
      </c>
      <c r="X137" s="233" t="str">
        <f t="shared" si="90"/>
        <v/>
      </c>
      <c r="Y137" s="233" t="str">
        <f t="shared" si="90"/>
        <v/>
      </c>
      <c r="Z137" s="233" t="str">
        <f t="shared" si="90"/>
        <v/>
      </c>
      <c r="AA137" s="233" t="str">
        <f t="shared" si="90"/>
        <v/>
      </c>
      <c r="AB137" s="233" t="str">
        <f t="shared" si="90"/>
        <v/>
      </c>
    </row>
    <row r="138" spans="1:28" ht="18" customHeight="1" x14ac:dyDescent="0.25">
      <c r="A138" s="11" t="s">
        <v>275</v>
      </c>
      <c r="B138" s="244"/>
      <c r="C138" s="233">
        <f t="shared" si="73"/>
        <v>3.3661235175210088E-4</v>
      </c>
      <c r="D138" s="233">
        <f t="shared" ref="D138:AB138" si="91">IFERROR((12.011*$AD69/$B37)*D69,"")</f>
        <v>8.0217000129040826E-4</v>
      </c>
      <c r="E138" s="233">
        <f t="shared" si="91"/>
        <v>4.6027444135830146E-4</v>
      </c>
      <c r="F138" s="233">
        <f t="shared" si="91"/>
        <v>1.8411195690796179E-4</v>
      </c>
      <c r="G138" s="233">
        <f t="shared" si="91"/>
        <v>1.4639431937694977E-4</v>
      </c>
      <c r="H138" s="233">
        <f t="shared" si="91"/>
        <v>1.3789956511827395E-3</v>
      </c>
      <c r="I138" s="233">
        <f t="shared" si="91"/>
        <v>5.6196909236976727E-4</v>
      </c>
      <c r="J138" s="233">
        <f t="shared" si="91"/>
        <v>0</v>
      </c>
      <c r="K138" s="233">
        <f t="shared" si="91"/>
        <v>3.994255686201309E-5</v>
      </c>
      <c r="L138" s="233">
        <f t="shared" si="91"/>
        <v>4.179140545788977E-5</v>
      </c>
      <c r="M138" s="233">
        <f t="shared" si="91"/>
        <v>4.1126246621293278E-5</v>
      </c>
      <c r="N138" s="233">
        <f t="shared" si="91"/>
        <v>4.5960197845786175E-5</v>
      </c>
      <c r="O138" s="233" t="str">
        <f t="shared" si="91"/>
        <v/>
      </c>
      <c r="P138" s="233" t="str">
        <f t="shared" si="91"/>
        <v/>
      </c>
      <c r="Q138" s="233" t="str">
        <f t="shared" si="91"/>
        <v/>
      </c>
      <c r="R138" s="233" t="str">
        <f t="shared" si="91"/>
        <v/>
      </c>
      <c r="S138" s="233" t="str">
        <f t="shared" si="91"/>
        <v/>
      </c>
      <c r="T138" s="233" t="str">
        <f t="shared" si="91"/>
        <v/>
      </c>
      <c r="U138" s="233" t="str">
        <f t="shared" si="91"/>
        <v/>
      </c>
      <c r="V138" s="233" t="str">
        <f t="shared" si="91"/>
        <v/>
      </c>
      <c r="W138" s="233" t="str">
        <f t="shared" si="91"/>
        <v/>
      </c>
      <c r="X138" s="233" t="str">
        <f t="shared" si="91"/>
        <v/>
      </c>
      <c r="Y138" s="233" t="str">
        <f t="shared" si="91"/>
        <v/>
      </c>
      <c r="Z138" s="233" t="str">
        <f t="shared" si="91"/>
        <v/>
      </c>
      <c r="AA138" s="233" t="str">
        <f t="shared" si="91"/>
        <v/>
      </c>
      <c r="AB138" s="233" t="str">
        <f t="shared" si="91"/>
        <v/>
      </c>
    </row>
    <row r="139" spans="1:28" ht="18" customHeight="1" x14ac:dyDescent="0.25">
      <c r="A139" s="11" t="s">
        <v>276</v>
      </c>
      <c r="B139" s="244"/>
      <c r="C139" s="233">
        <f t="shared" si="73"/>
        <v>0</v>
      </c>
      <c r="D139" s="233">
        <f t="shared" ref="D139:AB139" si="92">IFERROR((12.011*$AD70/$B38)*D70,"")</f>
        <v>0</v>
      </c>
      <c r="E139" s="233">
        <f t="shared" si="92"/>
        <v>0</v>
      </c>
      <c r="F139" s="233">
        <f t="shared" si="92"/>
        <v>0</v>
      </c>
      <c r="G139" s="233">
        <f t="shared" si="92"/>
        <v>0</v>
      </c>
      <c r="H139" s="233">
        <f t="shared" si="92"/>
        <v>0</v>
      </c>
      <c r="I139" s="233">
        <f t="shared" si="92"/>
        <v>0</v>
      </c>
      <c r="J139" s="233">
        <f t="shared" si="92"/>
        <v>0</v>
      </c>
      <c r="K139" s="233">
        <f t="shared" si="92"/>
        <v>0</v>
      </c>
      <c r="L139" s="233">
        <f t="shared" si="92"/>
        <v>0</v>
      </c>
      <c r="M139" s="233">
        <f t="shared" si="92"/>
        <v>0</v>
      </c>
      <c r="N139" s="233">
        <f t="shared" si="92"/>
        <v>0</v>
      </c>
      <c r="O139" s="233" t="str">
        <f t="shared" si="92"/>
        <v/>
      </c>
      <c r="P139" s="233" t="str">
        <f t="shared" si="92"/>
        <v/>
      </c>
      <c r="Q139" s="233" t="str">
        <f t="shared" si="92"/>
        <v/>
      </c>
      <c r="R139" s="233" t="str">
        <f t="shared" si="92"/>
        <v/>
      </c>
      <c r="S139" s="233" t="str">
        <f t="shared" si="92"/>
        <v/>
      </c>
      <c r="T139" s="233" t="str">
        <f t="shared" si="92"/>
        <v/>
      </c>
      <c r="U139" s="233" t="str">
        <f t="shared" si="92"/>
        <v/>
      </c>
      <c r="V139" s="233" t="str">
        <f t="shared" si="92"/>
        <v/>
      </c>
      <c r="W139" s="233" t="str">
        <f t="shared" si="92"/>
        <v/>
      </c>
      <c r="X139" s="233" t="str">
        <f t="shared" si="92"/>
        <v/>
      </c>
      <c r="Y139" s="233" t="str">
        <f t="shared" si="92"/>
        <v/>
      </c>
      <c r="Z139" s="233" t="str">
        <f t="shared" si="92"/>
        <v/>
      </c>
      <c r="AA139" s="233" t="str">
        <f t="shared" si="92"/>
        <v/>
      </c>
      <c r="AB139" s="233" t="str">
        <f t="shared" si="92"/>
        <v/>
      </c>
    </row>
    <row r="140" spans="1:28" ht="18" customHeight="1" x14ac:dyDescent="0.25">
      <c r="A140" s="11" t="s">
        <v>277</v>
      </c>
      <c r="B140" s="244"/>
      <c r="C140" s="233">
        <f t="shared" si="73"/>
        <v>8.8680663427913205E-3</v>
      </c>
      <c r="D140" s="233">
        <f t="shared" ref="D140:AB140" si="93">IFERROR((12.011*$AD71/$B39)*D71,"")</f>
        <v>6.1845089470316276E-5</v>
      </c>
      <c r="E140" s="233">
        <f t="shared" si="93"/>
        <v>2.7510986922020151E-4</v>
      </c>
      <c r="F140" s="233">
        <f t="shared" si="93"/>
        <v>3.3140152243433125E-4</v>
      </c>
      <c r="G140" s="233">
        <f t="shared" si="93"/>
        <v>3.5774316176441143E-4</v>
      </c>
      <c r="H140" s="233">
        <f t="shared" si="93"/>
        <v>9.580333383031589E-2</v>
      </c>
      <c r="I140" s="233">
        <f t="shared" si="93"/>
        <v>2.2406039797129469E-4</v>
      </c>
      <c r="J140" s="233">
        <f t="shared" si="93"/>
        <v>5.6112547340665908E-5</v>
      </c>
      <c r="K140" s="233">
        <f t="shared" si="93"/>
        <v>1.4662619116438672E-4</v>
      </c>
      <c r="L140" s="233">
        <f t="shared" si="93"/>
        <v>1.0172233199642803E-4</v>
      </c>
      <c r="M140" s="233">
        <f t="shared" si="93"/>
        <v>9.4545664786994886E-5</v>
      </c>
      <c r="N140" s="233">
        <f t="shared" si="93"/>
        <v>9.6229164239614818E-5</v>
      </c>
      <c r="O140" s="233" t="str">
        <f t="shared" si="93"/>
        <v/>
      </c>
      <c r="P140" s="233" t="str">
        <f t="shared" si="93"/>
        <v/>
      </c>
      <c r="Q140" s="233" t="str">
        <f t="shared" si="93"/>
        <v/>
      </c>
      <c r="R140" s="233" t="str">
        <f t="shared" si="93"/>
        <v/>
      </c>
      <c r="S140" s="233" t="str">
        <f t="shared" si="93"/>
        <v/>
      </c>
      <c r="T140" s="233" t="str">
        <f t="shared" si="93"/>
        <v/>
      </c>
      <c r="U140" s="233" t="str">
        <f t="shared" si="93"/>
        <v/>
      </c>
      <c r="V140" s="233" t="str">
        <f t="shared" si="93"/>
        <v/>
      </c>
      <c r="W140" s="233" t="str">
        <f t="shared" si="93"/>
        <v/>
      </c>
      <c r="X140" s="233" t="str">
        <f t="shared" si="93"/>
        <v/>
      </c>
      <c r="Y140" s="233" t="str">
        <f t="shared" si="93"/>
        <v/>
      </c>
      <c r="Z140" s="233" t="str">
        <f t="shared" si="93"/>
        <v/>
      </c>
      <c r="AA140" s="233" t="str">
        <f t="shared" si="93"/>
        <v/>
      </c>
      <c r="AB140" s="233" t="str">
        <f t="shared" si="93"/>
        <v/>
      </c>
    </row>
    <row r="141" spans="1:28" ht="18" customHeight="1" x14ac:dyDescent="0.25">
      <c r="A141" s="11" t="s">
        <v>278</v>
      </c>
      <c r="B141" s="244"/>
      <c r="C141" s="233">
        <f t="shared" si="73"/>
        <v>0</v>
      </c>
      <c r="D141" s="233">
        <f t="shared" ref="D141:AB141" si="94">IFERROR((12.011*$AD72/$B40)*D72,"")</f>
        <v>0</v>
      </c>
      <c r="E141" s="233">
        <f t="shared" si="94"/>
        <v>0</v>
      </c>
      <c r="F141" s="233">
        <f t="shared" si="94"/>
        <v>0</v>
      </c>
      <c r="G141" s="233">
        <f t="shared" si="94"/>
        <v>0</v>
      </c>
      <c r="H141" s="233">
        <f t="shared" si="94"/>
        <v>0</v>
      </c>
      <c r="I141" s="233">
        <f t="shared" si="94"/>
        <v>0</v>
      </c>
      <c r="J141" s="233">
        <f t="shared" si="94"/>
        <v>0</v>
      </c>
      <c r="K141" s="233">
        <f t="shared" si="94"/>
        <v>0</v>
      </c>
      <c r="L141" s="233">
        <f t="shared" si="94"/>
        <v>0</v>
      </c>
      <c r="M141" s="233">
        <f t="shared" si="94"/>
        <v>0</v>
      </c>
      <c r="N141" s="233">
        <f t="shared" si="94"/>
        <v>0</v>
      </c>
      <c r="O141" s="233" t="str">
        <f t="shared" si="94"/>
        <v/>
      </c>
      <c r="P141" s="233" t="str">
        <f t="shared" si="94"/>
        <v/>
      </c>
      <c r="Q141" s="233" t="str">
        <f t="shared" si="94"/>
        <v/>
      </c>
      <c r="R141" s="233" t="str">
        <f t="shared" si="94"/>
        <v/>
      </c>
      <c r="S141" s="233" t="str">
        <f t="shared" si="94"/>
        <v/>
      </c>
      <c r="T141" s="233" t="str">
        <f t="shared" si="94"/>
        <v/>
      </c>
      <c r="U141" s="233" t="str">
        <f t="shared" si="94"/>
        <v/>
      </c>
      <c r="V141" s="233" t="str">
        <f t="shared" si="94"/>
        <v/>
      </c>
      <c r="W141" s="233" t="str">
        <f t="shared" si="94"/>
        <v/>
      </c>
      <c r="X141" s="233" t="str">
        <f t="shared" si="94"/>
        <v/>
      </c>
      <c r="Y141" s="233" t="str">
        <f t="shared" si="94"/>
        <v/>
      </c>
      <c r="Z141" s="233" t="str">
        <f t="shared" si="94"/>
        <v/>
      </c>
      <c r="AA141" s="233" t="str">
        <f t="shared" si="94"/>
        <v/>
      </c>
      <c r="AB141" s="233" t="str">
        <f t="shared" si="94"/>
        <v/>
      </c>
    </row>
    <row r="142" spans="1:28" ht="18" customHeight="1" x14ac:dyDescent="0.25">
      <c r="A142" s="11" t="s">
        <v>279</v>
      </c>
      <c r="B142" s="244"/>
      <c r="C142" s="233">
        <f t="shared" si="73"/>
        <v>0</v>
      </c>
      <c r="D142" s="233">
        <f t="shared" ref="D142:AB142" si="95">IFERROR((12.011*$AD73/$B41)*D73,"")</f>
        <v>0</v>
      </c>
      <c r="E142" s="233">
        <f t="shared" si="95"/>
        <v>0</v>
      </c>
      <c r="F142" s="233">
        <f t="shared" si="95"/>
        <v>0</v>
      </c>
      <c r="G142" s="233">
        <f t="shared" si="95"/>
        <v>0</v>
      </c>
      <c r="H142" s="233">
        <f t="shared" si="95"/>
        <v>0</v>
      </c>
      <c r="I142" s="233">
        <f t="shared" si="95"/>
        <v>0</v>
      </c>
      <c r="J142" s="233">
        <f t="shared" si="95"/>
        <v>0</v>
      </c>
      <c r="K142" s="233">
        <f t="shared" si="95"/>
        <v>0</v>
      </c>
      <c r="L142" s="233">
        <f t="shared" si="95"/>
        <v>0</v>
      </c>
      <c r="M142" s="233">
        <f t="shared" si="95"/>
        <v>0</v>
      </c>
      <c r="N142" s="233">
        <f t="shared" si="95"/>
        <v>0</v>
      </c>
      <c r="O142" s="233" t="str">
        <f t="shared" si="95"/>
        <v/>
      </c>
      <c r="P142" s="233" t="str">
        <f t="shared" si="95"/>
        <v/>
      </c>
      <c r="Q142" s="233" t="str">
        <f t="shared" si="95"/>
        <v/>
      </c>
      <c r="R142" s="233" t="str">
        <f t="shared" si="95"/>
        <v/>
      </c>
      <c r="S142" s="233" t="str">
        <f t="shared" si="95"/>
        <v/>
      </c>
      <c r="T142" s="233" t="str">
        <f t="shared" si="95"/>
        <v/>
      </c>
      <c r="U142" s="233" t="str">
        <f t="shared" si="95"/>
        <v/>
      </c>
      <c r="V142" s="233" t="str">
        <f t="shared" si="95"/>
        <v/>
      </c>
      <c r="W142" s="233" t="str">
        <f t="shared" si="95"/>
        <v/>
      </c>
      <c r="X142" s="233" t="str">
        <f t="shared" si="95"/>
        <v/>
      </c>
      <c r="Y142" s="233" t="str">
        <f t="shared" si="95"/>
        <v/>
      </c>
      <c r="Z142" s="233" t="str">
        <f t="shared" si="95"/>
        <v/>
      </c>
      <c r="AA142" s="233" t="str">
        <f t="shared" si="95"/>
        <v/>
      </c>
      <c r="AB142" s="233" t="str">
        <f t="shared" si="95"/>
        <v/>
      </c>
    </row>
    <row r="143" spans="1:28" ht="18" customHeight="1" x14ac:dyDescent="0.25">
      <c r="A143" s="11" t="s">
        <v>280</v>
      </c>
      <c r="B143" s="244"/>
      <c r="C143" s="233">
        <f t="shared" si="73"/>
        <v>0</v>
      </c>
      <c r="D143" s="233">
        <f t="shared" ref="D143:AB143" si="96">IFERROR((12.011*$AD74/$B42)*D74,"")</f>
        <v>0</v>
      </c>
      <c r="E143" s="233">
        <f t="shared" si="96"/>
        <v>0</v>
      </c>
      <c r="F143" s="233">
        <f t="shared" si="96"/>
        <v>0</v>
      </c>
      <c r="G143" s="233">
        <f t="shared" si="96"/>
        <v>0</v>
      </c>
      <c r="H143" s="233">
        <f t="shared" si="96"/>
        <v>0</v>
      </c>
      <c r="I143" s="233">
        <f t="shared" si="96"/>
        <v>0</v>
      </c>
      <c r="J143" s="233">
        <f t="shared" si="96"/>
        <v>0</v>
      </c>
      <c r="K143" s="233">
        <f t="shared" si="96"/>
        <v>0</v>
      </c>
      <c r="L143" s="233">
        <f t="shared" si="96"/>
        <v>0</v>
      </c>
      <c r="M143" s="233">
        <f t="shared" si="96"/>
        <v>0</v>
      </c>
      <c r="N143" s="233">
        <f t="shared" si="96"/>
        <v>0</v>
      </c>
      <c r="O143" s="233" t="str">
        <f t="shared" si="96"/>
        <v/>
      </c>
      <c r="P143" s="233" t="str">
        <f t="shared" si="96"/>
        <v/>
      </c>
      <c r="Q143" s="233" t="str">
        <f t="shared" si="96"/>
        <v/>
      </c>
      <c r="R143" s="233" t="str">
        <f t="shared" si="96"/>
        <v/>
      </c>
      <c r="S143" s="233" t="str">
        <f t="shared" si="96"/>
        <v/>
      </c>
      <c r="T143" s="233" t="str">
        <f t="shared" si="96"/>
        <v/>
      </c>
      <c r="U143" s="233" t="str">
        <f t="shared" si="96"/>
        <v/>
      </c>
      <c r="V143" s="233" t="str">
        <f t="shared" si="96"/>
        <v/>
      </c>
      <c r="W143" s="233" t="str">
        <f t="shared" si="96"/>
        <v/>
      </c>
      <c r="X143" s="233" t="str">
        <f t="shared" si="96"/>
        <v/>
      </c>
      <c r="Y143" s="233" t="str">
        <f t="shared" si="96"/>
        <v/>
      </c>
      <c r="Z143" s="233" t="str">
        <f t="shared" si="96"/>
        <v/>
      </c>
      <c r="AA143" s="233" t="str">
        <f t="shared" si="96"/>
        <v/>
      </c>
      <c r="AB143" s="233" t="str">
        <f t="shared" si="96"/>
        <v/>
      </c>
    </row>
    <row r="144" spans="1:28" ht="18" customHeight="1" x14ac:dyDescent="0.25">
      <c r="A144" s="11" t="s">
        <v>281</v>
      </c>
      <c r="B144" s="244"/>
      <c r="C144" s="233">
        <f t="shared" si="73"/>
        <v>0</v>
      </c>
      <c r="D144" s="233">
        <f t="shared" ref="D144:AB144" si="97">IFERROR((12.011*$AD75/$B43)*D75,"")</f>
        <v>0</v>
      </c>
      <c r="E144" s="233">
        <f t="shared" si="97"/>
        <v>0</v>
      </c>
      <c r="F144" s="233">
        <f t="shared" si="97"/>
        <v>0</v>
      </c>
      <c r="G144" s="233">
        <f t="shared" si="97"/>
        <v>0</v>
      </c>
      <c r="H144" s="233">
        <f t="shared" si="97"/>
        <v>0</v>
      </c>
      <c r="I144" s="233">
        <f t="shared" si="97"/>
        <v>0</v>
      </c>
      <c r="J144" s="233">
        <f t="shared" si="97"/>
        <v>0</v>
      </c>
      <c r="K144" s="233">
        <f t="shared" si="97"/>
        <v>0</v>
      </c>
      <c r="L144" s="233">
        <f t="shared" si="97"/>
        <v>0</v>
      </c>
      <c r="M144" s="233">
        <f t="shared" si="97"/>
        <v>0</v>
      </c>
      <c r="N144" s="233">
        <f t="shared" si="97"/>
        <v>0</v>
      </c>
      <c r="O144" s="233" t="str">
        <f t="shared" si="97"/>
        <v/>
      </c>
      <c r="P144" s="233" t="str">
        <f t="shared" si="97"/>
        <v/>
      </c>
      <c r="Q144" s="233" t="str">
        <f t="shared" si="97"/>
        <v/>
      </c>
      <c r="R144" s="233" t="str">
        <f t="shared" si="97"/>
        <v/>
      </c>
      <c r="S144" s="233" t="str">
        <f t="shared" si="97"/>
        <v/>
      </c>
      <c r="T144" s="233" t="str">
        <f t="shared" si="97"/>
        <v/>
      </c>
      <c r="U144" s="233" t="str">
        <f t="shared" si="97"/>
        <v/>
      </c>
      <c r="V144" s="233" t="str">
        <f t="shared" si="97"/>
        <v/>
      </c>
      <c r="W144" s="233" t="str">
        <f t="shared" si="97"/>
        <v/>
      </c>
      <c r="X144" s="233" t="str">
        <f t="shared" si="97"/>
        <v/>
      </c>
      <c r="Y144" s="233" t="str">
        <f t="shared" si="97"/>
        <v/>
      </c>
      <c r="Z144" s="233" t="str">
        <f t="shared" si="97"/>
        <v/>
      </c>
      <c r="AA144" s="233" t="str">
        <f t="shared" si="97"/>
        <v/>
      </c>
      <c r="AB144" s="233" t="str">
        <f t="shared" si="97"/>
        <v/>
      </c>
    </row>
    <row r="145" spans="1:28" ht="18" customHeight="1" x14ac:dyDescent="0.25">
      <c r="A145" s="11" t="s">
        <v>282</v>
      </c>
      <c r="B145" s="244"/>
      <c r="C145" s="233">
        <f t="shared" si="73"/>
        <v>0</v>
      </c>
      <c r="D145" s="233">
        <f t="shared" ref="D145:AB145" si="98">IFERROR((12.011*$AD76/$B44)*D76,"")</f>
        <v>0</v>
      </c>
      <c r="E145" s="233">
        <f t="shared" si="98"/>
        <v>0</v>
      </c>
      <c r="F145" s="233">
        <f t="shared" si="98"/>
        <v>0</v>
      </c>
      <c r="G145" s="233">
        <f t="shared" si="98"/>
        <v>0</v>
      </c>
      <c r="H145" s="233">
        <f t="shared" si="98"/>
        <v>0</v>
      </c>
      <c r="I145" s="233">
        <f t="shared" si="98"/>
        <v>0</v>
      </c>
      <c r="J145" s="233">
        <f t="shared" si="98"/>
        <v>0</v>
      </c>
      <c r="K145" s="233">
        <f t="shared" si="98"/>
        <v>0</v>
      </c>
      <c r="L145" s="233">
        <f t="shared" si="98"/>
        <v>0</v>
      </c>
      <c r="M145" s="233">
        <f t="shared" si="98"/>
        <v>0</v>
      </c>
      <c r="N145" s="233">
        <f t="shared" si="98"/>
        <v>0</v>
      </c>
      <c r="O145" s="233" t="str">
        <f t="shared" si="98"/>
        <v/>
      </c>
      <c r="P145" s="233" t="str">
        <f t="shared" si="98"/>
        <v/>
      </c>
      <c r="Q145" s="233" t="str">
        <f t="shared" si="98"/>
        <v/>
      </c>
      <c r="R145" s="233" t="str">
        <f t="shared" si="98"/>
        <v/>
      </c>
      <c r="S145" s="233" t="str">
        <f t="shared" si="98"/>
        <v/>
      </c>
      <c r="T145" s="233" t="str">
        <f t="shared" si="98"/>
        <v/>
      </c>
      <c r="U145" s="233" t="str">
        <f t="shared" si="98"/>
        <v/>
      </c>
      <c r="V145" s="233" t="str">
        <f t="shared" si="98"/>
        <v/>
      </c>
      <c r="W145" s="233" t="str">
        <f t="shared" si="98"/>
        <v/>
      </c>
      <c r="X145" s="233" t="str">
        <f t="shared" si="98"/>
        <v/>
      </c>
      <c r="Y145" s="233" t="str">
        <f t="shared" si="98"/>
        <v/>
      </c>
      <c r="Z145" s="233" t="str">
        <f t="shared" si="98"/>
        <v/>
      </c>
      <c r="AA145" s="233" t="str">
        <f t="shared" si="98"/>
        <v/>
      </c>
      <c r="AB145" s="233" t="str">
        <f t="shared" si="98"/>
        <v/>
      </c>
    </row>
    <row r="146" spans="1:28" ht="18" customHeight="1" x14ac:dyDescent="0.25">
      <c r="A146" s="11" t="s">
        <v>283</v>
      </c>
      <c r="B146" s="244"/>
      <c r="C146" s="233">
        <f t="shared" si="73"/>
        <v>0</v>
      </c>
      <c r="D146" s="233">
        <f t="shared" ref="D146:AB146" si="99">IFERROR((12.011*$AD77/$B45)*D77,"")</f>
        <v>0</v>
      </c>
      <c r="E146" s="233">
        <f t="shared" si="99"/>
        <v>0</v>
      </c>
      <c r="F146" s="233">
        <f t="shared" si="99"/>
        <v>0</v>
      </c>
      <c r="G146" s="233">
        <f t="shared" si="99"/>
        <v>0</v>
      </c>
      <c r="H146" s="233">
        <f t="shared" si="99"/>
        <v>0</v>
      </c>
      <c r="I146" s="233">
        <f t="shared" si="99"/>
        <v>0</v>
      </c>
      <c r="J146" s="233">
        <f t="shared" si="99"/>
        <v>0</v>
      </c>
      <c r="K146" s="233">
        <f t="shared" si="99"/>
        <v>0</v>
      </c>
      <c r="L146" s="233">
        <f t="shared" si="99"/>
        <v>0</v>
      </c>
      <c r="M146" s="233">
        <f t="shared" si="99"/>
        <v>0</v>
      </c>
      <c r="N146" s="233">
        <f t="shared" si="99"/>
        <v>0</v>
      </c>
      <c r="O146" s="233" t="str">
        <f t="shared" si="99"/>
        <v/>
      </c>
      <c r="P146" s="233" t="str">
        <f t="shared" si="99"/>
        <v/>
      </c>
      <c r="Q146" s="233" t="str">
        <f t="shared" si="99"/>
        <v/>
      </c>
      <c r="R146" s="233" t="str">
        <f t="shared" si="99"/>
        <v/>
      </c>
      <c r="S146" s="233" t="str">
        <f t="shared" si="99"/>
        <v/>
      </c>
      <c r="T146" s="233" t="str">
        <f t="shared" si="99"/>
        <v/>
      </c>
      <c r="U146" s="233" t="str">
        <f t="shared" si="99"/>
        <v/>
      </c>
      <c r="V146" s="233" t="str">
        <f t="shared" si="99"/>
        <v/>
      </c>
      <c r="W146" s="233" t="str">
        <f t="shared" si="99"/>
        <v/>
      </c>
      <c r="X146" s="233" t="str">
        <f t="shared" si="99"/>
        <v/>
      </c>
      <c r="Y146" s="233" t="str">
        <f t="shared" si="99"/>
        <v/>
      </c>
      <c r="Z146" s="233" t="str">
        <f t="shared" si="99"/>
        <v/>
      </c>
      <c r="AA146" s="233" t="str">
        <f t="shared" si="99"/>
        <v/>
      </c>
      <c r="AB146" s="233" t="str">
        <f t="shared" si="99"/>
        <v/>
      </c>
    </row>
    <row r="147" spans="1:28" ht="18" customHeight="1" x14ac:dyDescent="0.25">
      <c r="A147" s="11" t="s">
        <v>284</v>
      </c>
      <c r="B147" s="244"/>
      <c r="C147" s="233">
        <f t="shared" si="73"/>
        <v>0.25903367215517797</v>
      </c>
      <c r="D147" s="233">
        <f t="shared" ref="D147:AB147" si="100">IFERROR((12.011*$AD78/$B46)*D78,"")</f>
        <v>0.26464431424006624</v>
      </c>
      <c r="E147" s="233">
        <f t="shared" si="100"/>
        <v>0.26573743501753438</v>
      </c>
      <c r="F147" s="233">
        <f t="shared" si="100"/>
        <v>0.26702556207396888</v>
      </c>
      <c r="G147" s="233">
        <f t="shared" si="100"/>
        <v>0.27085870606152845</v>
      </c>
      <c r="H147" s="233">
        <f t="shared" si="100"/>
        <v>0.22291331801375067</v>
      </c>
      <c r="I147" s="233">
        <f t="shared" si="100"/>
        <v>0.27414319031662471</v>
      </c>
      <c r="J147" s="233">
        <f t="shared" si="100"/>
        <v>0.27373921312720262</v>
      </c>
      <c r="K147" s="233">
        <f t="shared" si="100"/>
        <v>0.2528259845583184</v>
      </c>
      <c r="L147" s="233">
        <f t="shared" si="100"/>
        <v>0.25305885008695883</v>
      </c>
      <c r="M147" s="233">
        <f t="shared" si="100"/>
        <v>0.2521939033484854</v>
      </c>
      <c r="N147" s="233">
        <f t="shared" si="100"/>
        <v>0.25222991686251917</v>
      </c>
      <c r="O147" s="233" t="str">
        <f t="shared" si="100"/>
        <v/>
      </c>
      <c r="P147" s="233" t="str">
        <f t="shared" si="100"/>
        <v/>
      </c>
      <c r="Q147" s="233" t="str">
        <f t="shared" si="100"/>
        <v/>
      </c>
      <c r="R147" s="233" t="str">
        <f t="shared" si="100"/>
        <v/>
      </c>
      <c r="S147" s="233" t="str">
        <f t="shared" si="100"/>
        <v/>
      </c>
      <c r="T147" s="233" t="str">
        <f t="shared" si="100"/>
        <v/>
      </c>
      <c r="U147" s="233" t="str">
        <f t="shared" si="100"/>
        <v/>
      </c>
      <c r="V147" s="233" t="str">
        <f t="shared" si="100"/>
        <v/>
      </c>
      <c r="W147" s="233" t="str">
        <f t="shared" si="100"/>
        <v/>
      </c>
      <c r="X147" s="233" t="str">
        <f t="shared" si="100"/>
        <v/>
      </c>
      <c r="Y147" s="233" t="str">
        <f t="shared" si="100"/>
        <v/>
      </c>
      <c r="Z147" s="233" t="str">
        <f t="shared" si="100"/>
        <v/>
      </c>
      <c r="AA147" s="233" t="str">
        <f t="shared" si="100"/>
        <v/>
      </c>
      <c r="AB147" s="233" t="str">
        <f t="shared" si="100"/>
        <v/>
      </c>
    </row>
    <row r="148" spans="1:28" ht="18" customHeight="1" x14ac:dyDescent="0.25">
      <c r="A148" s="11" t="s">
        <v>285</v>
      </c>
      <c r="B148" s="244"/>
      <c r="C148" s="233">
        <f t="shared" si="73"/>
        <v>0</v>
      </c>
      <c r="D148" s="233">
        <f t="shared" ref="D148:AB148" si="101">IFERROR((12.011*$AD79/$B47)*D79,"")</f>
        <v>0</v>
      </c>
      <c r="E148" s="233">
        <f t="shared" si="101"/>
        <v>0</v>
      </c>
      <c r="F148" s="233">
        <f t="shared" si="101"/>
        <v>0</v>
      </c>
      <c r="G148" s="233">
        <f t="shared" si="101"/>
        <v>0</v>
      </c>
      <c r="H148" s="233">
        <f t="shared" si="101"/>
        <v>0</v>
      </c>
      <c r="I148" s="233">
        <f t="shared" si="101"/>
        <v>0</v>
      </c>
      <c r="J148" s="233">
        <f t="shared" si="101"/>
        <v>0</v>
      </c>
      <c r="K148" s="233">
        <f t="shared" si="101"/>
        <v>0</v>
      </c>
      <c r="L148" s="233">
        <f t="shared" si="101"/>
        <v>0</v>
      </c>
      <c r="M148" s="233">
        <f t="shared" si="101"/>
        <v>0</v>
      </c>
      <c r="N148" s="233">
        <f t="shared" si="101"/>
        <v>0</v>
      </c>
      <c r="O148" s="233" t="str">
        <f t="shared" si="101"/>
        <v/>
      </c>
      <c r="P148" s="233" t="str">
        <f t="shared" si="101"/>
        <v/>
      </c>
      <c r="Q148" s="233" t="str">
        <f t="shared" si="101"/>
        <v/>
      </c>
      <c r="R148" s="233" t="str">
        <f t="shared" si="101"/>
        <v/>
      </c>
      <c r="S148" s="233" t="str">
        <f t="shared" si="101"/>
        <v/>
      </c>
      <c r="T148" s="233" t="str">
        <f t="shared" si="101"/>
        <v/>
      </c>
      <c r="U148" s="233" t="str">
        <f t="shared" si="101"/>
        <v/>
      </c>
      <c r="V148" s="233" t="str">
        <f t="shared" si="101"/>
        <v/>
      </c>
      <c r="W148" s="233" t="str">
        <f t="shared" si="101"/>
        <v/>
      </c>
      <c r="X148" s="233" t="str">
        <f t="shared" si="101"/>
        <v/>
      </c>
      <c r="Y148" s="233" t="str">
        <f t="shared" si="101"/>
        <v/>
      </c>
      <c r="Z148" s="233" t="str">
        <f t="shared" si="101"/>
        <v/>
      </c>
      <c r="AA148" s="233" t="str">
        <f t="shared" si="101"/>
        <v/>
      </c>
      <c r="AB148" s="233" t="str">
        <f t="shared" si="101"/>
        <v/>
      </c>
    </row>
    <row r="149" spans="1:28" ht="18" customHeight="1" x14ac:dyDescent="0.25">
      <c r="A149" s="11" t="s">
        <v>286</v>
      </c>
      <c r="B149" s="244"/>
      <c r="C149" s="233">
        <f t="shared" si="73"/>
        <v>0</v>
      </c>
      <c r="D149" s="233">
        <f t="shared" ref="D149:AB149" si="102">IFERROR((12.011*$AD80/$B48)*D80,"")</f>
        <v>0</v>
      </c>
      <c r="E149" s="233">
        <f t="shared" si="102"/>
        <v>0</v>
      </c>
      <c r="F149" s="233">
        <f t="shared" si="102"/>
        <v>0</v>
      </c>
      <c r="G149" s="233">
        <f t="shared" si="102"/>
        <v>0</v>
      </c>
      <c r="H149" s="233">
        <f t="shared" si="102"/>
        <v>0</v>
      </c>
      <c r="I149" s="233">
        <f t="shared" si="102"/>
        <v>0</v>
      </c>
      <c r="J149" s="233">
        <f t="shared" si="102"/>
        <v>0</v>
      </c>
      <c r="K149" s="233">
        <f t="shared" si="102"/>
        <v>0</v>
      </c>
      <c r="L149" s="233">
        <f t="shared" si="102"/>
        <v>0</v>
      </c>
      <c r="M149" s="233">
        <f t="shared" si="102"/>
        <v>0</v>
      </c>
      <c r="N149" s="233">
        <f t="shared" si="102"/>
        <v>0</v>
      </c>
      <c r="O149" s="233" t="str">
        <f t="shared" si="102"/>
        <v/>
      </c>
      <c r="P149" s="233" t="str">
        <f t="shared" si="102"/>
        <v/>
      </c>
      <c r="Q149" s="233" t="str">
        <f t="shared" si="102"/>
        <v/>
      </c>
      <c r="R149" s="233" t="str">
        <f t="shared" si="102"/>
        <v/>
      </c>
      <c r="S149" s="233" t="str">
        <f t="shared" si="102"/>
        <v/>
      </c>
      <c r="T149" s="233" t="str">
        <f t="shared" si="102"/>
        <v/>
      </c>
      <c r="U149" s="233" t="str">
        <f t="shared" si="102"/>
        <v/>
      </c>
      <c r="V149" s="233" t="str">
        <f t="shared" si="102"/>
        <v/>
      </c>
      <c r="W149" s="233" t="str">
        <f t="shared" si="102"/>
        <v/>
      </c>
      <c r="X149" s="233" t="str">
        <f t="shared" si="102"/>
        <v/>
      </c>
      <c r="Y149" s="233" t="str">
        <f t="shared" si="102"/>
        <v/>
      </c>
      <c r="Z149" s="233" t="str">
        <f t="shared" si="102"/>
        <v/>
      </c>
      <c r="AA149" s="233" t="str">
        <f t="shared" si="102"/>
        <v/>
      </c>
      <c r="AB149" s="233" t="str">
        <f t="shared" si="102"/>
        <v/>
      </c>
    </row>
    <row r="150" spans="1:28" ht="18" customHeight="1" x14ac:dyDescent="0.25">
      <c r="A150" s="252" t="s">
        <v>44</v>
      </c>
      <c r="B150" s="244"/>
      <c r="C150" s="253">
        <f>SUM(C121:C149)</f>
        <v>0.38005293890462982</v>
      </c>
      <c r="D150" s="253">
        <f t="shared" ref="D150:AB150" si="103">IF(SUM(D121:D149)=0,"",SUM(D121:D149))</f>
        <v>0.36114361933095251</v>
      </c>
      <c r="E150" s="253">
        <f t="shared" si="103"/>
        <v>0.36188667220784543</v>
      </c>
      <c r="F150" s="253">
        <f t="shared" si="103"/>
        <v>0.36296825261547361</v>
      </c>
      <c r="G150" s="253">
        <f t="shared" si="103"/>
        <v>0.36781004669849748</v>
      </c>
      <c r="H150" s="253">
        <f t="shared" si="103"/>
        <v>0.59485910706490397</v>
      </c>
      <c r="I150" s="253">
        <f t="shared" si="103"/>
        <v>0.37367293967284365</v>
      </c>
      <c r="J150" s="253">
        <f t="shared" si="103"/>
        <v>0.3696059255079745</v>
      </c>
      <c r="K150" s="253">
        <f t="shared" si="103"/>
        <v>0.34732118910814963</v>
      </c>
      <c r="L150" s="253">
        <f t="shared" si="103"/>
        <v>0.34787108215624574</v>
      </c>
      <c r="M150" s="253">
        <f t="shared" si="103"/>
        <v>0.34662000506834251</v>
      </c>
      <c r="N150" s="253">
        <f t="shared" si="103"/>
        <v>0.34682348851969907</v>
      </c>
      <c r="O150" s="253" t="str">
        <f t="shared" si="103"/>
        <v/>
      </c>
      <c r="P150" s="253" t="str">
        <f t="shared" si="103"/>
        <v/>
      </c>
      <c r="Q150" s="253" t="str">
        <f t="shared" si="103"/>
        <v/>
      </c>
      <c r="R150" s="253" t="str">
        <f t="shared" si="103"/>
        <v/>
      </c>
      <c r="S150" s="253" t="str">
        <f t="shared" si="103"/>
        <v/>
      </c>
      <c r="T150" s="253" t="str">
        <f t="shared" si="103"/>
        <v/>
      </c>
      <c r="U150" s="253" t="str">
        <f t="shared" si="103"/>
        <v/>
      </c>
      <c r="V150" s="253" t="str">
        <f t="shared" si="103"/>
        <v/>
      </c>
      <c r="W150" s="253" t="str">
        <f t="shared" si="103"/>
        <v/>
      </c>
      <c r="X150" s="253" t="str">
        <f t="shared" si="103"/>
        <v/>
      </c>
      <c r="Y150" s="253" t="str">
        <f t="shared" si="103"/>
        <v/>
      </c>
      <c r="Z150" s="253" t="str">
        <f t="shared" si="103"/>
        <v/>
      </c>
      <c r="AA150" s="253" t="str">
        <f t="shared" si="103"/>
        <v/>
      </c>
      <c r="AB150" s="253" t="str">
        <f t="shared" si="103"/>
        <v/>
      </c>
    </row>
  </sheetData>
  <sheetProtection sheet="1" objects="1" scenarios="1"/>
  <mergeCells count="1">
    <mergeCell ref="H5:K5"/>
  </mergeCells>
  <conditionalFormatting sqref="B52:AB84">
    <cfRule type="expression" dxfId="69" priority="3">
      <formula>NOT(B52="")</formula>
    </cfRule>
  </conditionalFormatting>
  <conditionalFormatting sqref="B88:AB118">
    <cfRule type="expression" dxfId="68" priority="6">
      <formula>NOT(B88="")</formula>
    </cfRule>
  </conditionalFormatting>
  <conditionalFormatting sqref="C121:C149">
    <cfRule type="expression" dxfId="67" priority="2">
      <formula>NOT(C121="")</formula>
    </cfRule>
  </conditionalFormatting>
  <conditionalFormatting sqref="D15:AB16">
    <cfRule type="expression" dxfId="66" priority="19">
      <formula>NOT(D15="")</formula>
    </cfRule>
  </conditionalFormatting>
  <conditionalFormatting sqref="D16:AB16">
    <cfRule type="expression" dxfId="65" priority="22">
      <formula>OR(D16&lt;$C$5, D16&gt;$C$6)</formula>
    </cfRule>
  </conditionalFormatting>
  <conditionalFormatting sqref="D17:AB18">
    <cfRule type="containsText" dxfId="64" priority="21" operator="containsText" text="ERROR">
      <formula>NOT(ISERROR(SEARCH("ERROR",D17)))</formula>
    </cfRule>
  </conditionalFormatting>
  <conditionalFormatting sqref="D20:AB49 B20:B49">
    <cfRule type="expression" dxfId="63" priority="18">
      <formula>NOT(B20="")</formula>
    </cfRule>
  </conditionalFormatting>
  <conditionalFormatting sqref="D20:AB49">
    <cfRule type="expression" dxfId="62" priority="11">
      <formula>D20&gt;$AE20</formula>
    </cfRule>
  </conditionalFormatting>
  <conditionalFormatting sqref="D120:AB149">
    <cfRule type="expression" dxfId="61" priority="1">
      <formula>NOT(D120="")</formula>
    </cfRule>
  </conditionalFormatting>
  <conditionalFormatting sqref="K6">
    <cfRule type="containsText" dxfId="60" priority="12" operator="containsText" text="Pass">
      <formula>NOT(ISERROR(SEARCH("Pass",K6)))</formula>
    </cfRule>
    <cfRule type="containsText" dxfId="59" priority="13" operator="containsText" text="Fail">
      <formula>NOT(ISERROR(SEARCH("Fail",K6)))</formula>
    </cfRule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AE150"/>
  <sheetViews>
    <sheetView showGridLines="0" tabSelected="1" topLeftCell="A4" zoomScaleNormal="100" workbookViewId="0">
      <selection activeCell="L158" sqref="L158"/>
    </sheetView>
  </sheetViews>
  <sheetFormatPr defaultColWidth="9.140625" defaultRowHeight="18" customHeight="1" outlineLevelRow="2" x14ac:dyDescent="0.25"/>
  <cols>
    <col min="1" max="1" width="38.42578125" style="1" customWidth="1"/>
    <col min="2" max="2" width="17.85546875" style="1" hidden="1" customWidth="1"/>
    <col min="3" max="4" width="17.85546875" style="1" customWidth="1"/>
    <col min="5" max="28" width="15.42578125" style="1" bestFit="1" customWidth="1"/>
    <col min="29" max="30" width="12.85546875" style="1" customWidth="1"/>
    <col min="31" max="32" width="9.140625" style="1" customWidth="1"/>
    <col min="33" max="16384" width="9.140625" style="1"/>
  </cols>
  <sheetData>
    <row r="1" spans="1:29" s="2" customFormat="1" ht="18" customHeight="1" x14ac:dyDescent="0.25">
      <c r="A1" s="9" t="s">
        <v>0</v>
      </c>
      <c r="B1" s="34"/>
      <c r="C1" s="34" t="str">
        <f>'R5_MB'!C1</f>
        <v>R6-C1-S1</v>
      </c>
    </row>
    <row r="2" spans="1:29" s="2" customFormat="1" ht="18" customHeight="1" x14ac:dyDescent="0.25">
      <c r="A2" s="9" t="s">
        <v>1</v>
      </c>
      <c r="B2" s="46"/>
      <c r="C2" s="46" t="str">
        <f>'R5_MB'!C2</f>
        <v/>
      </c>
      <c r="D2" s="45"/>
      <c r="E2" s="45"/>
      <c r="F2" s="45"/>
      <c r="G2" s="45"/>
      <c r="H2" s="45"/>
      <c r="I2" s="45"/>
      <c r="J2" s="44"/>
      <c r="K2" s="141"/>
      <c r="L2" s="141"/>
      <c r="M2" s="141"/>
      <c r="N2" s="141"/>
    </row>
    <row r="3" spans="1:29" s="2" customFormat="1" ht="18" customHeight="1" x14ac:dyDescent="0.25">
      <c r="A3" s="9" t="s">
        <v>3</v>
      </c>
      <c r="B3" s="43"/>
      <c r="C3" s="43">
        <f>Run_Plan!$B$3</f>
        <v>45425.583333333336</v>
      </c>
      <c r="D3" s="91"/>
      <c r="E3" s="9" t="s">
        <v>126</v>
      </c>
      <c r="F3" s="41">
        <f>(C6-C5)*1440</f>
        <v>5.9999999986030161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</row>
    <row r="4" spans="1:29" s="2" customFormat="1" ht="18" customHeight="1" x14ac:dyDescent="0.25">
      <c r="A4" s="9" t="s">
        <v>123</v>
      </c>
      <c r="B4" s="43"/>
      <c r="C4" s="43" t="str">
        <f>Liq!B4</f>
        <v>C1-S1</v>
      </c>
      <c r="D4" s="93"/>
      <c r="E4" s="12" t="s">
        <v>127</v>
      </c>
      <c r="F4" s="40">
        <f>24*((C5+C6)/2-C3)</f>
        <v>17.916666666569654</v>
      </c>
    </row>
    <row r="5" spans="1:29" s="2" customFormat="1" ht="18" customHeight="1" x14ac:dyDescent="0.25">
      <c r="A5" s="9" t="s">
        <v>124</v>
      </c>
      <c r="B5" s="92"/>
      <c r="C5" s="92">
        <f>Liq!B5</f>
        <v>45426.327777777777</v>
      </c>
      <c r="D5" s="91"/>
      <c r="E5" s="79" t="s">
        <v>212</v>
      </c>
      <c r="F5" s="158">
        <f>Gas!G20</f>
        <v>0.22890922011282697</v>
      </c>
      <c r="H5" s="257" t="s">
        <v>213</v>
      </c>
      <c r="I5" s="258"/>
      <c r="J5" s="258"/>
      <c r="K5" s="259"/>
    </row>
    <row r="6" spans="1:29" s="2" customFormat="1" ht="18" customHeight="1" x14ac:dyDescent="0.25">
      <c r="A6" s="9" t="s">
        <v>125</v>
      </c>
      <c r="B6" s="43"/>
      <c r="C6" s="43">
        <f>Liq!B6</f>
        <v>45426.331944444442</v>
      </c>
      <c r="D6" s="42"/>
      <c r="E6" s="42"/>
      <c r="H6" s="185">
        <f t="array" ref="H6">MIN(IF(D16:XFD16&lt;&gt;0,D16:XFD16))</f>
        <v>0</v>
      </c>
      <c r="I6" s="185">
        <f t="array" ref="I6">MAX(IF(D16:XFD16&lt;&gt;0,D16:XFD16))</f>
        <v>0</v>
      </c>
      <c r="J6" s="70"/>
      <c r="K6" s="186" t="str">
        <f>IF(AND(H7=TRUE,I7=TRUE),"Pass","Fail")</f>
        <v>Pass</v>
      </c>
    </row>
    <row r="7" spans="1:29" s="2" customFormat="1" ht="18" customHeight="1" x14ac:dyDescent="0.25">
      <c r="H7" s="70" t="b">
        <f>IF(Liq!I3&gt;'R1_MB'!H6,"NA",TRUE)</f>
        <v>1</v>
      </c>
      <c r="I7" s="70" t="b">
        <f>IF(Liq!I6&lt;'R1_MB'!I6,"NA",TRUE)</f>
        <v>1</v>
      </c>
    </row>
    <row r="8" spans="1:29" s="2" customFormat="1" ht="18" customHeight="1" x14ac:dyDescent="0.25">
      <c r="A8" s="9" t="s">
        <v>214</v>
      </c>
      <c r="B8" s="43"/>
      <c r="C8" s="94">
        <f>Liq!G13</f>
        <v>0.50000000002910383</v>
      </c>
      <c r="D8" s="42"/>
      <c r="E8" s="42"/>
    </row>
    <row r="9" spans="1:29" s="2" customFormat="1" ht="18" customHeight="1" x14ac:dyDescent="0.25">
      <c r="A9" s="9" t="s">
        <v>215</v>
      </c>
      <c r="B9" s="43"/>
      <c r="C9" s="94">
        <f>IFERROR(Gas!G12-Gas!G20,"")</f>
        <v>2.5568050656014587</v>
      </c>
      <c r="D9" s="142" t="s">
        <v>216</v>
      </c>
      <c r="E9" s="42"/>
    </row>
    <row r="10" spans="1:29" s="2" customFormat="1" ht="18" customHeight="1" x14ac:dyDescent="0.25">
      <c r="A10" s="9" t="s">
        <v>217</v>
      </c>
      <c r="B10" s="43"/>
      <c r="C10" s="94">
        <f>Liq!G40</f>
        <v>0</v>
      </c>
      <c r="D10" s="42"/>
      <c r="E10" s="42"/>
    </row>
    <row r="11" spans="1:29" s="2" customFormat="1" ht="18" customHeight="1" x14ac:dyDescent="0.25">
      <c r="A11" s="9" t="s">
        <v>218</v>
      </c>
      <c r="B11" s="43"/>
      <c r="C11" s="94">
        <f>Liq!G41</f>
        <v>0</v>
      </c>
      <c r="D11" s="42"/>
      <c r="E11" s="42"/>
    </row>
    <row r="12" spans="1:29" s="2" customFormat="1" ht="18" customHeight="1" x14ac:dyDescent="0.25">
      <c r="A12" s="9" t="s">
        <v>219</v>
      </c>
      <c r="B12" s="43"/>
      <c r="C12" s="94">
        <f>SUM(C52:C74,C76:C80)</f>
        <v>2.5666674661687199</v>
      </c>
      <c r="D12" s="142" t="s">
        <v>216</v>
      </c>
      <c r="E12" s="42"/>
    </row>
    <row r="13" spans="1:29" s="2" customFormat="1" ht="18" customHeight="1" x14ac:dyDescent="0.25">
      <c r="A13" s="9" t="s">
        <v>220</v>
      </c>
      <c r="B13" s="43"/>
      <c r="C13" s="36">
        <f>IFERROR(100*(C12+C11+C10)/(C9+C8),"")</f>
        <v>83.96569002803794</v>
      </c>
      <c r="D13" s="142"/>
      <c r="E13" s="42"/>
    </row>
    <row r="14" spans="1:29" s="2" customFormat="1" ht="18" customHeight="1" x14ac:dyDescent="0.25"/>
    <row r="15" spans="1:29" ht="18" customHeight="1" outlineLevel="1" x14ac:dyDescent="0.25">
      <c r="A15" s="9" t="s">
        <v>221</v>
      </c>
      <c r="B15" s="143"/>
      <c r="C15" s="151"/>
      <c r="D15" s="130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</row>
    <row r="16" spans="1:29" s="134" customFormat="1" ht="18" customHeight="1" outlineLevel="1" x14ac:dyDescent="0.25">
      <c r="A16" s="139" t="s">
        <v>222</v>
      </c>
      <c r="B16" s="144"/>
      <c r="C16" s="152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31" ht="18" customHeight="1" outlineLevel="1" x14ac:dyDescent="0.25">
      <c r="A17" s="9" t="s">
        <v>223</v>
      </c>
      <c r="B17" s="145"/>
      <c r="C17" s="153"/>
      <c r="D17" s="148" t="str">
        <f t="shared" ref="D17:AB17" si="0">IF(D15="", "", (D16-$D$16)*1440)</f>
        <v/>
      </c>
      <c r="E17" s="140" t="str">
        <f t="shared" si="0"/>
        <v/>
      </c>
      <c r="F17" s="140" t="str">
        <f t="shared" si="0"/>
        <v/>
      </c>
      <c r="G17" s="140" t="str">
        <f t="shared" si="0"/>
        <v/>
      </c>
      <c r="H17" s="140" t="str">
        <f t="shared" si="0"/>
        <v/>
      </c>
      <c r="I17" s="140" t="str">
        <f t="shared" si="0"/>
        <v/>
      </c>
      <c r="J17" s="140" t="str">
        <f t="shared" si="0"/>
        <v/>
      </c>
      <c r="K17" s="140" t="str">
        <f t="shared" si="0"/>
        <v/>
      </c>
      <c r="L17" s="140" t="str">
        <f t="shared" si="0"/>
        <v/>
      </c>
      <c r="M17" s="140" t="str">
        <f t="shared" si="0"/>
        <v/>
      </c>
      <c r="N17" s="140" t="str">
        <f t="shared" si="0"/>
        <v/>
      </c>
      <c r="O17" s="140" t="str">
        <f t="shared" si="0"/>
        <v/>
      </c>
      <c r="P17" s="140" t="str">
        <f t="shared" si="0"/>
        <v/>
      </c>
      <c r="Q17" s="140" t="str">
        <f t="shared" si="0"/>
        <v/>
      </c>
      <c r="R17" s="140" t="str">
        <f t="shared" si="0"/>
        <v/>
      </c>
      <c r="S17" s="140" t="str">
        <f t="shared" si="0"/>
        <v/>
      </c>
      <c r="T17" s="140" t="str">
        <f t="shared" si="0"/>
        <v/>
      </c>
      <c r="U17" s="140" t="str">
        <f t="shared" si="0"/>
        <v/>
      </c>
      <c r="V17" s="140" t="str">
        <f t="shared" si="0"/>
        <v/>
      </c>
      <c r="W17" s="140" t="str">
        <f t="shared" si="0"/>
        <v/>
      </c>
      <c r="X17" s="140" t="str">
        <f t="shared" si="0"/>
        <v/>
      </c>
      <c r="Y17" s="140" t="str">
        <f t="shared" si="0"/>
        <v/>
      </c>
      <c r="Z17" s="140" t="str">
        <f t="shared" si="0"/>
        <v/>
      </c>
      <c r="AA17" s="140" t="str">
        <f t="shared" si="0"/>
        <v/>
      </c>
      <c r="AB17" s="140" t="str">
        <f t="shared" si="0"/>
        <v/>
      </c>
    </row>
    <row r="18" spans="1:31" ht="18" customHeight="1" outlineLevel="1" x14ac:dyDescent="0.25">
      <c r="A18" s="9" t="s">
        <v>224</v>
      </c>
      <c r="B18" s="146"/>
      <c r="C18" s="154"/>
      <c r="D18" s="149"/>
      <c r="E18" s="140" t="str">
        <f t="shared" ref="E18:AB18" si="1">IF(E17="", "", E17-D17)</f>
        <v/>
      </c>
      <c r="F18" s="140" t="str">
        <f t="shared" si="1"/>
        <v/>
      </c>
      <c r="G18" s="140" t="str">
        <f t="shared" si="1"/>
        <v/>
      </c>
      <c r="H18" s="140" t="str">
        <f t="shared" si="1"/>
        <v/>
      </c>
      <c r="I18" s="140" t="str">
        <f t="shared" si="1"/>
        <v/>
      </c>
      <c r="J18" s="140" t="str">
        <f t="shared" si="1"/>
        <v/>
      </c>
      <c r="K18" s="140" t="str">
        <f t="shared" si="1"/>
        <v/>
      </c>
      <c r="L18" s="140" t="str">
        <f t="shared" si="1"/>
        <v/>
      </c>
      <c r="M18" s="140" t="str">
        <f t="shared" si="1"/>
        <v/>
      </c>
      <c r="N18" s="140" t="str">
        <f t="shared" si="1"/>
        <v/>
      </c>
      <c r="O18" s="140" t="str">
        <f t="shared" si="1"/>
        <v/>
      </c>
      <c r="P18" s="140" t="str">
        <f t="shared" si="1"/>
        <v/>
      </c>
      <c r="Q18" s="140" t="str">
        <f t="shared" si="1"/>
        <v/>
      </c>
      <c r="R18" s="140" t="str">
        <f t="shared" si="1"/>
        <v/>
      </c>
      <c r="S18" s="140" t="str">
        <f t="shared" si="1"/>
        <v/>
      </c>
      <c r="T18" s="140" t="str">
        <f t="shared" si="1"/>
        <v/>
      </c>
      <c r="U18" s="140" t="str">
        <f t="shared" si="1"/>
        <v/>
      </c>
      <c r="V18" s="140" t="str">
        <f t="shared" si="1"/>
        <v/>
      </c>
      <c r="W18" s="140" t="str">
        <f t="shared" si="1"/>
        <v/>
      </c>
      <c r="X18" s="140" t="str">
        <f t="shared" si="1"/>
        <v/>
      </c>
      <c r="Y18" s="140" t="str">
        <f t="shared" si="1"/>
        <v/>
      </c>
      <c r="Z18" s="140" t="str">
        <f t="shared" si="1"/>
        <v/>
      </c>
      <c r="AA18" s="140" t="str">
        <f t="shared" si="1"/>
        <v/>
      </c>
      <c r="AB18" s="140" t="str">
        <f t="shared" si="1"/>
        <v/>
      </c>
      <c r="AC18" s="2"/>
      <c r="AD18" s="135"/>
    </row>
    <row r="19" spans="1:31" ht="18" customHeight="1" outlineLevel="1" x14ac:dyDescent="0.25">
      <c r="A19" s="9" t="s">
        <v>225</v>
      </c>
      <c r="B19" s="147" t="s">
        <v>60</v>
      </c>
      <c r="C19" s="155"/>
      <c r="D19" s="16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</row>
    <row r="20" spans="1:31" ht="18" customHeight="1" outlineLevel="1" x14ac:dyDescent="0.25">
      <c r="A20" s="9" t="s">
        <v>34</v>
      </c>
      <c r="B20" s="127">
        <v>16.04</v>
      </c>
      <c r="C20" s="156"/>
      <c r="D20" s="119">
        <v>2.8983370000000002</v>
      </c>
      <c r="E20" s="119">
        <v>2.9004829999999999</v>
      </c>
      <c r="F20" s="119">
        <v>2.895448</v>
      </c>
      <c r="G20" s="119">
        <v>2.943794</v>
      </c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92">
        <f t="shared" ref="AC20:AC48" si="2">IFERROR(_xlfn.STDEV.S(E20:AB20),"")</f>
        <v>2.6578593084159562E-2</v>
      </c>
      <c r="AD20" s="192">
        <f t="shared" ref="AD20:AD48" si="3">IFERROR(AVERAGE(E20:AB20),"")</f>
        <v>2.9132416666666665</v>
      </c>
      <c r="AE20" s="189">
        <f t="shared" ref="AE20:AE48" si="4">IFERROR(AD20+(2*AC20),"")</f>
        <v>2.9663988528349856</v>
      </c>
    </row>
    <row r="21" spans="1:31" ht="18" customHeight="1" outlineLevel="1" x14ac:dyDescent="0.25">
      <c r="A21" s="9" t="s">
        <v>35</v>
      </c>
      <c r="B21" s="127">
        <v>30.07</v>
      </c>
      <c r="C21" s="156"/>
      <c r="D21" s="119">
        <v>1.31132</v>
      </c>
      <c r="E21" s="119">
        <v>1.239242</v>
      </c>
      <c r="F21" s="119">
        <v>1.0981430000000001</v>
      </c>
      <c r="G21" s="119">
        <v>1.05494</v>
      </c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92">
        <f t="shared" si="2"/>
        <v>9.6386940863376264E-2</v>
      </c>
      <c r="AD21" s="192">
        <f t="shared" si="3"/>
        <v>1.1307750000000001</v>
      </c>
      <c r="AE21" s="189">
        <f t="shared" si="4"/>
        <v>1.3235488817267527</v>
      </c>
    </row>
    <row r="22" spans="1:31" ht="18" customHeight="1" outlineLevel="1" x14ac:dyDescent="0.25">
      <c r="A22" s="9" t="s">
        <v>33</v>
      </c>
      <c r="B22" s="127">
        <v>28.05</v>
      </c>
      <c r="C22" s="156"/>
      <c r="D22" s="119">
        <v>3.8692419999999998</v>
      </c>
      <c r="E22" s="119">
        <v>3.8414250000000001</v>
      </c>
      <c r="F22" s="119">
        <v>3.8862459999999999</v>
      </c>
      <c r="G22" s="119">
        <v>4.0073990000000004</v>
      </c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92">
        <f t="shared" si="2"/>
        <v>8.586262295667442E-2</v>
      </c>
      <c r="AD22" s="192">
        <f t="shared" si="3"/>
        <v>3.9116900000000001</v>
      </c>
      <c r="AE22" s="189">
        <f t="shared" si="4"/>
        <v>4.0834152459133488</v>
      </c>
    </row>
    <row r="23" spans="1:31" ht="18" customHeight="1" outlineLevel="1" x14ac:dyDescent="0.25">
      <c r="A23" s="9" t="s">
        <v>57</v>
      </c>
      <c r="B23" s="127">
        <v>44.1</v>
      </c>
      <c r="C23" s="156"/>
      <c r="D23" s="119">
        <v>2.9459999999999998E-3</v>
      </c>
      <c r="E23" s="119">
        <v>2.3749999999999999E-3</v>
      </c>
      <c r="F23" s="119">
        <v>2.1210000000000001E-3</v>
      </c>
      <c r="G23" s="119">
        <v>1.853E-3</v>
      </c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92">
        <f t="shared" si="2"/>
        <v>2.6103128803523401E-4</v>
      </c>
      <c r="AD23" s="192">
        <f t="shared" si="3"/>
        <v>2.1163333333333333E-3</v>
      </c>
      <c r="AE23" s="189">
        <f t="shared" si="4"/>
        <v>2.6383959094038014E-3</v>
      </c>
    </row>
    <row r="24" spans="1:31" ht="18" customHeight="1" outlineLevel="1" x14ac:dyDescent="0.25">
      <c r="A24" s="9" t="s">
        <v>56</v>
      </c>
      <c r="B24" s="127">
        <v>42.08</v>
      </c>
      <c r="C24" s="156"/>
      <c r="D24" s="119">
        <v>0.16209200000000001</v>
      </c>
      <c r="E24" s="119">
        <v>0.16362599999999999</v>
      </c>
      <c r="F24" s="119">
        <v>0.15128800000000001</v>
      </c>
      <c r="G24" s="119">
        <v>0.136189</v>
      </c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92">
        <f t="shared" si="2"/>
        <v>1.3741633903336721E-2</v>
      </c>
      <c r="AD24" s="192">
        <f t="shared" si="3"/>
        <v>0.15036766666666668</v>
      </c>
      <c r="AE24" s="189">
        <f t="shared" si="4"/>
        <v>0.17785093447334011</v>
      </c>
    </row>
    <row r="25" spans="1:31" ht="18" customHeight="1" outlineLevel="1" x14ac:dyDescent="0.25">
      <c r="A25" s="9" t="s">
        <v>226</v>
      </c>
      <c r="B25" s="127">
        <v>58.12</v>
      </c>
      <c r="C25" s="156"/>
      <c r="D25" s="119">
        <v>1.4591E-2</v>
      </c>
      <c r="E25" s="119">
        <v>1.3129E-2</v>
      </c>
      <c r="F25" s="119">
        <v>1.1913999999999999E-2</v>
      </c>
      <c r="G25" s="119">
        <v>1.1714E-2</v>
      </c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92">
        <f t="shared" si="2"/>
        <v>7.6577302990725221E-4</v>
      </c>
      <c r="AD25" s="192">
        <f t="shared" si="3"/>
        <v>1.2252333333333332E-2</v>
      </c>
      <c r="AE25" s="189">
        <f t="shared" si="4"/>
        <v>1.3783879393147836E-2</v>
      </c>
    </row>
    <row r="26" spans="1:31" ht="18" customHeight="1" outlineLevel="1" x14ac:dyDescent="0.25">
      <c r="A26" s="9" t="s">
        <v>227</v>
      </c>
      <c r="B26" s="127">
        <v>72.150000000000006</v>
      </c>
      <c r="C26" s="156"/>
      <c r="D26" s="119">
        <v>0</v>
      </c>
      <c r="E26" s="119">
        <v>0</v>
      </c>
      <c r="F26" s="119">
        <v>0</v>
      </c>
      <c r="G26" s="119">
        <v>0</v>
      </c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92">
        <f t="shared" si="2"/>
        <v>0</v>
      </c>
      <c r="AD26" s="192">
        <f t="shared" si="3"/>
        <v>0</v>
      </c>
      <c r="AE26" s="189">
        <f t="shared" si="4"/>
        <v>0</v>
      </c>
    </row>
    <row r="27" spans="1:31" ht="18" customHeight="1" outlineLevel="1" x14ac:dyDescent="0.25">
      <c r="A27" s="9" t="s">
        <v>228</v>
      </c>
      <c r="B27" s="127">
        <v>86.18</v>
      </c>
      <c r="C27" s="156"/>
      <c r="D27" s="119">
        <v>0</v>
      </c>
      <c r="E27" s="119">
        <v>0</v>
      </c>
      <c r="F27" s="119">
        <v>0</v>
      </c>
      <c r="G27" s="119">
        <v>0</v>
      </c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92">
        <f t="shared" si="2"/>
        <v>0</v>
      </c>
      <c r="AD27" s="192">
        <f t="shared" si="3"/>
        <v>0</v>
      </c>
      <c r="AE27" s="189">
        <f t="shared" si="4"/>
        <v>0</v>
      </c>
    </row>
    <row r="28" spans="1:31" ht="18" customHeight="1" outlineLevel="1" x14ac:dyDescent="0.25">
      <c r="A28" s="9" t="s">
        <v>229</v>
      </c>
      <c r="B28" s="127">
        <v>86.18</v>
      </c>
      <c r="C28" s="156"/>
      <c r="D28" s="119">
        <v>0</v>
      </c>
      <c r="E28" s="119">
        <v>0</v>
      </c>
      <c r="F28" s="119">
        <v>0</v>
      </c>
      <c r="G28" s="119">
        <v>0</v>
      </c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92">
        <f t="shared" si="2"/>
        <v>0</v>
      </c>
      <c r="AD28" s="192">
        <f t="shared" si="3"/>
        <v>0</v>
      </c>
      <c r="AE28" s="189">
        <f t="shared" si="4"/>
        <v>0</v>
      </c>
    </row>
    <row r="29" spans="1:31" ht="18" customHeight="1" outlineLevel="1" x14ac:dyDescent="0.25">
      <c r="A29" s="9" t="s">
        <v>230</v>
      </c>
      <c r="B29" s="127">
        <v>58.12</v>
      </c>
      <c r="C29" s="156"/>
      <c r="D29" s="119">
        <v>0.49496400000000002</v>
      </c>
      <c r="E29" s="119">
        <v>0.504969</v>
      </c>
      <c r="F29" s="119">
        <v>0.54056999999999999</v>
      </c>
      <c r="G29" s="119">
        <v>0.58858299999999997</v>
      </c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92">
        <f t="shared" si="2"/>
        <v>4.1960259702882342E-2</v>
      </c>
      <c r="AD29" s="192">
        <f t="shared" si="3"/>
        <v>0.54470733333333332</v>
      </c>
      <c r="AE29" s="189">
        <f t="shared" si="4"/>
        <v>0.62862785273909805</v>
      </c>
    </row>
    <row r="30" spans="1:31" ht="18" customHeight="1" outlineLevel="1" x14ac:dyDescent="0.25">
      <c r="A30" s="9" t="s">
        <v>231</v>
      </c>
      <c r="B30" s="127">
        <v>72.150000000000006</v>
      </c>
      <c r="C30" s="156"/>
      <c r="D30" s="119">
        <v>0</v>
      </c>
      <c r="E30" s="119">
        <v>0</v>
      </c>
      <c r="F30" s="119">
        <v>0</v>
      </c>
      <c r="G30" s="119">
        <v>0</v>
      </c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92">
        <f t="shared" si="2"/>
        <v>0</v>
      </c>
      <c r="AD30" s="192">
        <f t="shared" si="3"/>
        <v>0</v>
      </c>
      <c r="AE30" s="189">
        <f t="shared" si="4"/>
        <v>0</v>
      </c>
    </row>
    <row r="31" spans="1:31" ht="18" customHeight="1" outlineLevel="1" x14ac:dyDescent="0.25">
      <c r="A31" s="9" t="s">
        <v>232</v>
      </c>
      <c r="B31" s="127">
        <v>86.18</v>
      </c>
      <c r="C31" s="156"/>
      <c r="D31" s="119">
        <v>7.1830000000000001E-3</v>
      </c>
      <c r="E31" s="119">
        <v>3.6719999999999999E-3</v>
      </c>
      <c r="F31" s="119">
        <v>2.882E-3</v>
      </c>
      <c r="G31" s="119">
        <v>2.5569999999999998E-3</v>
      </c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92">
        <f t="shared" si="2"/>
        <v>5.7343264643722549E-4</v>
      </c>
      <c r="AD31" s="192">
        <f t="shared" si="3"/>
        <v>3.0369999999999998E-3</v>
      </c>
      <c r="AE31" s="189">
        <f t="shared" si="4"/>
        <v>4.1838652928744505E-3</v>
      </c>
    </row>
    <row r="32" spans="1:31" ht="18" customHeight="1" outlineLevel="1" x14ac:dyDescent="0.25">
      <c r="A32" s="9" t="s">
        <v>233</v>
      </c>
      <c r="B32" s="127">
        <v>100.21</v>
      </c>
      <c r="C32" s="156"/>
      <c r="D32" s="119">
        <v>0.107685</v>
      </c>
      <c r="E32" s="119">
        <v>0.11352</v>
      </c>
      <c r="F32" s="119">
        <v>0.117602</v>
      </c>
      <c r="G32" s="119">
        <v>0.119184</v>
      </c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92">
        <f t="shared" si="2"/>
        <v>2.9225087396504636E-3</v>
      </c>
      <c r="AD32" s="192">
        <f t="shared" si="3"/>
        <v>0.11676866666666667</v>
      </c>
      <c r="AE32" s="189">
        <f t="shared" si="4"/>
        <v>0.1226136841459676</v>
      </c>
    </row>
    <row r="33" spans="1:31" ht="18" customHeight="1" outlineLevel="1" x14ac:dyDescent="0.25">
      <c r="A33" s="9" t="s">
        <v>234</v>
      </c>
      <c r="B33" s="127">
        <v>78.11</v>
      </c>
      <c r="C33" s="156"/>
      <c r="D33" s="119">
        <v>0</v>
      </c>
      <c r="E33" s="119">
        <v>0</v>
      </c>
      <c r="F33" s="119">
        <v>0</v>
      </c>
      <c r="G33" s="119">
        <v>0</v>
      </c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92">
        <f t="shared" si="2"/>
        <v>0</v>
      </c>
      <c r="AD33" s="192">
        <f t="shared" si="3"/>
        <v>0</v>
      </c>
      <c r="AE33" s="189">
        <f t="shared" si="4"/>
        <v>0</v>
      </c>
    </row>
    <row r="34" spans="1:31" ht="18" customHeight="1" outlineLevel="1" x14ac:dyDescent="0.25">
      <c r="A34" s="9" t="s">
        <v>235</v>
      </c>
      <c r="B34" s="127">
        <v>92.14</v>
      </c>
      <c r="C34" s="156"/>
      <c r="D34" s="119">
        <v>0</v>
      </c>
      <c r="E34" s="119">
        <v>0</v>
      </c>
      <c r="F34" s="119">
        <v>0</v>
      </c>
      <c r="G34" s="119">
        <v>0</v>
      </c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92">
        <f t="shared" si="2"/>
        <v>0</v>
      </c>
      <c r="AD34" s="192">
        <f t="shared" si="3"/>
        <v>0</v>
      </c>
      <c r="AE34" s="189">
        <f t="shared" si="4"/>
        <v>0</v>
      </c>
    </row>
    <row r="35" spans="1:31" ht="18" customHeight="1" outlineLevel="1" x14ac:dyDescent="0.25">
      <c r="A35" s="9" t="s">
        <v>236</v>
      </c>
      <c r="B35" s="127">
        <v>106.167</v>
      </c>
      <c r="C35" s="156"/>
      <c r="D35" s="119">
        <v>0</v>
      </c>
      <c r="E35" s="119">
        <v>0</v>
      </c>
      <c r="F35" s="119">
        <v>0</v>
      </c>
      <c r="G35" s="119">
        <v>0</v>
      </c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92">
        <f t="shared" si="2"/>
        <v>0</v>
      </c>
      <c r="AD35" s="192">
        <f t="shared" si="3"/>
        <v>0</v>
      </c>
      <c r="AE35" s="189">
        <f t="shared" si="4"/>
        <v>0</v>
      </c>
    </row>
    <row r="36" spans="1:31" ht="18" customHeight="1" outlineLevel="1" x14ac:dyDescent="0.25">
      <c r="A36" s="9" t="s">
        <v>237</v>
      </c>
      <c r="B36" s="127">
        <v>106.167</v>
      </c>
      <c r="C36" s="156"/>
      <c r="D36" s="119">
        <v>0</v>
      </c>
      <c r="E36" s="119">
        <v>0</v>
      </c>
      <c r="F36" s="119">
        <v>0</v>
      </c>
      <c r="G36" s="119">
        <v>0</v>
      </c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92">
        <f t="shared" si="2"/>
        <v>0</v>
      </c>
      <c r="AD36" s="192">
        <f t="shared" si="3"/>
        <v>0</v>
      </c>
      <c r="AE36" s="189">
        <f t="shared" si="4"/>
        <v>0</v>
      </c>
    </row>
    <row r="37" spans="1:31" ht="18" customHeight="1" outlineLevel="1" x14ac:dyDescent="0.25">
      <c r="A37" s="9" t="s">
        <v>238</v>
      </c>
      <c r="B37" s="127">
        <v>106.167</v>
      </c>
      <c r="C37" s="156"/>
      <c r="D37" s="119">
        <v>6.0429999999999998E-3</v>
      </c>
      <c r="E37" s="119">
        <v>4.3160000000000004E-3</v>
      </c>
      <c r="F37" s="119">
        <v>3.1329999999999999E-3</v>
      </c>
      <c r="G37" s="119">
        <v>2.2790000000000002E-3</v>
      </c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92">
        <f t="shared" si="2"/>
        <v>1.0229185369976114E-3</v>
      </c>
      <c r="AD37" s="192">
        <f t="shared" si="3"/>
        <v>3.2426666666666667E-3</v>
      </c>
      <c r="AE37" s="189">
        <f t="shared" si="4"/>
        <v>5.2885037406618894E-3</v>
      </c>
    </row>
    <row r="38" spans="1:31" ht="18" customHeight="1" outlineLevel="1" x14ac:dyDescent="0.25">
      <c r="A38" s="9" t="s">
        <v>239</v>
      </c>
      <c r="B38" s="127">
        <v>106.167</v>
      </c>
      <c r="C38" s="156"/>
      <c r="D38" s="119">
        <v>0</v>
      </c>
      <c r="E38" s="119">
        <v>0</v>
      </c>
      <c r="F38" s="119">
        <v>0</v>
      </c>
      <c r="G38" s="119">
        <v>0</v>
      </c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92">
        <f t="shared" si="2"/>
        <v>0</v>
      </c>
      <c r="AD38" s="192">
        <f t="shared" si="3"/>
        <v>0</v>
      </c>
      <c r="AE38" s="189">
        <f t="shared" si="4"/>
        <v>0</v>
      </c>
    </row>
    <row r="39" spans="1:31" ht="18" customHeight="1" outlineLevel="1" x14ac:dyDescent="0.25">
      <c r="A39" s="9" t="s">
        <v>240</v>
      </c>
      <c r="B39" s="127">
        <v>86.18</v>
      </c>
      <c r="C39" s="156"/>
      <c r="D39" s="119">
        <v>0.49496400000000002</v>
      </c>
      <c r="E39" s="119">
        <v>0.504969</v>
      </c>
      <c r="F39" s="119">
        <v>0.54056999999999999</v>
      </c>
      <c r="G39" s="119">
        <v>0.58858299999999997</v>
      </c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92">
        <f t="shared" si="2"/>
        <v>4.1960259702882342E-2</v>
      </c>
      <c r="AD39" s="192">
        <f t="shared" si="3"/>
        <v>0.54470733333333332</v>
      </c>
      <c r="AE39" s="189">
        <f t="shared" si="4"/>
        <v>0.62862785273909805</v>
      </c>
    </row>
    <row r="40" spans="1:31" ht="18" customHeight="1" outlineLevel="1" x14ac:dyDescent="0.25">
      <c r="A40" s="9" t="s">
        <v>241</v>
      </c>
      <c r="B40" s="127">
        <v>114.23</v>
      </c>
      <c r="C40" s="156"/>
      <c r="D40" s="119">
        <v>0</v>
      </c>
      <c r="E40" s="119">
        <v>0</v>
      </c>
      <c r="F40" s="119">
        <v>0</v>
      </c>
      <c r="G40" s="119">
        <v>0</v>
      </c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92">
        <f t="shared" si="2"/>
        <v>0</v>
      </c>
      <c r="AD40" s="192">
        <f t="shared" si="3"/>
        <v>0</v>
      </c>
      <c r="AE40" s="189">
        <f t="shared" si="4"/>
        <v>0</v>
      </c>
    </row>
    <row r="41" spans="1:31" ht="18" customHeight="1" outlineLevel="1" x14ac:dyDescent="0.25">
      <c r="A41" s="9" t="s">
        <v>242</v>
      </c>
      <c r="B41" s="127">
        <v>100.21</v>
      </c>
      <c r="C41" s="156"/>
      <c r="D41" s="119">
        <v>0</v>
      </c>
      <c r="E41" s="119">
        <v>0</v>
      </c>
      <c r="F41" s="119">
        <v>0</v>
      </c>
      <c r="G41" s="119">
        <v>0</v>
      </c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92">
        <f t="shared" si="2"/>
        <v>0</v>
      </c>
      <c r="AD41" s="192">
        <f t="shared" si="3"/>
        <v>0</v>
      </c>
      <c r="AE41" s="189">
        <f t="shared" si="4"/>
        <v>0</v>
      </c>
    </row>
    <row r="42" spans="1:31" ht="18" customHeight="1" outlineLevel="1" x14ac:dyDescent="0.25">
      <c r="A42" s="9" t="s">
        <v>37</v>
      </c>
      <c r="B42" s="127">
        <v>44.01</v>
      </c>
      <c r="C42" s="156"/>
      <c r="D42" s="119">
        <v>0</v>
      </c>
      <c r="E42" s="119">
        <v>0</v>
      </c>
      <c r="F42" s="119">
        <v>0</v>
      </c>
      <c r="G42" s="119">
        <v>0</v>
      </c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92">
        <f t="shared" si="2"/>
        <v>0</v>
      </c>
      <c r="AD42" s="192">
        <f t="shared" si="3"/>
        <v>0</v>
      </c>
      <c r="AE42" s="189">
        <f t="shared" si="4"/>
        <v>0</v>
      </c>
    </row>
    <row r="43" spans="1:31" ht="18" customHeight="1" outlineLevel="1" x14ac:dyDescent="0.25">
      <c r="A43" s="9" t="s">
        <v>39</v>
      </c>
      <c r="B43" s="127">
        <v>39.948</v>
      </c>
      <c r="C43" s="156"/>
      <c r="D43" s="119">
        <v>4.801234</v>
      </c>
      <c r="E43" s="119">
        <v>4.8058610000000002</v>
      </c>
      <c r="F43" s="119">
        <v>4.8048010000000003</v>
      </c>
      <c r="G43" s="119">
        <v>4.8087499999999999</v>
      </c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92">
        <f t="shared" si="2"/>
        <v>2.0438738545547211E-3</v>
      </c>
      <c r="AD43" s="192">
        <f t="shared" si="3"/>
        <v>4.8064706666666668</v>
      </c>
      <c r="AE43" s="189">
        <f t="shared" si="4"/>
        <v>4.8105584143757758</v>
      </c>
    </row>
    <row r="44" spans="1:31" ht="18" customHeight="1" outlineLevel="1" x14ac:dyDescent="0.25">
      <c r="A44" s="9" t="s">
        <v>38</v>
      </c>
      <c r="B44" s="127">
        <v>28.01</v>
      </c>
      <c r="C44" s="156"/>
      <c r="D44" s="119">
        <v>0</v>
      </c>
      <c r="E44" s="119">
        <v>0</v>
      </c>
      <c r="F44" s="119">
        <v>0</v>
      </c>
      <c r="G44" s="119">
        <v>0</v>
      </c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92">
        <f t="shared" si="2"/>
        <v>0</v>
      </c>
      <c r="AD44" s="192">
        <f t="shared" si="3"/>
        <v>0</v>
      </c>
      <c r="AE44" s="189">
        <f t="shared" si="4"/>
        <v>0</v>
      </c>
    </row>
    <row r="45" spans="1:31" ht="18" customHeight="1" outlineLevel="1" x14ac:dyDescent="0.25">
      <c r="A45" s="9" t="s">
        <v>243</v>
      </c>
      <c r="B45" s="127">
        <v>2.016</v>
      </c>
      <c r="C45" s="156"/>
      <c r="D45" s="119">
        <v>15.976442</v>
      </c>
      <c r="E45" s="119">
        <v>16.368469000000001</v>
      </c>
      <c r="F45" s="119">
        <v>16.569471</v>
      </c>
      <c r="G45" s="119">
        <v>16.602022999999999</v>
      </c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92">
        <f t="shared" si="2"/>
        <v>0.12649697468319063</v>
      </c>
      <c r="AD45" s="192">
        <f t="shared" si="3"/>
        <v>16.513321000000001</v>
      </c>
      <c r="AE45" s="189">
        <f t="shared" si="4"/>
        <v>16.766314949366382</v>
      </c>
    </row>
    <row r="46" spans="1:31" ht="18" customHeight="1" outlineLevel="1" x14ac:dyDescent="0.25">
      <c r="A46" s="9" t="s">
        <v>55</v>
      </c>
      <c r="B46" s="127">
        <v>26.04</v>
      </c>
      <c r="C46" s="156"/>
      <c r="D46" s="119">
        <v>9.0568999999999997E-2</v>
      </c>
      <c r="E46" s="119">
        <v>8.2874000000000003E-2</v>
      </c>
      <c r="F46" s="119">
        <v>8.4173999999999999E-2</v>
      </c>
      <c r="G46" s="119">
        <v>9.6157000000000006E-2</v>
      </c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92">
        <f t="shared" si="2"/>
        <v>7.3225721573774907E-3</v>
      </c>
      <c r="AD46" s="192">
        <f t="shared" si="3"/>
        <v>8.7735000000000007E-2</v>
      </c>
      <c r="AE46" s="189">
        <f t="shared" si="4"/>
        <v>0.10238014431475499</v>
      </c>
    </row>
    <row r="47" spans="1:31" ht="18" customHeight="1" outlineLevel="1" x14ac:dyDescent="0.25">
      <c r="A47" s="9" t="s">
        <v>244</v>
      </c>
      <c r="B47" s="127">
        <v>58.12</v>
      </c>
      <c r="C47" s="156"/>
      <c r="D47" s="119">
        <v>6.2699999999999995E-4</v>
      </c>
      <c r="E47" s="119">
        <v>0</v>
      </c>
      <c r="F47" s="119">
        <v>0</v>
      </c>
      <c r="G47" s="119">
        <v>0</v>
      </c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92">
        <f t="shared" si="2"/>
        <v>0</v>
      </c>
      <c r="AD47" s="192">
        <f t="shared" si="3"/>
        <v>0</v>
      </c>
      <c r="AE47" s="189">
        <f t="shared" si="4"/>
        <v>0</v>
      </c>
    </row>
    <row r="48" spans="1:31" ht="18" customHeight="1" outlineLevel="1" x14ac:dyDescent="0.25">
      <c r="A48" s="9" t="s">
        <v>245</v>
      </c>
      <c r="B48" s="127">
        <v>28.013400000000001</v>
      </c>
      <c r="C48" s="156"/>
      <c r="D48" s="119">
        <v>65.155919999999995</v>
      </c>
      <c r="E48" s="119">
        <v>65.432192999999998</v>
      </c>
      <c r="F48" s="119">
        <v>65.311676000000006</v>
      </c>
      <c r="G48" s="119">
        <v>65.289361999999997</v>
      </c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92">
        <f t="shared" si="2"/>
        <v>7.6836359064788737E-2</v>
      </c>
      <c r="AD48" s="192">
        <f t="shared" si="3"/>
        <v>65.344410333333329</v>
      </c>
      <c r="AE48" s="189">
        <f t="shared" si="4"/>
        <v>65.498083051462913</v>
      </c>
    </row>
    <row r="49" spans="1:30" ht="18" customHeight="1" outlineLevel="1" x14ac:dyDescent="0.25">
      <c r="A49" s="9"/>
      <c r="B49" s="127"/>
      <c r="C49" s="157"/>
      <c r="D49" s="150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</row>
    <row r="51" spans="1:30" ht="18" customHeight="1" outlineLevel="1" x14ac:dyDescent="0.25">
      <c r="A51" s="9" t="s">
        <v>246</v>
      </c>
      <c r="B51" s="7"/>
      <c r="C51" s="7" t="s">
        <v>247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208" t="s">
        <v>248</v>
      </c>
      <c r="AD51" s="189" t="s">
        <v>249</v>
      </c>
    </row>
    <row r="52" spans="1:30" ht="18" customHeight="1" outlineLevel="1" x14ac:dyDescent="0.25">
      <c r="A52" s="9" t="str">
        <f t="shared" ref="A52:A81" si="5">IF(A20="", "", CONCATENATE(A20, " [g/h]"))</f>
        <v>Methane [g/h]</v>
      </c>
      <c r="B52" s="102"/>
      <c r="C52" s="103">
        <f t="shared" ref="C52:C84" si="6">IFERROR(AVERAGE(D52:AB52), "")</f>
        <v>5.5652431631653912E-2</v>
      </c>
      <c r="D52" s="103">
        <f t="shared" ref="D52:AB52" si="7">IF(SUM(D20:D48)=0, "", (D20*$B20/(D$43*$B$43))*$F$5)</f>
        <v>5.5484109049471618E-2</v>
      </c>
      <c r="E52" s="103">
        <f t="shared" si="7"/>
        <v>5.5471732153320935E-2</v>
      </c>
      <c r="F52" s="103">
        <f t="shared" si="7"/>
        <v>5.5387654310828163E-2</v>
      </c>
      <c r="G52" s="103">
        <f t="shared" si="7"/>
        <v>5.6266231012994938E-2</v>
      </c>
      <c r="H52" s="103" t="str">
        <f t="shared" si="7"/>
        <v/>
      </c>
      <c r="I52" s="103" t="str">
        <f t="shared" si="7"/>
        <v/>
      </c>
      <c r="J52" s="103" t="str">
        <f t="shared" si="7"/>
        <v/>
      </c>
      <c r="K52" s="103" t="str">
        <f t="shared" si="7"/>
        <v/>
      </c>
      <c r="L52" s="103" t="str">
        <f t="shared" si="7"/>
        <v/>
      </c>
      <c r="M52" s="103" t="str">
        <f t="shared" si="7"/>
        <v/>
      </c>
      <c r="N52" s="103" t="str">
        <f t="shared" si="7"/>
        <v/>
      </c>
      <c r="O52" s="103" t="str">
        <f t="shared" si="7"/>
        <v/>
      </c>
      <c r="P52" s="103" t="str">
        <f t="shared" si="7"/>
        <v/>
      </c>
      <c r="Q52" s="103" t="str">
        <f t="shared" si="7"/>
        <v/>
      </c>
      <c r="R52" s="103" t="str">
        <f t="shared" si="7"/>
        <v/>
      </c>
      <c r="S52" s="103" t="str">
        <f t="shared" si="7"/>
        <v/>
      </c>
      <c r="T52" s="103" t="str">
        <f t="shared" si="7"/>
        <v/>
      </c>
      <c r="U52" s="103" t="str">
        <f t="shared" si="7"/>
        <v/>
      </c>
      <c r="V52" s="103" t="str">
        <f t="shared" si="7"/>
        <v/>
      </c>
      <c r="W52" s="103" t="str">
        <f t="shared" si="7"/>
        <v/>
      </c>
      <c r="X52" s="103" t="str">
        <f t="shared" si="7"/>
        <v/>
      </c>
      <c r="Y52" s="103" t="str">
        <f t="shared" si="7"/>
        <v/>
      </c>
      <c r="Z52" s="103" t="str">
        <f t="shared" si="7"/>
        <v/>
      </c>
      <c r="AA52" s="103" t="str">
        <f t="shared" si="7"/>
        <v/>
      </c>
      <c r="AB52" s="103" t="str">
        <f t="shared" si="7"/>
        <v/>
      </c>
      <c r="AC52" s="192">
        <f t="shared" ref="AC52:AC80" si="8">(12.011*$AD52/$B20)*$C52</f>
        <v>4.1673401267318902E-2</v>
      </c>
      <c r="AD52" s="191">
        <v>1</v>
      </c>
    </row>
    <row r="53" spans="1:30" ht="18" customHeight="1" outlineLevel="1" x14ac:dyDescent="0.25">
      <c r="A53" s="9" t="str">
        <f t="shared" si="5"/>
        <v>Ethane [g/h]</v>
      </c>
      <c r="B53" s="102"/>
      <c r="C53" s="103">
        <f t="shared" si="6"/>
        <v>4.2168246061284921E-2</v>
      </c>
      <c r="D53" s="103">
        <f t="shared" ref="D53:AB53" si="9">IF(SUM(D21:D49)=0, "", (D21*$B21/(D$43*$B$43))*$F$5)</f>
        <v>4.7060602693306842E-2</v>
      </c>
      <c r="E53" s="103">
        <f t="shared" si="9"/>
        <v>4.4431051473933003E-2</v>
      </c>
      <c r="F53" s="103">
        <f t="shared" si="9"/>
        <v>3.9380857181036809E-2</v>
      </c>
      <c r="G53" s="103">
        <f t="shared" si="9"/>
        <v>3.780047289686303E-2</v>
      </c>
      <c r="H53" s="103" t="str">
        <f t="shared" si="9"/>
        <v/>
      </c>
      <c r="I53" s="103" t="str">
        <f t="shared" si="9"/>
        <v/>
      </c>
      <c r="J53" s="103" t="str">
        <f t="shared" si="9"/>
        <v/>
      </c>
      <c r="K53" s="103" t="str">
        <f t="shared" si="9"/>
        <v/>
      </c>
      <c r="L53" s="103" t="str">
        <f t="shared" si="9"/>
        <v/>
      </c>
      <c r="M53" s="103" t="str">
        <f t="shared" si="9"/>
        <v/>
      </c>
      <c r="N53" s="103" t="str">
        <f t="shared" si="9"/>
        <v/>
      </c>
      <c r="O53" s="103" t="str">
        <f t="shared" si="9"/>
        <v/>
      </c>
      <c r="P53" s="103" t="str">
        <f t="shared" si="9"/>
        <v/>
      </c>
      <c r="Q53" s="103" t="str">
        <f t="shared" si="9"/>
        <v/>
      </c>
      <c r="R53" s="103" t="str">
        <f t="shared" si="9"/>
        <v/>
      </c>
      <c r="S53" s="103" t="str">
        <f t="shared" si="9"/>
        <v/>
      </c>
      <c r="T53" s="103" t="str">
        <f t="shared" si="9"/>
        <v/>
      </c>
      <c r="U53" s="103" t="str">
        <f t="shared" si="9"/>
        <v/>
      </c>
      <c r="V53" s="103" t="str">
        <f t="shared" si="9"/>
        <v/>
      </c>
      <c r="W53" s="103" t="str">
        <f t="shared" si="9"/>
        <v/>
      </c>
      <c r="X53" s="103" t="str">
        <f t="shared" si="9"/>
        <v/>
      </c>
      <c r="Y53" s="103" t="str">
        <f t="shared" si="9"/>
        <v/>
      </c>
      <c r="Z53" s="103" t="str">
        <f t="shared" si="9"/>
        <v/>
      </c>
      <c r="AA53" s="103" t="str">
        <f t="shared" si="9"/>
        <v/>
      </c>
      <c r="AB53" s="103" t="str">
        <f t="shared" si="9"/>
        <v/>
      </c>
      <c r="AC53" s="192">
        <f t="shared" si="8"/>
        <v>3.3686917422154516E-2</v>
      </c>
      <c r="AD53" s="189">
        <v>2</v>
      </c>
    </row>
    <row r="54" spans="1:30" ht="18" customHeight="1" outlineLevel="1" x14ac:dyDescent="0.25">
      <c r="A54" s="9" t="str">
        <f t="shared" si="5"/>
        <v>Ethylene [g/h]</v>
      </c>
      <c r="B54" s="102"/>
      <c r="C54" s="103">
        <f t="shared" si="6"/>
        <v>0.13048938038684618</v>
      </c>
      <c r="D54" s="103">
        <f t="shared" ref="D54:AB54" si="10">IF(SUM(D22:D50)=0, "", (D22*$B22/(D$43*$B$43))*$F$5)</f>
        <v>0.12953112293948513</v>
      </c>
      <c r="E54" s="103">
        <f t="shared" si="10"/>
        <v>0.12847607582123585</v>
      </c>
      <c r="F54" s="103">
        <f t="shared" si="10"/>
        <v>0.13000378385051575</v>
      </c>
      <c r="G54" s="103">
        <f t="shared" si="10"/>
        <v>0.133946538936148</v>
      </c>
      <c r="H54" s="103" t="str">
        <f t="shared" si="10"/>
        <v/>
      </c>
      <c r="I54" s="103" t="str">
        <f t="shared" si="10"/>
        <v/>
      </c>
      <c r="J54" s="103" t="str">
        <f t="shared" si="10"/>
        <v/>
      </c>
      <c r="K54" s="103" t="str">
        <f t="shared" si="10"/>
        <v/>
      </c>
      <c r="L54" s="103" t="str">
        <f t="shared" si="10"/>
        <v/>
      </c>
      <c r="M54" s="103" t="str">
        <f t="shared" si="10"/>
        <v/>
      </c>
      <c r="N54" s="103" t="str">
        <f t="shared" si="10"/>
        <v/>
      </c>
      <c r="O54" s="103" t="str">
        <f t="shared" si="10"/>
        <v/>
      </c>
      <c r="P54" s="103" t="str">
        <f t="shared" si="10"/>
        <v/>
      </c>
      <c r="Q54" s="103" t="str">
        <f t="shared" si="10"/>
        <v/>
      </c>
      <c r="R54" s="103" t="str">
        <f t="shared" si="10"/>
        <v/>
      </c>
      <c r="S54" s="103" t="str">
        <f t="shared" si="10"/>
        <v/>
      </c>
      <c r="T54" s="103" t="str">
        <f t="shared" si="10"/>
        <v/>
      </c>
      <c r="U54" s="103" t="str">
        <f t="shared" si="10"/>
        <v/>
      </c>
      <c r="V54" s="103" t="str">
        <f t="shared" si="10"/>
        <v/>
      </c>
      <c r="W54" s="103" t="str">
        <f t="shared" si="10"/>
        <v/>
      </c>
      <c r="X54" s="103" t="str">
        <f t="shared" si="10"/>
        <v/>
      </c>
      <c r="Y54" s="103" t="str">
        <f t="shared" si="10"/>
        <v/>
      </c>
      <c r="Z54" s="103" t="str">
        <f t="shared" si="10"/>
        <v/>
      </c>
      <c r="AA54" s="103" t="str">
        <f t="shared" si="10"/>
        <v/>
      </c>
      <c r="AB54" s="103" t="str">
        <f t="shared" si="10"/>
        <v/>
      </c>
      <c r="AC54" s="192">
        <f t="shared" si="8"/>
        <v>0.11175101232273864</v>
      </c>
      <c r="AD54" s="189">
        <v>2</v>
      </c>
    </row>
    <row r="55" spans="1:30" ht="18" customHeight="1" outlineLevel="1" x14ac:dyDescent="0.25">
      <c r="A55" s="9" t="str">
        <f t="shared" si="5"/>
        <v>Propane [g/h]</v>
      </c>
      <c r="B55" s="102"/>
      <c r="C55" s="103">
        <f t="shared" si="6"/>
        <v>1.2221584630448258E-4</v>
      </c>
      <c r="D55" s="103">
        <f t="shared" ref="D55:AB55" si="11">IF(SUM(D23:D51)=0, "", (D23*$B23/(D$43*$B$43))*$F$5)</f>
        <v>1.5505533142346387E-4</v>
      </c>
      <c r="E55" s="103">
        <f t="shared" si="11"/>
        <v>1.248818266174104E-4</v>
      </c>
      <c r="F55" s="103">
        <f t="shared" si="11"/>
        <v>1.1155064795590677E-4</v>
      </c>
      <c r="G55" s="103">
        <f t="shared" si="11"/>
        <v>9.737557922114927E-5</v>
      </c>
      <c r="H55" s="103" t="str">
        <f t="shared" si="11"/>
        <v/>
      </c>
      <c r="I55" s="103" t="str">
        <f t="shared" si="11"/>
        <v/>
      </c>
      <c r="J55" s="103" t="str">
        <f t="shared" si="11"/>
        <v/>
      </c>
      <c r="K55" s="103" t="str">
        <f t="shared" si="11"/>
        <v/>
      </c>
      <c r="L55" s="103" t="str">
        <f t="shared" si="11"/>
        <v/>
      </c>
      <c r="M55" s="103" t="str">
        <f t="shared" si="11"/>
        <v/>
      </c>
      <c r="N55" s="103" t="str">
        <f t="shared" si="11"/>
        <v/>
      </c>
      <c r="O55" s="103" t="str">
        <f t="shared" si="11"/>
        <v/>
      </c>
      <c r="P55" s="103" t="str">
        <f t="shared" si="11"/>
        <v/>
      </c>
      <c r="Q55" s="103" t="str">
        <f t="shared" si="11"/>
        <v/>
      </c>
      <c r="R55" s="103" t="str">
        <f t="shared" si="11"/>
        <v/>
      </c>
      <c r="S55" s="103" t="str">
        <f t="shared" si="11"/>
        <v/>
      </c>
      <c r="T55" s="103" t="str">
        <f t="shared" si="11"/>
        <v/>
      </c>
      <c r="U55" s="103" t="str">
        <f t="shared" si="11"/>
        <v/>
      </c>
      <c r="V55" s="103" t="str">
        <f t="shared" si="11"/>
        <v/>
      </c>
      <c r="W55" s="103" t="str">
        <f t="shared" si="11"/>
        <v/>
      </c>
      <c r="X55" s="103" t="str">
        <f t="shared" si="11"/>
        <v/>
      </c>
      <c r="Y55" s="103" t="str">
        <f t="shared" si="11"/>
        <v/>
      </c>
      <c r="Z55" s="103" t="str">
        <f t="shared" si="11"/>
        <v/>
      </c>
      <c r="AA55" s="103" t="str">
        <f t="shared" si="11"/>
        <v/>
      </c>
      <c r="AB55" s="103" t="str">
        <f t="shared" si="11"/>
        <v/>
      </c>
      <c r="AC55" s="192">
        <f t="shared" si="8"/>
        <v>9.9859491834227229E-5</v>
      </c>
      <c r="AD55" s="189">
        <v>3</v>
      </c>
    </row>
    <row r="56" spans="1:30" ht="18" customHeight="1" outlineLevel="1" x14ac:dyDescent="0.25">
      <c r="A56" s="9" t="str">
        <f t="shared" si="5"/>
        <v>Propylene [g/h]</v>
      </c>
      <c r="B56" s="102"/>
      <c r="C56" s="103">
        <f t="shared" si="6"/>
        <v>7.6928577577702467E-3</v>
      </c>
      <c r="D56" s="103">
        <f t="shared" ref="D56:AB56" si="12">IF(SUM(D24:D52)=0, "", (D24*$B24/(D$43*$B$43))*$F$5)</f>
        <v>8.1405300481097835E-3</v>
      </c>
      <c r="E56" s="103">
        <f t="shared" si="12"/>
        <v>8.209658346907121E-3</v>
      </c>
      <c r="F56" s="103">
        <f t="shared" si="12"/>
        <v>7.5922946106184832E-3</v>
      </c>
      <c r="G56" s="103">
        <f t="shared" si="12"/>
        <v>6.8289480254456036E-3</v>
      </c>
      <c r="H56" s="103" t="str">
        <f t="shared" si="12"/>
        <v/>
      </c>
      <c r="I56" s="103" t="str">
        <f t="shared" si="12"/>
        <v/>
      </c>
      <c r="J56" s="103" t="str">
        <f t="shared" si="12"/>
        <v/>
      </c>
      <c r="K56" s="103" t="str">
        <f t="shared" si="12"/>
        <v/>
      </c>
      <c r="L56" s="103" t="str">
        <f t="shared" si="12"/>
        <v/>
      </c>
      <c r="M56" s="103" t="str">
        <f t="shared" si="12"/>
        <v/>
      </c>
      <c r="N56" s="103" t="str">
        <f t="shared" si="12"/>
        <v/>
      </c>
      <c r="O56" s="103" t="str">
        <f t="shared" si="12"/>
        <v/>
      </c>
      <c r="P56" s="103" t="str">
        <f t="shared" si="12"/>
        <v/>
      </c>
      <c r="Q56" s="103" t="str">
        <f t="shared" si="12"/>
        <v/>
      </c>
      <c r="R56" s="103" t="str">
        <f t="shared" si="12"/>
        <v/>
      </c>
      <c r="S56" s="103" t="str">
        <f t="shared" si="12"/>
        <v/>
      </c>
      <c r="T56" s="103" t="str">
        <f t="shared" si="12"/>
        <v/>
      </c>
      <c r="U56" s="103" t="str">
        <f t="shared" si="12"/>
        <v/>
      </c>
      <c r="V56" s="103" t="str">
        <f t="shared" si="12"/>
        <v/>
      </c>
      <c r="W56" s="103" t="str">
        <f t="shared" si="12"/>
        <v/>
      </c>
      <c r="X56" s="103" t="str">
        <f t="shared" si="12"/>
        <v/>
      </c>
      <c r="Y56" s="103" t="str">
        <f t="shared" si="12"/>
        <v/>
      </c>
      <c r="Z56" s="103" t="str">
        <f t="shared" si="12"/>
        <v/>
      </c>
      <c r="AA56" s="103" t="str">
        <f t="shared" si="12"/>
        <v/>
      </c>
      <c r="AB56" s="103" t="str">
        <f t="shared" si="12"/>
        <v/>
      </c>
      <c r="AC56" s="192">
        <f t="shared" si="8"/>
        <v>6.5873750852123419E-3</v>
      </c>
      <c r="AD56" s="189">
        <v>3</v>
      </c>
    </row>
    <row r="57" spans="1:30" ht="18" customHeight="1" outlineLevel="1" x14ac:dyDescent="0.25">
      <c r="A57" s="9" t="str">
        <f t="shared" si="5"/>
        <v>Butane [g/h]</v>
      </c>
      <c r="B57" s="102"/>
      <c r="C57" s="103">
        <f t="shared" si="6"/>
        <v>8.8974963065430548E-4</v>
      </c>
      <c r="D57" s="103">
        <f t="shared" ref="D57:AB57" si="13">IF(SUM(D25:D53)=0, "", (D25*$B25/(D$43*$B$43))*$F$5)</f>
        <v>1.0121060821720841E-3</v>
      </c>
      <c r="E57" s="103">
        <f t="shared" si="13"/>
        <v>9.0981751441917267E-4</v>
      </c>
      <c r="F57" s="103">
        <f t="shared" si="13"/>
        <v>8.2580220979575406E-4</v>
      </c>
      <c r="G57" s="103">
        <f t="shared" si="13"/>
        <v>8.1127271623021124E-4</v>
      </c>
      <c r="H57" s="103" t="str">
        <f t="shared" si="13"/>
        <v/>
      </c>
      <c r="I57" s="103" t="str">
        <f t="shared" si="13"/>
        <v/>
      </c>
      <c r="J57" s="103" t="str">
        <f t="shared" si="13"/>
        <v/>
      </c>
      <c r="K57" s="103" t="str">
        <f t="shared" si="13"/>
        <v/>
      </c>
      <c r="L57" s="103" t="str">
        <f t="shared" si="13"/>
        <v/>
      </c>
      <c r="M57" s="103" t="str">
        <f t="shared" si="13"/>
        <v/>
      </c>
      <c r="N57" s="103" t="str">
        <f t="shared" si="13"/>
        <v/>
      </c>
      <c r="O57" s="103" t="str">
        <f t="shared" si="13"/>
        <v/>
      </c>
      <c r="P57" s="103" t="str">
        <f t="shared" si="13"/>
        <v/>
      </c>
      <c r="Q57" s="103" t="str">
        <f t="shared" si="13"/>
        <v/>
      </c>
      <c r="R57" s="103" t="str">
        <f t="shared" si="13"/>
        <v/>
      </c>
      <c r="S57" s="103" t="str">
        <f t="shared" si="13"/>
        <v/>
      </c>
      <c r="T57" s="103" t="str">
        <f t="shared" si="13"/>
        <v/>
      </c>
      <c r="U57" s="103" t="str">
        <f t="shared" si="13"/>
        <v/>
      </c>
      <c r="V57" s="103" t="str">
        <f t="shared" si="13"/>
        <v/>
      </c>
      <c r="W57" s="103" t="str">
        <f t="shared" si="13"/>
        <v/>
      </c>
      <c r="X57" s="103" t="str">
        <f t="shared" si="13"/>
        <v/>
      </c>
      <c r="Y57" s="103" t="str">
        <f t="shared" si="13"/>
        <v/>
      </c>
      <c r="Z57" s="103" t="str">
        <f t="shared" si="13"/>
        <v/>
      </c>
      <c r="AA57" s="103" t="str">
        <f t="shared" si="13"/>
        <v/>
      </c>
      <c r="AB57" s="103" t="str">
        <f t="shared" si="13"/>
        <v/>
      </c>
      <c r="AC57" s="192">
        <f t="shared" si="8"/>
        <v>7.3549778484438154E-4</v>
      </c>
      <c r="AD57" s="189">
        <v>4</v>
      </c>
    </row>
    <row r="58" spans="1:30" ht="18" customHeight="1" outlineLevel="1" x14ac:dyDescent="0.25">
      <c r="A58" s="9" t="str">
        <f t="shared" si="5"/>
        <v>Pentane [g/h]</v>
      </c>
      <c r="B58" s="102"/>
      <c r="C58" s="103">
        <f t="shared" si="6"/>
        <v>0</v>
      </c>
      <c r="D58" s="103">
        <f t="shared" ref="D58:AB58" si="14">IF(SUM(D26:D54)=0, "", (D26*$B26/(D$43*$B$43))*$F$5)</f>
        <v>0</v>
      </c>
      <c r="E58" s="103">
        <f t="shared" si="14"/>
        <v>0</v>
      </c>
      <c r="F58" s="103">
        <f t="shared" si="14"/>
        <v>0</v>
      </c>
      <c r="G58" s="103">
        <f t="shared" si="14"/>
        <v>0</v>
      </c>
      <c r="H58" s="103" t="str">
        <f t="shared" si="14"/>
        <v/>
      </c>
      <c r="I58" s="103" t="str">
        <f t="shared" si="14"/>
        <v/>
      </c>
      <c r="J58" s="103" t="str">
        <f t="shared" si="14"/>
        <v/>
      </c>
      <c r="K58" s="103" t="str">
        <f t="shared" si="14"/>
        <v/>
      </c>
      <c r="L58" s="103" t="str">
        <f t="shared" si="14"/>
        <v/>
      </c>
      <c r="M58" s="103" t="str">
        <f t="shared" si="14"/>
        <v/>
      </c>
      <c r="N58" s="103" t="str">
        <f t="shared" si="14"/>
        <v/>
      </c>
      <c r="O58" s="103" t="str">
        <f t="shared" si="14"/>
        <v/>
      </c>
      <c r="P58" s="103" t="str">
        <f t="shared" si="14"/>
        <v/>
      </c>
      <c r="Q58" s="103" t="str">
        <f t="shared" si="14"/>
        <v/>
      </c>
      <c r="R58" s="103" t="str">
        <f t="shared" si="14"/>
        <v/>
      </c>
      <c r="S58" s="103" t="str">
        <f t="shared" si="14"/>
        <v/>
      </c>
      <c r="T58" s="103" t="str">
        <f t="shared" si="14"/>
        <v/>
      </c>
      <c r="U58" s="103" t="str">
        <f t="shared" si="14"/>
        <v/>
      </c>
      <c r="V58" s="103" t="str">
        <f t="shared" si="14"/>
        <v/>
      </c>
      <c r="W58" s="103" t="str">
        <f t="shared" si="14"/>
        <v/>
      </c>
      <c r="X58" s="103" t="str">
        <f t="shared" si="14"/>
        <v/>
      </c>
      <c r="Y58" s="103" t="str">
        <f t="shared" si="14"/>
        <v/>
      </c>
      <c r="Z58" s="103" t="str">
        <f t="shared" si="14"/>
        <v/>
      </c>
      <c r="AA58" s="103" t="str">
        <f t="shared" si="14"/>
        <v/>
      </c>
      <c r="AB58" s="103" t="str">
        <f t="shared" si="14"/>
        <v/>
      </c>
      <c r="AC58" s="192">
        <f t="shared" si="8"/>
        <v>0</v>
      </c>
      <c r="AD58" s="189">
        <v>5</v>
      </c>
    </row>
    <row r="59" spans="1:30" ht="18" customHeight="1" outlineLevel="1" x14ac:dyDescent="0.25">
      <c r="A59" s="9" t="str">
        <f t="shared" si="5"/>
        <v>C6s (Isomers of hexane?) [g/h]</v>
      </c>
      <c r="B59" s="102"/>
      <c r="C59" s="103">
        <f t="shared" si="6"/>
        <v>0</v>
      </c>
      <c r="D59" s="103">
        <f t="shared" ref="D59:AB59" si="15">IF(SUM(D27:D55)=0, "", (D27*$B27/(D$43*$B$43))*$F$5)</f>
        <v>0</v>
      </c>
      <c r="E59" s="103">
        <f t="shared" si="15"/>
        <v>0</v>
      </c>
      <c r="F59" s="103">
        <f t="shared" si="15"/>
        <v>0</v>
      </c>
      <c r="G59" s="103">
        <f t="shared" si="15"/>
        <v>0</v>
      </c>
      <c r="H59" s="103" t="str">
        <f t="shared" si="15"/>
        <v/>
      </c>
      <c r="I59" s="103" t="str">
        <f t="shared" si="15"/>
        <v/>
      </c>
      <c r="J59" s="103" t="str">
        <f t="shared" si="15"/>
        <v/>
      </c>
      <c r="K59" s="103" t="str">
        <f t="shared" si="15"/>
        <v/>
      </c>
      <c r="L59" s="103" t="str">
        <f t="shared" si="15"/>
        <v/>
      </c>
      <c r="M59" s="103" t="str">
        <f t="shared" si="15"/>
        <v/>
      </c>
      <c r="N59" s="103" t="str">
        <f t="shared" si="15"/>
        <v/>
      </c>
      <c r="O59" s="103" t="str">
        <f t="shared" si="15"/>
        <v/>
      </c>
      <c r="P59" s="103" t="str">
        <f t="shared" si="15"/>
        <v/>
      </c>
      <c r="Q59" s="103" t="str">
        <f t="shared" si="15"/>
        <v/>
      </c>
      <c r="R59" s="103" t="str">
        <f t="shared" si="15"/>
        <v/>
      </c>
      <c r="S59" s="103" t="str">
        <f t="shared" si="15"/>
        <v/>
      </c>
      <c r="T59" s="103" t="str">
        <f t="shared" si="15"/>
        <v/>
      </c>
      <c r="U59" s="103" t="str">
        <f t="shared" si="15"/>
        <v/>
      </c>
      <c r="V59" s="103" t="str">
        <f t="shared" si="15"/>
        <v/>
      </c>
      <c r="W59" s="103" t="str">
        <f t="shared" si="15"/>
        <v/>
      </c>
      <c r="X59" s="103" t="str">
        <f t="shared" si="15"/>
        <v/>
      </c>
      <c r="Y59" s="103" t="str">
        <f t="shared" si="15"/>
        <v/>
      </c>
      <c r="Z59" s="103" t="str">
        <f t="shared" si="15"/>
        <v/>
      </c>
      <c r="AA59" s="103" t="str">
        <f t="shared" si="15"/>
        <v/>
      </c>
      <c r="AB59" s="103" t="str">
        <f t="shared" si="15"/>
        <v/>
      </c>
      <c r="AC59" s="192">
        <f t="shared" si="8"/>
        <v>0</v>
      </c>
      <c r="AD59" s="189">
        <v>6</v>
      </c>
    </row>
    <row r="60" spans="1:30" ht="18" customHeight="1" outlineLevel="1" x14ac:dyDescent="0.25">
      <c r="A60" s="9" t="str">
        <f t="shared" si="5"/>
        <v>Hexane [g/h]</v>
      </c>
      <c r="B60" s="102"/>
      <c r="C60" s="103">
        <f t="shared" si="6"/>
        <v>0</v>
      </c>
      <c r="D60" s="103">
        <f t="shared" ref="D60:AB60" si="16">IF(SUM(D28:D56)=0, "", (D28*$B28/(D$43*$B$43))*$F$5)</f>
        <v>0</v>
      </c>
      <c r="E60" s="103">
        <f t="shared" si="16"/>
        <v>0</v>
      </c>
      <c r="F60" s="103">
        <f t="shared" si="16"/>
        <v>0</v>
      </c>
      <c r="G60" s="103">
        <f t="shared" si="16"/>
        <v>0</v>
      </c>
      <c r="H60" s="103" t="str">
        <f t="shared" si="16"/>
        <v/>
      </c>
      <c r="I60" s="103" t="str">
        <f t="shared" si="16"/>
        <v/>
      </c>
      <c r="J60" s="103" t="str">
        <f t="shared" si="16"/>
        <v/>
      </c>
      <c r="K60" s="103" t="str">
        <f t="shared" si="16"/>
        <v/>
      </c>
      <c r="L60" s="103" t="str">
        <f t="shared" si="16"/>
        <v/>
      </c>
      <c r="M60" s="103" t="str">
        <f t="shared" si="16"/>
        <v/>
      </c>
      <c r="N60" s="103" t="str">
        <f t="shared" si="16"/>
        <v/>
      </c>
      <c r="O60" s="103" t="str">
        <f t="shared" si="16"/>
        <v/>
      </c>
      <c r="P60" s="103" t="str">
        <f t="shared" si="16"/>
        <v/>
      </c>
      <c r="Q60" s="103" t="str">
        <f t="shared" si="16"/>
        <v/>
      </c>
      <c r="R60" s="103" t="str">
        <f t="shared" si="16"/>
        <v/>
      </c>
      <c r="S60" s="103" t="str">
        <f t="shared" si="16"/>
        <v/>
      </c>
      <c r="T60" s="103" t="str">
        <f t="shared" si="16"/>
        <v/>
      </c>
      <c r="U60" s="103" t="str">
        <f t="shared" si="16"/>
        <v/>
      </c>
      <c r="V60" s="103" t="str">
        <f t="shared" si="16"/>
        <v/>
      </c>
      <c r="W60" s="103" t="str">
        <f t="shared" si="16"/>
        <v/>
      </c>
      <c r="X60" s="103" t="str">
        <f t="shared" si="16"/>
        <v/>
      </c>
      <c r="Y60" s="103" t="str">
        <f t="shared" si="16"/>
        <v/>
      </c>
      <c r="Z60" s="103" t="str">
        <f t="shared" si="16"/>
        <v/>
      </c>
      <c r="AA60" s="103" t="str">
        <f t="shared" si="16"/>
        <v/>
      </c>
      <c r="AB60" s="103" t="str">
        <f t="shared" si="16"/>
        <v/>
      </c>
      <c r="AC60" s="192">
        <f t="shared" si="8"/>
        <v>0</v>
      </c>
      <c r="AD60" s="189">
        <v>6</v>
      </c>
    </row>
    <row r="61" spans="1:30" ht="18" customHeight="1" outlineLevel="1" x14ac:dyDescent="0.25">
      <c r="A61" s="9" t="str">
        <f t="shared" si="5"/>
        <v>C4 [g/h]</v>
      </c>
      <c r="B61" s="102"/>
      <c r="C61" s="103">
        <f t="shared" si="6"/>
        <v>3.6889719315669769E-2</v>
      </c>
      <c r="D61" s="103">
        <f t="shared" ref="D61:AB61" si="17">IF(SUM(D29:D57)=0, "", (D29*$B29/(D$43*$B$43))*$F$5)</f>
        <v>3.4333224237970215E-2</v>
      </c>
      <c r="E61" s="103">
        <f t="shared" si="17"/>
        <v>3.4993498395821103E-2</v>
      </c>
      <c r="F61" s="103">
        <f t="shared" si="17"/>
        <v>3.7468851817130333E-2</v>
      </c>
      <c r="G61" s="103">
        <f t="shared" si="17"/>
        <v>4.0763302811757419E-2</v>
      </c>
      <c r="H61" s="103" t="str">
        <f t="shared" si="17"/>
        <v/>
      </c>
      <c r="I61" s="103" t="str">
        <f t="shared" si="17"/>
        <v/>
      </c>
      <c r="J61" s="103" t="str">
        <f t="shared" si="17"/>
        <v/>
      </c>
      <c r="K61" s="103" t="str">
        <f t="shared" si="17"/>
        <v/>
      </c>
      <c r="L61" s="103" t="str">
        <f t="shared" si="17"/>
        <v/>
      </c>
      <c r="M61" s="103" t="str">
        <f t="shared" si="17"/>
        <v/>
      </c>
      <c r="N61" s="103" t="str">
        <f t="shared" si="17"/>
        <v/>
      </c>
      <c r="O61" s="103" t="str">
        <f t="shared" si="17"/>
        <v/>
      </c>
      <c r="P61" s="103" t="str">
        <f t="shared" si="17"/>
        <v/>
      </c>
      <c r="Q61" s="103" t="str">
        <f t="shared" si="17"/>
        <v/>
      </c>
      <c r="R61" s="103" t="str">
        <f t="shared" si="17"/>
        <v/>
      </c>
      <c r="S61" s="103" t="str">
        <f t="shared" si="17"/>
        <v/>
      </c>
      <c r="T61" s="103" t="str">
        <f t="shared" si="17"/>
        <v/>
      </c>
      <c r="U61" s="103" t="str">
        <f t="shared" si="17"/>
        <v/>
      </c>
      <c r="V61" s="103" t="str">
        <f t="shared" si="17"/>
        <v/>
      </c>
      <c r="W61" s="103" t="str">
        <f t="shared" si="17"/>
        <v/>
      </c>
      <c r="X61" s="103" t="str">
        <f t="shared" si="17"/>
        <v/>
      </c>
      <c r="Y61" s="103" t="str">
        <f t="shared" si="17"/>
        <v/>
      </c>
      <c r="Z61" s="103" t="str">
        <f t="shared" si="17"/>
        <v/>
      </c>
      <c r="AA61" s="103" t="str">
        <f t="shared" si="17"/>
        <v/>
      </c>
      <c r="AB61" s="103" t="str">
        <f t="shared" si="17"/>
        <v/>
      </c>
      <c r="AC61" s="192">
        <f t="shared" si="8"/>
        <v>3.0494316496938033E-2</v>
      </c>
      <c r="AD61" s="189">
        <v>4</v>
      </c>
    </row>
    <row r="62" spans="1:30" ht="18" customHeight="1" outlineLevel="1" x14ac:dyDescent="0.25">
      <c r="A62" s="9" t="str">
        <f t="shared" si="5"/>
        <v>C5 [g/h]</v>
      </c>
      <c r="B62" s="102"/>
      <c r="C62" s="103">
        <f t="shared" si="6"/>
        <v>0</v>
      </c>
      <c r="D62" s="103">
        <f t="shared" ref="D62:AB62" si="18">IF(SUM(D30:D58)=0, "", (D30*$B30/(D$43*$B$43))*$F$5)</f>
        <v>0</v>
      </c>
      <c r="E62" s="103">
        <f t="shared" si="18"/>
        <v>0</v>
      </c>
      <c r="F62" s="103">
        <f t="shared" si="18"/>
        <v>0</v>
      </c>
      <c r="G62" s="103">
        <f t="shared" si="18"/>
        <v>0</v>
      </c>
      <c r="H62" s="103" t="str">
        <f t="shared" si="18"/>
        <v/>
      </c>
      <c r="I62" s="103" t="str">
        <f t="shared" si="18"/>
        <v/>
      </c>
      <c r="J62" s="103" t="str">
        <f t="shared" si="18"/>
        <v/>
      </c>
      <c r="K62" s="103" t="str">
        <f t="shared" si="18"/>
        <v/>
      </c>
      <c r="L62" s="103" t="str">
        <f t="shared" si="18"/>
        <v/>
      </c>
      <c r="M62" s="103" t="str">
        <f t="shared" si="18"/>
        <v/>
      </c>
      <c r="N62" s="103" t="str">
        <f t="shared" si="18"/>
        <v/>
      </c>
      <c r="O62" s="103" t="str">
        <f t="shared" si="18"/>
        <v/>
      </c>
      <c r="P62" s="103" t="str">
        <f t="shared" si="18"/>
        <v/>
      </c>
      <c r="Q62" s="103" t="str">
        <f t="shared" si="18"/>
        <v/>
      </c>
      <c r="R62" s="103" t="str">
        <f t="shared" si="18"/>
        <v/>
      </c>
      <c r="S62" s="103" t="str">
        <f t="shared" si="18"/>
        <v/>
      </c>
      <c r="T62" s="103" t="str">
        <f t="shared" si="18"/>
        <v/>
      </c>
      <c r="U62" s="103" t="str">
        <f t="shared" si="18"/>
        <v/>
      </c>
      <c r="V62" s="103" t="str">
        <f t="shared" si="18"/>
        <v/>
      </c>
      <c r="W62" s="103" t="str">
        <f t="shared" si="18"/>
        <v/>
      </c>
      <c r="X62" s="103" t="str">
        <f t="shared" si="18"/>
        <v/>
      </c>
      <c r="Y62" s="103" t="str">
        <f t="shared" si="18"/>
        <v/>
      </c>
      <c r="Z62" s="103" t="str">
        <f t="shared" si="18"/>
        <v/>
      </c>
      <c r="AA62" s="103" t="str">
        <f t="shared" si="18"/>
        <v/>
      </c>
      <c r="AB62" s="103" t="str">
        <f t="shared" si="18"/>
        <v/>
      </c>
      <c r="AC62" s="192">
        <f t="shared" si="8"/>
        <v>0</v>
      </c>
      <c r="AD62" s="189">
        <v>5</v>
      </c>
    </row>
    <row r="63" spans="1:30" ht="18" customHeight="1" outlineLevel="1" x14ac:dyDescent="0.25">
      <c r="A63" s="9" t="str">
        <f t="shared" si="5"/>
        <v>C6 [g/h]</v>
      </c>
      <c r="B63" s="102"/>
      <c r="C63" s="103">
        <f t="shared" si="6"/>
        <v>4.1872773363990716E-4</v>
      </c>
      <c r="D63" s="103">
        <f t="shared" ref="D63:AB63" si="19">IF(SUM(D31:D59)=0, "", (D31*$B31/(D$43*$B$43))*$F$5)</f>
        <v>7.3880143076571322E-4</v>
      </c>
      <c r="E63" s="103">
        <f t="shared" si="19"/>
        <v>3.7731685101598098E-4</v>
      </c>
      <c r="F63" s="103">
        <f t="shared" si="19"/>
        <v>2.9620562768066028E-4</v>
      </c>
      <c r="G63" s="103">
        <f t="shared" si="19"/>
        <v>2.6258702509727425E-4</v>
      </c>
      <c r="H63" s="103" t="str">
        <f t="shared" si="19"/>
        <v/>
      </c>
      <c r="I63" s="103" t="str">
        <f t="shared" si="19"/>
        <v/>
      </c>
      <c r="J63" s="103" t="str">
        <f t="shared" si="19"/>
        <v/>
      </c>
      <c r="K63" s="103" t="str">
        <f t="shared" si="19"/>
        <v/>
      </c>
      <c r="L63" s="103" t="str">
        <f t="shared" si="19"/>
        <v/>
      </c>
      <c r="M63" s="103" t="str">
        <f t="shared" si="19"/>
        <v/>
      </c>
      <c r="N63" s="103" t="str">
        <f t="shared" si="19"/>
        <v/>
      </c>
      <c r="O63" s="103" t="str">
        <f t="shared" si="19"/>
        <v/>
      </c>
      <c r="P63" s="103" t="str">
        <f t="shared" si="19"/>
        <v/>
      </c>
      <c r="Q63" s="103" t="str">
        <f t="shared" si="19"/>
        <v/>
      </c>
      <c r="R63" s="103" t="str">
        <f t="shared" si="19"/>
        <v/>
      </c>
      <c r="S63" s="103" t="str">
        <f t="shared" si="19"/>
        <v/>
      </c>
      <c r="T63" s="103" t="str">
        <f t="shared" si="19"/>
        <v/>
      </c>
      <c r="U63" s="103" t="str">
        <f t="shared" si="19"/>
        <v/>
      </c>
      <c r="V63" s="103" t="str">
        <f t="shared" si="19"/>
        <v/>
      </c>
      <c r="W63" s="103" t="str">
        <f t="shared" si="19"/>
        <v/>
      </c>
      <c r="X63" s="103" t="str">
        <f t="shared" si="19"/>
        <v/>
      </c>
      <c r="Y63" s="103" t="str">
        <f t="shared" si="19"/>
        <v/>
      </c>
      <c r="Z63" s="103" t="str">
        <f t="shared" si="19"/>
        <v/>
      </c>
      <c r="AA63" s="103" t="str">
        <f t="shared" si="19"/>
        <v/>
      </c>
      <c r="AB63" s="103" t="str">
        <f t="shared" si="19"/>
        <v/>
      </c>
      <c r="AC63" s="192">
        <f t="shared" si="8"/>
        <v>3.5015122827214607E-4</v>
      </c>
      <c r="AD63" s="189">
        <v>6</v>
      </c>
    </row>
    <row r="64" spans="1:30" ht="18" customHeight="1" outlineLevel="1" x14ac:dyDescent="0.25">
      <c r="A64" s="9" t="str">
        <f t="shared" si="5"/>
        <v>C6 Above [g/h]</v>
      </c>
      <c r="B64" s="102"/>
      <c r="C64" s="103">
        <f t="shared" si="6"/>
        <v>1.3682333165965288E-2</v>
      </c>
      <c r="D64" s="103">
        <f t="shared" ref="D64:AB64" si="20">IF(SUM(D32:D60)=0, "", (D32*$B32/(D$43*$B$43))*$F$5)</f>
        <v>1.2878985260309773E-2</v>
      </c>
      <c r="E64" s="103">
        <f t="shared" si="20"/>
        <v>1.3563772083560716E-2</v>
      </c>
      <c r="F64" s="103">
        <f t="shared" si="20"/>
        <v>1.4054603856096692E-2</v>
      </c>
      <c r="G64" s="103">
        <f t="shared" si="20"/>
        <v>1.4231971463893971E-2</v>
      </c>
      <c r="H64" s="103" t="str">
        <f t="shared" si="20"/>
        <v/>
      </c>
      <c r="I64" s="103" t="str">
        <f t="shared" si="20"/>
        <v/>
      </c>
      <c r="J64" s="103" t="str">
        <f t="shared" si="20"/>
        <v/>
      </c>
      <c r="K64" s="103" t="str">
        <f t="shared" si="20"/>
        <v/>
      </c>
      <c r="L64" s="103" t="str">
        <f t="shared" si="20"/>
        <v/>
      </c>
      <c r="M64" s="103" t="str">
        <f t="shared" si="20"/>
        <v/>
      </c>
      <c r="N64" s="103" t="str">
        <f t="shared" si="20"/>
        <v/>
      </c>
      <c r="O64" s="103" t="str">
        <f t="shared" si="20"/>
        <v/>
      </c>
      <c r="P64" s="103" t="str">
        <f t="shared" si="20"/>
        <v/>
      </c>
      <c r="Q64" s="103" t="str">
        <f t="shared" si="20"/>
        <v/>
      </c>
      <c r="R64" s="103" t="str">
        <f t="shared" si="20"/>
        <v/>
      </c>
      <c r="S64" s="103" t="str">
        <f t="shared" si="20"/>
        <v/>
      </c>
      <c r="T64" s="103" t="str">
        <f t="shared" si="20"/>
        <v/>
      </c>
      <c r="U64" s="103" t="str">
        <f t="shared" si="20"/>
        <v/>
      </c>
      <c r="V64" s="103" t="str">
        <f t="shared" si="20"/>
        <v/>
      </c>
      <c r="W64" s="103" t="str">
        <f t="shared" si="20"/>
        <v/>
      </c>
      <c r="X64" s="103" t="str">
        <f t="shared" si="20"/>
        <v/>
      </c>
      <c r="Y64" s="103" t="str">
        <f t="shared" si="20"/>
        <v/>
      </c>
      <c r="Z64" s="103" t="str">
        <f t="shared" si="20"/>
        <v/>
      </c>
      <c r="AA64" s="103" t="str">
        <f t="shared" si="20"/>
        <v/>
      </c>
      <c r="AB64" s="103" t="str">
        <f t="shared" si="20"/>
        <v/>
      </c>
      <c r="AC64" s="192">
        <f t="shared" si="8"/>
        <v>9.8396469607669335E-3</v>
      </c>
      <c r="AD64" s="189">
        <v>6</v>
      </c>
    </row>
    <row r="65" spans="1:30" ht="18" customHeight="1" outlineLevel="1" x14ac:dyDescent="0.25">
      <c r="A65" s="9" t="str">
        <f t="shared" si="5"/>
        <v>Benzene [g/h]</v>
      </c>
      <c r="B65" s="102"/>
      <c r="C65" s="103">
        <f t="shared" si="6"/>
        <v>0</v>
      </c>
      <c r="D65" s="103">
        <f t="shared" ref="D65:AB65" si="21">IF(SUM(D33:D61)=0, "", (D33*$B33/(D$43*$B$43))*$F$5)</f>
        <v>0</v>
      </c>
      <c r="E65" s="103">
        <f t="shared" si="21"/>
        <v>0</v>
      </c>
      <c r="F65" s="103">
        <f t="shared" si="21"/>
        <v>0</v>
      </c>
      <c r="G65" s="103">
        <f t="shared" si="21"/>
        <v>0</v>
      </c>
      <c r="H65" s="103" t="str">
        <f t="shared" si="21"/>
        <v/>
      </c>
      <c r="I65" s="103" t="str">
        <f t="shared" si="21"/>
        <v/>
      </c>
      <c r="J65" s="103" t="str">
        <f t="shared" si="21"/>
        <v/>
      </c>
      <c r="K65" s="103" t="str">
        <f t="shared" si="21"/>
        <v/>
      </c>
      <c r="L65" s="103" t="str">
        <f t="shared" si="21"/>
        <v/>
      </c>
      <c r="M65" s="103" t="str">
        <f t="shared" si="21"/>
        <v/>
      </c>
      <c r="N65" s="103" t="str">
        <f t="shared" si="21"/>
        <v/>
      </c>
      <c r="O65" s="103" t="str">
        <f t="shared" si="21"/>
        <v/>
      </c>
      <c r="P65" s="103" t="str">
        <f t="shared" si="21"/>
        <v/>
      </c>
      <c r="Q65" s="103" t="str">
        <f t="shared" si="21"/>
        <v/>
      </c>
      <c r="R65" s="103" t="str">
        <f t="shared" si="21"/>
        <v/>
      </c>
      <c r="S65" s="103" t="str">
        <f t="shared" si="21"/>
        <v/>
      </c>
      <c r="T65" s="103" t="str">
        <f t="shared" si="21"/>
        <v/>
      </c>
      <c r="U65" s="103" t="str">
        <f t="shared" si="21"/>
        <v/>
      </c>
      <c r="V65" s="103" t="str">
        <f t="shared" si="21"/>
        <v/>
      </c>
      <c r="W65" s="103" t="str">
        <f t="shared" si="21"/>
        <v/>
      </c>
      <c r="X65" s="103" t="str">
        <f t="shared" si="21"/>
        <v/>
      </c>
      <c r="Y65" s="103" t="str">
        <f t="shared" si="21"/>
        <v/>
      </c>
      <c r="Z65" s="103" t="str">
        <f t="shared" si="21"/>
        <v/>
      </c>
      <c r="AA65" s="103" t="str">
        <f t="shared" si="21"/>
        <v/>
      </c>
      <c r="AB65" s="103" t="str">
        <f t="shared" si="21"/>
        <v/>
      </c>
      <c r="AC65" s="192">
        <f t="shared" si="8"/>
        <v>0</v>
      </c>
      <c r="AD65" s="189">
        <v>6</v>
      </c>
    </row>
    <row r="66" spans="1:30" ht="18" customHeight="1" outlineLevel="1" x14ac:dyDescent="0.25">
      <c r="A66" s="9" t="str">
        <f t="shared" si="5"/>
        <v>Toluene [g/h]</v>
      </c>
      <c r="B66" s="102"/>
      <c r="C66" s="103">
        <f t="shared" si="6"/>
        <v>0</v>
      </c>
      <c r="D66" s="103">
        <f t="shared" ref="D66:AB66" si="22">IF(SUM(D34:D62)=0, "", (D34*$B34/(D$43*$B$43))*$F$5)</f>
        <v>0</v>
      </c>
      <c r="E66" s="103">
        <f t="shared" si="22"/>
        <v>0</v>
      </c>
      <c r="F66" s="103">
        <f t="shared" si="22"/>
        <v>0</v>
      </c>
      <c r="G66" s="103">
        <f t="shared" si="22"/>
        <v>0</v>
      </c>
      <c r="H66" s="103" t="str">
        <f t="shared" si="22"/>
        <v/>
      </c>
      <c r="I66" s="103" t="str">
        <f t="shared" si="22"/>
        <v/>
      </c>
      <c r="J66" s="103" t="str">
        <f t="shared" si="22"/>
        <v/>
      </c>
      <c r="K66" s="103" t="str">
        <f t="shared" si="22"/>
        <v/>
      </c>
      <c r="L66" s="103" t="str">
        <f t="shared" si="22"/>
        <v/>
      </c>
      <c r="M66" s="103" t="str">
        <f t="shared" si="22"/>
        <v/>
      </c>
      <c r="N66" s="103" t="str">
        <f t="shared" si="22"/>
        <v/>
      </c>
      <c r="O66" s="103" t="str">
        <f t="shared" si="22"/>
        <v/>
      </c>
      <c r="P66" s="103" t="str">
        <f t="shared" si="22"/>
        <v/>
      </c>
      <c r="Q66" s="103" t="str">
        <f t="shared" si="22"/>
        <v/>
      </c>
      <c r="R66" s="103" t="str">
        <f t="shared" si="22"/>
        <v/>
      </c>
      <c r="S66" s="103" t="str">
        <f t="shared" si="22"/>
        <v/>
      </c>
      <c r="T66" s="103" t="str">
        <f t="shared" si="22"/>
        <v/>
      </c>
      <c r="U66" s="103" t="str">
        <f t="shared" si="22"/>
        <v/>
      </c>
      <c r="V66" s="103" t="str">
        <f t="shared" si="22"/>
        <v/>
      </c>
      <c r="W66" s="103" t="str">
        <f t="shared" si="22"/>
        <v/>
      </c>
      <c r="X66" s="103" t="str">
        <f t="shared" si="22"/>
        <v/>
      </c>
      <c r="Y66" s="103" t="str">
        <f t="shared" si="22"/>
        <v/>
      </c>
      <c r="Z66" s="103" t="str">
        <f t="shared" si="22"/>
        <v/>
      </c>
      <c r="AA66" s="103" t="str">
        <f t="shared" si="22"/>
        <v/>
      </c>
      <c r="AB66" s="103" t="str">
        <f t="shared" si="22"/>
        <v/>
      </c>
      <c r="AC66" s="192">
        <f t="shared" si="8"/>
        <v>0</v>
      </c>
      <c r="AD66" s="189">
        <v>7</v>
      </c>
    </row>
    <row r="67" spans="1:30" ht="18" customHeight="1" outlineLevel="1" x14ac:dyDescent="0.25">
      <c r="A67" s="9" t="str">
        <f t="shared" si="5"/>
        <v>Ethylbenzene [g/h]</v>
      </c>
      <c r="B67" s="102"/>
      <c r="C67" s="103">
        <f t="shared" si="6"/>
        <v>0</v>
      </c>
      <c r="D67" s="103">
        <f t="shared" ref="D67:AB67" si="23">IF(SUM(D35:D63)=0, "", (D35*$B35/(D$43*$B$43))*$F$5)</f>
        <v>0</v>
      </c>
      <c r="E67" s="103">
        <f t="shared" si="23"/>
        <v>0</v>
      </c>
      <c r="F67" s="103">
        <f t="shared" si="23"/>
        <v>0</v>
      </c>
      <c r="G67" s="103">
        <f t="shared" si="23"/>
        <v>0</v>
      </c>
      <c r="H67" s="103" t="str">
        <f t="shared" si="23"/>
        <v/>
      </c>
      <c r="I67" s="103" t="str">
        <f t="shared" si="23"/>
        <v/>
      </c>
      <c r="J67" s="103" t="str">
        <f t="shared" si="23"/>
        <v/>
      </c>
      <c r="K67" s="103" t="str">
        <f t="shared" si="23"/>
        <v/>
      </c>
      <c r="L67" s="103" t="str">
        <f t="shared" si="23"/>
        <v/>
      </c>
      <c r="M67" s="103" t="str">
        <f t="shared" si="23"/>
        <v/>
      </c>
      <c r="N67" s="103" t="str">
        <f t="shared" si="23"/>
        <v/>
      </c>
      <c r="O67" s="103" t="str">
        <f t="shared" si="23"/>
        <v/>
      </c>
      <c r="P67" s="103" t="str">
        <f t="shared" si="23"/>
        <v/>
      </c>
      <c r="Q67" s="103" t="str">
        <f t="shared" si="23"/>
        <v/>
      </c>
      <c r="R67" s="103" t="str">
        <f t="shared" si="23"/>
        <v/>
      </c>
      <c r="S67" s="103" t="str">
        <f t="shared" si="23"/>
        <v/>
      </c>
      <c r="T67" s="103" t="str">
        <f t="shared" si="23"/>
        <v/>
      </c>
      <c r="U67" s="103" t="str">
        <f t="shared" si="23"/>
        <v/>
      </c>
      <c r="V67" s="103" t="str">
        <f t="shared" si="23"/>
        <v/>
      </c>
      <c r="W67" s="103" t="str">
        <f t="shared" si="23"/>
        <v/>
      </c>
      <c r="X67" s="103" t="str">
        <f t="shared" si="23"/>
        <v/>
      </c>
      <c r="Y67" s="103" t="str">
        <f t="shared" si="23"/>
        <v/>
      </c>
      <c r="Z67" s="103" t="str">
        <f t="shared" si="23"/>
        <v/>
      </c>
      <c r="AA67" s="103" t="str">
        <f t="shared" si="23"/>
        <v/>
      </c>
      <c r="AB67" s="103" t="str">
        <f t="shared" si="23"/>
        <v/>
      </c>
      <c r="AC67" s="192">
        <f t="shared" si="8"/>
        <v>0</v>
      </c>
      <c r="AD67" s="189">
        <v>8</v>
      </c>
    </row>
    <row r="68" spans="1:30" ht="18" customHeight="1" outlineLevel="1" x14ac:dyDescent="0.25">
      <c r="A68" s="9" t="str">
        <f t="shared" si="5"/>
        <v>p-Xylene [g/h]</v>
      </c>
      <c r="B68" s="102"/>
      <c r="C68" s="103">
        <f t="shared" si="6"/>
        <v>0</v>
      </c>
      <c r="D68" s="103">
        <f t="shared" ref="D68:AB68" si="24">IF(SUM(D36:D64)=0, "", (D36*$B36/(D$43*$B$43))*$F$5)</f>
        <v>0</v>
      </c>
      <c r="E68" s="103">
        <f t="shared" si="24"/>
        <v>0</v>
      </c>
      <c r="F68" s="103">
        <f t="shared" si="24"/>
        <v>0</v>
      </c>
      <c r="G68" s="103">
        <f t="shared" si="24"/>
        <v>0</v>
      </c>
      <c r="H68" s="103" t="str">
        <f t="shared" si="24"/>
        <v/>
      </c>
      <c r="I68" s="103" t="str">
        <f t="shared" si="24"/>
        <v/>
      </c>
      <c r="J68" s="103" t="str">
        <f t="shared" si="24"/>
        <v/>
      </c>
      <c r="K68" s="103" t="str">
        <f t="shared" si="24"/>
        <v/>
      </c>
      <c r="L68" s="103" t="str">
        <f t="shared" si="24"/>
        <v/>
      </c>
      <c r="M68" s="103" t="str">
        <f t="shared" si="24"/>
        <v/>
      </c>
      <c r="N68" s="103" t="str">
        <f t="shared" si="24"/>
        <v/>
      </c>
      <c r="O68" s="103" t="str">
        <f t="shared" si="24"/>
        <v/>
      </c>
      <c r="P68" s="103" t="str">
        <f t="shared" si="24"/>
        <v/>
      </c>
      <c r="Q68" s="103" t="str">
        <f t="shared" si="24"/>
        <v/>
      </c>
      <c r="R68" s="103" t="str">
        <f t="shared" si="24"/>
        <v/>
      </c>
      <c r="S68" s="103" t="str">
        <f t="shared" si="24"/>
        <v/>
      </c>
      <c r="T68" s="103" t="str">
        <f t="shared" si="24"/>
        <v/>
      </c>
      <c r="U68" s="103" t="str">
        <f t="shared" si="24"/>
        <v/>
      </c>
      <c r="V68" s="103" t="str">
        <f t="shared" si="24"/>
        <v/>
      </c>
      <c r="W68" s="103" t="str">
        <f t="shared" si="24"/>
        <v/>
      </c>
      <c r="X68" s="103" t="str">
        <f t="shared" si="24"/>
        <v/>
      </c>
      <c r="Y68" s="103" t="str">
        <f t="shared" si="24"/>
        <v/>
      </c>
      <c r="Z68" s="103" t="str">
        <f t="shared" si="24"/>
        <v/>
      </c>
      <c r="AA68" s="103" t="str">
        <f t="shared" si="24"/>
        <v/>
      </c>
      <c r="AB68" s="103" t="str">
        <f t="shared" si="24"/>
        <v/>
      </c>
      <c r="AC68" s="192">
        <f t="shared" si="8"/>
        <v>0</v>
      </c>
      <c r="AD68" s="189">
        <v>8</v>
      </c>
    </row>
    <row r="69" spans="1:30" ht="18" customHeight="1" outlineLevel="1" x14ac:dyDescent="0.25">
      <c r="A69" s="9" t="str">
        <f t="shared" si="5"/>
        <v>m-Xylene [g/h]</v>
      </c>
      <c r="B69" s="102"/>
      <c r="C69" s="103">
        <f t="shared" si="6"/>
        <v>4.9926083857793307E-4</v>
      </c>
      <c r="D69" s="103">
        <f t="shared" ref="D69:AB69" si="25">IF(SUM(D37:D65)=0, "", (D37*$B37/(D$43*$B$43))*$F$5)</f>
        <v>7.6569799767217651E-4</v>
      </c>
      <c r="E69" s="103">
        <f t="shared" si="25"/>
        <v>5.4634631792904623E-4</v>
      </c>
      <c r="F69" s="103">
        <f t="shared" si="25"/>
        <v>3.9668226076272558E-4</v>
      </c>
      <c r="G69" s="103">
        <f t="shared" si="25"/>
        <v>2.8831677794778372E-4</v>
      </c>
      <c r="H69" s="103" t="str">
        <f t="shared" si="25"/>
        <v/>
      </c>
      <c r="I69" s="103" t="str">
        <f t="shared" si="25"/>
        <v/>
      </c>
      <c r="J69" s="103" t="str">
        <f t="shared" si="25"/>
        <v/>
      </c>
      <c r="K69" s="103" t="str">
        <f t="shared" si="25"/>
        <v/>
      </c>
      <c r="L69" s="103" t="str">
        <f t="shared" si="25"/>
        <v/>
      </c>
      <c r="M69" s="103" t="str">
        <f t="shared" si="25"/>
        <v/>
      </c>
      <c r="N69" s="103" t="str">
        <f t="shared" si="25"/>
        <v/>
      </c>
      <c r="O69" s="103" t="str">
        <f t="shared" si="25"/>
        <v/>
      </c>
      <c r="P69" s="103" t="str">
        <f t="shared" si="25"/>
        <v/>
      </c>
      <c r="Q69" s="103" t="str">
        <f t="shared" si="25"/>
        <v/>
      </c>
      <c r="R69" s="103" t="str">
        <f t="shared" si="25"/>
        <v/>
      </c>
      <c r="S69" s="103" t="str">
        <f t="shared" si="25"/>
        <v/>
      </c>
      <c r="T69" s="103" t="str">
        <f t="shared" si="25"/>
        <v/>
      </c>
      <c r="U69" s="103" t="str">
        <f t="shared" si="25"/>
        <v/>
      </c>
      <c r="V69" s="103" t="str">
        <f t="shared" si="25"/>
        <v/>
      </c>
      <c r="W69" s="103" t="str">
        <f t="shared" si="25"/>
        <v/>
      </c>
      <c r="X69" s="103" t="str">
        <f t="shared" si="25"/>
        <v/>
      </c>
      <c r="Y69" s="103" t="str">
        <f t="shared" si="25"/>
        <v/>
      </c>
      <c r="Z69" s="103" t="str">
        <f t="shared" si="25"/>
        <v/>
      </c>
      <c r="AA69" s="103" t="str">
        <f t="shared" si="25"/>
        <v/>
      </c>
      <c r="AB69" s="103" t="str">
        <f t="shared" si="25"/>
        <v/>
      </c>
      <c r="AC69" s="192">
        <f t="shared" si="8"/>
        <v>4.5186334225584622E-4</v>
      </c>
      <c r="AD69" s="189">
        <v>8</v>
      </c>
    </row>
    <row r="70" spans="1:30" ht="18" customHeight="1" outlineLevel="1" x14ac:dyDescent="0.25">
      <c r="A70" s="9" t="str">
        <f t="shared" si="5"/>
        <v>o-Xylene [g/h]</v>
      </c>
      <c r="B70" s="102"/>
      <c r="C70" s="103">
        <f t="shared" si="6"/>
        <v>0</v>
      </c>
      <c r="D70" s="103">
        <f t="shared" ref="D70:AB70" si="26">IF(SUM(D38:D66)=0, "", (D38*$B38/(D$43*$B$43))*$F$5)</f>
        <v>0</v>
      </c>
      <c r="E70" s="103">
        <f t="shared" si="26"/>
        <v>0</v>
      </c>
      <c r="F70" s="103">
        <f t="shared" si="26"/>
        <v>0</v>
      </c>
      <c r="G70" s="103">
        <f t="shared" si="26"/>
        <v>0</v>
      </c>
      <c r="H70" s="103" t="str">
        <f t="shared" si="26"/>
        <v/>
      </c>
      <c r="I70" s="103" t="str">
        <f t="shared" si="26"/>
        <v/>
      </c>
      <c r="J70" s="103" t="str">
        <f t="shared" si="26"/>
        <v/>
      </c>
      <c r="K70" s="103" t="str">
        <f t="shared" si="26"/>
        <v/>
      </c>
      <c r="L70" s="103" t="str">
        <f t="shared" si="26"/>
        <v/>
      </c>
      <c r="M70" s="103" t="str">
        <f t="shared" si="26"/>
        <v/>
      </c>
      <c r="N70" s="103" t="str">
        <f t="shared" si="26"/>
        <v/>
      </c>
      <c r="O70" s="103" t="str">
        <f t="shared" si="26"/>
        <v/>
      </c>
      <c r="P70" s="103" t="str">
        <f t="shared" si="26"/>
        <v/>
      </c>
      <c r="Q70" s="103" t="str">
        <f t="shared" si="26"/>
        <v/>
      </c>
      <c r="R70" s="103" t="str">
        <f t="shared" si="26"/>
        <v/>
      </c>
      <c r="S70" s="103" t="str">
        <f t="shared" si="26"/>
        <v/>
      </c>
      <c r="T70" s="103" t="str">
        <f t="shared" si="26"/>
        <v/>
      </c>
      <c r="U70" s="103" t="str">
        <f t="shared" si="26"/>
        <v/>
      </c>
      <c r="V70" s="103" t="str">
        <f t="shared" si="26"/>
        <v/>
      </c>
      <c r="W70" s="103" t="str">
        <f t="shared" si="26"/>
        <v/>
      </c>
      <c r="X70" s="103" t="str">
        <f t="shared" si="26"/>
        <v/>
      </c>
      <c r="Y70" s="103" t="str">
        <f t="shared" si="26"/>
        <v/>
      </c>
      <c r="Z70" s="103" t="str">
        <f t="shared" si="26"/>
        <v/>
      </c>
      <c r="AA70" s="103" t="str">
        <f t="shared" si="26"/>
        <v/>
      </c>
      <c r="AB70" s="103" t="str">
        <f t="shared" si="26"/>
        <v/>
      </c>
      <c r="AC70" s="192">
        <f t="shared" si="8"/>
        <v>0</v>
      </c>
      <c r="AD70" s="189">
        <v>8</v>
      </c>
    </row>
    <row r="71" spans="1:30" ht="18" customHeight="1" outlineLevel="1" x14ac:dyDescent="0.25">
      <c r="A71" s="9" t="str">
        <f t="shared" si="5"/>
        <v>C6 Unknowns [g/h]</v>
      </c>
      <c r="B71" s="102"/>
      <c r="C71" s="103">
        <f t="shared" si="6"/>
        <v>5.4699862536552325E-2</v>
      </c>
      <c r="D71" s="103">
        <f t="shared" ref="D71:AB71" si="27">IF(SUM(D39:D67)=0, "", (D39*$B39/(D$43*$B$43))*$F$5)</f>
        <v>5.0909106414801682E-2</v>
      </c>
      <c r="E71" s="103">
        <f t="shared" si="27"/>
        <v>5.1888157118924E-2</v>
      </c>
      <c r="F71" s="103">
        <f t="shared" si="27"/>
        <v>5.5558596861670556E-2</v>
      </c>
      <c r="G71" s="103">
        <f t="shared" si="27"/>
        <v>6.0443589750813063E-2</v>
      </c>
      <c r="H71" s="103" t="str">
        <f t="shared" si="27"/>
        <v/>
      </c>
      <c r="I71" s="103" t="str">
        <f t="shared" si="27"/>
        <v/>
      </c>
      <c r="J71" s="103" t="str">
        <f t="shared" si="27"/>
        <v/>
      </c>
      <c r="K71" s="103" t="str">
        <f t="shared" si="27"/>
        <v/>
      </c>
      <c r="L71" s="103" t="str">
        <f t="shared" si="27"/>
        <v/>
      </c>
      <c r="M71" s="103" t="str">
        <f t="shared" si="27"/>
        <v/>
      </c>
      <c r="N71" s="103" t="str">
        <f t="shared" si="27"/>
        <v/>
      </c>
      <c r="O71" s="103" t="str">
        <f t="shared" si="27"/>
        <v/>
      </c>
      <c r="P71" s="103" t="str">
        <f t="shared" si="27"/>
        <v/>
      </c>
      <c r="Q71" s="103" t="str">
        <f t="shared" si="27"/>
        <v/>
      </c>
      <c r="R71" s="103" t="str">
        <f t="shared" si="27"/>
        <v/>
      </c>
      <c r="S71" s="103" t="str">
        <f t="shared" si="27"/>
        <v/>
      </c>
      <c r="T71" s="103" t="str">
        <f t="shared" si="27"/>
        <v/>
      </c>
      <c r="U71" s="103" t="str">
        <f t="shared" si="27"/>
        <v/>
      </c>
      <c r="V71" s="103" t="str">
        <f t="shared" si="27"/>
        <v/>
      </c>
      <c r="W71" s="103" t="str">
        <f t="shared" si="27"/>
        <v/>
      </c>
      <c r="X71" s="103" t="str">
        <f t="shared" si="27"/>
        <v/>
      </c>
      <c r="Y71" s="103" t="str">
        <f t="shared" si="27"/>
        <v/>
      </c>
      <c r="Z71" s="103" t="str">
        <f t="shared" si="27"/>
        <v/>
      </c>
      <c r="AA71" s="103" t="str">
        <f t="shared" si="27"/>
        <v/>
      </c>
      <c r="AB71" s="103" t="str">
        <f t="shared" si="27"/>
        <v/>
      </c>
      <c r="AC71" s="192">
        <f t="shared" si="8"/>
        <v>4.5741474745407053E-2</v>
      </c>
      <c r="AD71" s="189">
        <v>6</v>
      </c>
    </row>
    <row r="72" spans="1:30" ht="18" customHeight="1" outlineLevel="1" x14ac:dyDescent="0.25">
      <c r="A72" s="9" t="str">
        <f t="shared" si="5"/>
        <v>C8 Unknowns [g/h]</v>
      </c>
      <c r="B72" s="102"/>
      <c r="C72" s="103">
        <f t="shared" si="6"/>
        <v>0</v>
      </c>
      <c r="D72" s="103">
        <f t="shared" ref="D72:AB72" si="28">IF(SUM(D40:D68)=0, "", (D40*$B40/(D$43*$B$43))*$F$5)</f>
        <v>0</v>
      </c>
      <c r="E72" s="103">
        <f t="shared" si="28"/>
        <v>0</v>
      </c>
      <c r="F72" s="103">
        <f t="shared" si="28"/>
        <v>0</v>
      </c>
      <c r="G72" s="103">
        <f t="shared" si="28"/>
        <v>0</v>
      </c>
      <c r="H72" s="103" t="str">
        <f t="shared" si="28"/>
        <v/>
      </c>
      <c r="I72" s="103" t="str">
        <f t="shared" si="28"/>
        <v/>
      </c>
      <c r="J72" s="103" t="str">
        <f t="shared" si="28"/>
        <v/>
      </c>
      <c r="K72" s="103" t="str">
        <f t="shared" si="28"/>
        <v/>
      </c>
      <c r="L72" s="103" t="str">
        <f t="shared" si="28"/>
        <v/>
      </c>
      <c r="M72" s="103" t="str">
        <f t="shared" si="28"/>
        <v/>
      </c>
      <c r="N72" s="103" t="str">
        <f t="shared" si="28"/>
        <v/>
      </c>
      <c r="O72" s="103" t="str">
        <f t="shared" si="28"/>
        <v/>
      </c>
      <c r="P72" s="103" t="str">
        <f t="shared" si="28"/>
        <v/>
      </c>
      <c r="Q72" s="103" t="str">
        <f t="shared" si="28"/>
        <v/>
      </c>
      <c r="R72" s="103" t="str">
        <f t="shared" si="28"/>
        <v/>
      </c>
      <c r="S72" s="103" t="str">
        <f t="shared" si="28"/>
        <v/>
      </c>
      <c r="T72" s="103" t="str">
        <f t="shared" si="28"/>
        <v/>
      </c>
      <c r="U72" s="103" t="str">
        <f t="shared" si="28"/>
        <v/>
      </c>
      <c r="V72" s="103" t="str">
        <f t="shared" si="28"/>
        <v/>
      </c>
      <c r="W72" s="103" t="str">
        <f t="shared" si="28"/>
        <v/>
      </c>
      <c r="X72" s="103" t="str">
        <f t="shared" si="28"/>
        <v/>
      </c>
      <c r="Y72" s="103" t="str">
        <f t="shared" si="28"/>
        <v/>
      </c>
      <c r="Z72" s="103" t="str">
        <f t="shared" si="28"/>
        <v/>
      </c>
      <c r="AA72" s="103" t="str">
        <f t="shared" si="28"/>
        <v/>
      </c>
      <c r="AB72" s="103" t="str">
        <f t="shared" si="28"/>
        <v/>
      </c>
      <c r="AC72" s="192">
        <f t="shared" si="8"/>
        <v>0</v>
      </c>
      <c r="AD72" s="189">
        <v>8</v>
      </c>
    </row>
    <row r="73" spans="1:30" ht="18" customHeight="1" outlineLevel="1" x14ac:dyDescent="0.25">
      <c r="A73" s="9" t="str">
        <f t="shared" si="5"/>
        <v>C7 Unknowns [g/h]</v>
      </c>
      <c r="B73" s="102"/>
      <c r="C73" s="103">
        <f t="shared" si="6"/>
        <v>0</v>
      </c>
      <c r="D73" s="103">
        <f t="shared" ref="D73:AB73" si="29">IF(SUM(D41:D69)=0, "", (D41*$B41/(D$43*$B$43))*$F$5)</f>
        <v>0</v>
      </c>
      <c r="E73" s="103">
        <f t="shared" si="29"/>
        <v>0</v>
      </c>
      <c r="F73" s="103">
        <f t="shared" si="29"/>
        <v>0</v>
      </c>
      <c r="G73" s="103">
        <f t="shared" si="29"/>
        <v>0</v>
      </c>
      <c r="H73" s="103" t="str">
        <f t="shared" si="29"/>
        <v/>
      </c>
      <c r="I73" s="103" t="str">
        <f t="shared" si="29"/>
        <v/>
      </c>
      <c r="J73" s="103" t="str">
        <f t="shared" si="29"/>
        <v/>
      </c>
      <c r="K73" s="103" t="str">
        <f t="shared" si="29"/>
        <v/>
      </c>
      <c r="L73" s="103" t="str">
        <f t="shared" si="29"/>
        <v/>
      </c>
      <c r="M73" s="103" t="str">
        <f t="shared" si="29"/>
        <v/>
      </c>
      <c r="N73" s="103" t="str">
        <f t="shared" si="29"/>
        <v/>
      </c>
      <c r="O73" s="103" t="str">
        <f t="shared" si="29"/>
        <v/>
      </c>
      <c r="P73" s="103" t="str">
        <f t="shared" si="29"/>
        <v/>
      </c>
      <c r="Q73" s="103" t="str">
        <f t="shared" si="29"/>
        <v/>
      </c>
      <c r="R73" s="103" t="str">
        <f t="shared" si="29"/>
        <v/>
      </c>
      <c r="S73" s="103" t="str">
        <f t="shared" si="29"/>
        <v/>
      </c>
      <c r="T73" s="103" t="str">
        <f t="shared" si="29"/>
        <v/>
      </c>
      <c r="U73" s="103" t="str">
        <f t="shared" si="29"/>
        <v/>
      </c>
      <c r="V73" s="103" t="str">
        <f t="shared" si="29"/>
        <v/>
      </c>
      <c r="W73" s="103" t="str">
        <f t="shared" si="29"/>
        <v/>
      </c>
      <c r="X73" s="103" t="str">
        <f t="shared" si="29"/>
        <v/>
      </c>
      <c r="Y73" s="103" t="str">
        <f t="shared" si="29"/>
        <v/>
      </c>
      <c r="Z73" s="103" t="str">
        <f t="shared" si="29"/>
        <v/>
      </c>
      <c r="AA73" s="103" t="str">
        <f t="shared" si="29"/>
        <v/>
      </c>
      <c r="AB73" s="103" t="str">
        <f t="shared" si="29"/>
        <v/>
      </c>
      <c r="AC73" s="192">
        <f t="shared" si="8"/>
        <v>0</v>
      </c>
      <c r="AD73" s="189">
        <v>7</v>
      </c>
    </row>
    <row r="74" spans="1:30" ht="18" customHeight="1" outlineLevel="1" x14ac:dyDescent="0.25">
      <c r="A74" s="9" t="str">
        <f t="shared" si="5"/>
        <v>CO2 [g/h]</v>
      </c>
      <c r="B74" s="102"/>
      <c r="C74" s="103">
        <f t="shared" si="6"/>
        <v>0</v>
      </c>
      <c r="D74" s="103">
        <f t="shared" ref="D74:AB74" si="30">IF(SUM(D42:D70)=0, "", (D42*$B42/(D$43*$B$43))*$F$5)</f>
        <v>0</v>
      </c>
      <c r="E74" s="103">
        <f t="shared" si="30"/>
        <v>0</v>
      </c>
      <c r="F74" s="103">
        <f t="shared" si="30"/>
        <v>0</v>
      </c>
      <c r="G74" s="103">
        <f t="shared" si="30"/>
        <v>0</v>
      </c>
      <c r="H74" s="103" t="str">
        <f t="shared" si="30"/>
        <v/>
      </c>
      <c r="I74" s="103" t="str">
        <f t="shared" si="30"/>
        <v/>
      </c>
      <c r="J74" s="103" t="str">
        <f t="shared" si="30"/>
        <v/>
      </c>
      <c r="K74" s="103" t="str">
        <f t="shared" si="30"/>
        <v/>
      </c>
      <c r="L74" s="103" t="str">
        <f t="shared" si="30"/>
        <v/>
      </c>
      <c r="M74" s="103" t="str">
        <f t="shared" si="30"/>
        <v/>
      </c>
      <c r="N74" s="103" t="str">
        <f t="shared" si="30"/>
        <v/>
      </c>
      <c r="O74" s="103" t="str">
        <f t="shared" si="30"/>
        <v/>
      </c>
      <c r="P74" s="103" t="str">
        <f t="shared" si="30"/>
        <v/>
      </c>
      <c r="Q74" s="103" t="str">
        <f t="shared" si="30"/>
        <v/>
      </c>
      <c r="R74" s="103" t="str">
        <f t="shared" si="30"/>
        <v/>
      </c>
      <c r="S74" s="103" t="str">
        <f t="shared" si="30"/>
        <v/>
      </c>
      <c r="T74" s="103" t="str">
        <f t="shared" si="30"/>
        <v/>
      </c>
      <c r="U74" s="103" t="str">
        <f t="shared" si="30"/>
        <v/>
      </c>
      <c r="V74" s="103" t="str">
        <f t="shared" si="30"/>
        <v/>
      </c>
      <c r="W74" s="103" t="str">
        <f t="shared" si="30"/>
        <v/>
      </c>
      <c r="X74" s="103" t="str">
        <f t="shared" si="30"/>
        <v/>
      </c>
      <c r="Y74" s="103" t="str">
        <f t="shared" si="30"/>
        <v/>
      </c>
      <c r="Z74" s="103" t="str">
        <f t="shared" si="30"/>
        <v/>
      </c>
      <c r="AA74" s="103" t="str">
        <f t="shared" si="30"/>
        <v/>
      </c>
      <c r="AB74" s="103" t="str">
        <f t="shared" si="30"/>
        <v/>
      </c>
      <c r="AC74" s="192">
        <f t="shared" si="8"/>
        <v>0</v>
      </c>
      <c r="AD74" s="189">
        <v>1</v>
      </c>
    </row>
    <row r="75" spans="1:30" ht="18" customHeight="1" outlineLevel="1" x14ac:dyDescent="0.25">
      <c r="A75" s="9" t="str">
        <f t="shared" si="5"/>
        <v>Argon [g/h]</v>
      </c>
      <c r="B75" s="102"/>
      <c r="C75" s="103">
        <f t="shared" si="6"/>
        <v>0.22890922011282697</v>
      </c>
      <c r="D75" s="103">
        <f t="shared" ref="D75:AB75" si="31">IF(SUM(D43:D71)=0, "", (D43*$B43/(D$43*$B$43))*$F$5)</f>
        <v>0.22890922011282697</v>
      </c>
      <c r="E75" s="103">
        <f t="shared" si="31"/>
        <v>0.22890922011282697</v>
      </c>
      <c r="F75" s="103">
        <f t="shared" si="31"/>
        <v>0.22890922011282697</v>
      </c>
      <c r="G75" s="103">
        <f t="shared" si="31"/>
        <v>0.22890922011282697</v>
      </c>
      <c r="H75" s="103" t="str">
        <f t="shared" si="31"/>
        <v/>
      </c>
      <c r="I75" s="103" t="str">
        <f t="shared" si="31"/>
        <v/>
      </c>
      <c r="J75" s="103" t="str">
        <f t="shared" si="31"/>
        <v/>
      </c>
      <c r="K75" s="103" t="str">
        <f t="shared" si="31"/>
        <v/>
      </c>
      <c r="L75" s="103" t="str">
        <f t="shared" si="31"/>
        <v/>
      </c>
      <c r="M75" s="103" t="str">
        <f t="shared" si="31"/>
        <v/>
      </c>
      <c r="N75" s="103" t="str">
        <f t="shared" si="31"/>
        <v/>
      </c>
      <c r="O75" s="103" t="str">
        <f t="shared" si="31"/>
        <v/>
      </c>
      <c r="P75" s="103" t="str">
        <f t="shared" si="31"/>
        <v/>
      </c>
      <c r="Q75" s="103" t="str">
        <f t="shared" si="31"/>
        <v/>
      </c>
      <c r="R75" s="103" t="str">
        <f t="shared" si="31"/>
        <v/>
      </c>
      <c r="S75" s="103" t="str">
        <f t="shared" si="31"/>
        <v/>
      </c>
      <c r="T75" s="103" t="str">
        <f t="shared" si="31"/>
        <v/>
      </c>
      <c r="U75" s="103" t="str">
        <f t="shared" si="31"/>
        <v/>
      </c>
      <c r="V75" s="103" t="str">
        <f t="shared" si="31"/>
        <v/>
      </c>
      <c r="W75" s="103" t="str">
        <f t="shared" si="31"/>
        <v/>
      </c>
      <c r="X75" s="103" t="str">
        <f t="shared" si="31"/>
        <v/>
      </c>
      <c r="Y75" s="103" t="str">
        <f t="shared" si="31"/>
        <v/>
      </c>
      <c r="Z75" s="103" t="str">
        <f t="shared" si="31"/>
        <v/>
      </c>
      <c r="AA75" s="103" t="str">
        <f t="shared" si="31"/>
        <v/>
      </c>
      <c r="AB75" s="103" t="str">
        <f t="shared" si="31"/>
        <v/>
      </c>
      <c r="AC75" s="192">
        <f t="shared" si="8"/>
        <v>0</v>
      </c>
      <c r="AD75" s="189">
        <v>0</v>
      </c>
    </row>
    <row r="76" spans="1:30" ht="18" customHeight="1" outlineLevel="1" x14ac:dyDescent="0.25">
      <c r="A76" s="9" t="str">
        <f t="shared" si="5"/>
        <v>CO [g/h]</v>
      </c>
      <c r="B76" s="102"/>
      <c r="C76" s="103">
        <f t="shared" si="6"/>
        <v>0</v>
      </c>
      <c r="D76" s="103">
        <f t="shared" ref="D76:AB76" si="32">IF(SUM(D44:D72)=0, "", (D44*$B44/(D$43*$B$43))*$F$5)</f>
        <v>0</v>
      </c>
      <c r="E76" s="103">
        <f t="shared" si="32"/>
        <v>0</v>
      </c>
      <c r="F76" s="103">
        <f t="shared" si="32"/>
        <v>0</v>
      </c>
      <c r="G76" s="103">
        <f t="shared" si="32"/>
        <v>0</v>
      </c>
      <c r="H76" s="103" t="str">
        <f t="shared" si="32"/>
        <v/>
      </c>
      <c r="I76" s="103" t="str">
        <f t="shared" si="32"/>
        <v/>
      </c>
      <c r="J76" s="103" t="str">
        <f t="shared" si="32"/>
        <v/>
      </c>
      <c r="K76" s="103" t="str">
        <f t="shared" si="32"/>
        <v/>
      </c>
      <c r="L76" s="103" t="str">
        <f t="shared" si="32"/>
        <v/>
      </c>
      <c r="M76" s="103" t="str">
        <f t="shared" si="32"/>
        <v/>
      </c>
      <c r="N76" s="103" t="str">
        <f t="shared" si="32"/>
        <v/>
      </c>
      <c r="O76" s="103" t="str">
        <f t="shared" si="32"/>
        <v/>
      </c>
      <c r="P76" s="103" t="str">
        <f t="shared" si="32"/>
        <v/>
      </c>
      <c r="Q76" s="103" t="str">
        <f t="shared" si="32"/>
        <v/>
      </c>
      <c r="R76" s="103" t="str">
        <f t="shared" si="32"/>
        <v/>
      </c>
      <c r="S76" s="103" t="str">
        <f t="shared" si="32"/>
        <v/>
      </c>
      <c r="T76" s="103" t="str">
        <f t="shared" si="32"/>
        <v/>
      </c>
      <c r="U76" s="103" t="str">
        <f t="shared" si="32"/>
        <v/>
      </c>
      <c r="V76" s="103" t="str">
        <f t="shared" si="32"/>
        <v/>
      </c>
      <c r="W76" s="103" t="str">
        <f t="shared" si="32"/>
        <v/>
      </c>
      <c r="X76" s="103" t="str">
        <f t="shared" si="32"/>
        <v/>
      </c>
      <c r="Y76" s="103" t="str">
        <f t="shared" si="32"/>
        <v/>
      </c>
      <c r="Z76" s="103" t="str">
        <f t="shared" si="32"/>
        <v/>
      </c>
      <c r="AA76" s="103" t="str">
        <f t="shared" si="32"/>
        <v/>
      </c>
      <c r="AB76" s="103" t="str">
        <f t="shared" si="32"/>
        <v/>
      </c>
      <c r="AC76" s="192">
        <f t="shared" si="8"/>
        <v>0</v>
      </c>
      <c r="AD76" s="189">
        <v>1</v>
      </c>
    </row>
    <row r="77" spans="1:30" ht="18" customHeight="1" outlineLevel="1" x14ac:dyDescent="0.25">
      <c r="A77" s="9" t="str">
        <f t="shared" si="5"/>
        <v>H2 [g/h]</v>
      </c>
      <c r="B77" s="102"/>
      <c r="C77" s="103">
        <f t="shared" si="6"/>
        <v>3.9376563005860468E-2</v>
      </c>
      <c r="D77" s="103">
        <f t="shared" ref="D77:AB77" si="33">IF(SUM(D45:D73)=0, "", (D45*$B45/(D$43*$B$43))*$F$5)</f>
        <v>3.8440229025743351E-2</v>
      </c>
      <c r="E77" s="103">
        <f t="shared" si="33"/>
        <v>3.9345550583347141E-2</v>
      </c>
      <c r="F77" s="103">
        <f t="shared" si="33"/>
        <v>3.9837493933300598E-2</v>
      </c>
      <c r="G77" s="103">
        <f t="shared" si="33"/>
        <v>3.9882978481050761E-2</v>
      </c>
      <c r="H77" s="103" t="str">
        <f t="shared" si="33"/>
        <v/>
      </c>
      <c r="I77" s="103" t="str">
        <f t="shared" si="33"/>
        <v/>
      </c>
      <c r="J77" s="103" t="str">
        <f t="shared" si="33"/>
        <v/>
      </c>
      <c r="K77" s="103" t="str">
        <f t="shared" si="33"/>
        <v/>
      </c>
      <c r="L77" s="103" t="str">
        <f t="shared" si="33"/>
        <v/>
      </c>
      <c r="M77" s="103" t="str">
        <f t="shared" si="33"/>
        <v/>
      </c>
      <c r="N77" s="103" t="str">
        <f t="shared" si="33"/>
        <v/>
      </c>
      <c r="O77" s="103" t="str">
        <f t="shared" si="33"/>
        <v/>
      </c>
      <c r="P77" s="103" t="str">
        <f t="shared" si="33"/>
        <v/>
      </c>
      <c r="Q77" s="103" t="str">
        <f t="shared" si="33"/>
        <v/>
      </c>
      <c r="R77" s="103" t="str">
        <f t="shared" si="33"/>
        <v/>
      </c>
      <c r="S77" s="103" t="str">
        <f t="shared" si="33"/>
        <v/>
      </c>
      <c r="T77" s="103" t="str">
        <f t="shared" si="33"/>
        <v/>
      </c>
      <c r="U77" s="103" t="str">
        <f t="shared" si="33"/>
        <v/>
      </c>
      <c r="V77" s="103" t="str">
        <f t="shared" si="33"/>
        <v/>
      </c>
      <c r="W77" s="103" t="str">
        <f t="shared" si="33"/>
        <v/>
      </c>
      <c r="X77" s="103" t="str">
        <f t="shared" si="33"/>
        <v/>
      </c>
      <c r="Y77" s="103" t="str">
        <f t="shared" si="33"/>
        <v/>
      </c>
      <c r="Z77" s="103" t="str">
        <f t="shared" si="33"/>
        <v/>
      </c>
      <c r="AA77" s="103" t="str">
        <f t="shared" si="33"/>
        <v/>
      </c>
      <c r="AB77" s="103" t="str">
        <f t="shared" si="33"/>
        <v/>
      </c>
      <c r="AC77" s="192">
        <f t="shared" si="8"/>
        <v>0</v>
      </c>
      <c r="AD77" s="189">
        <v>0</v>
      </c>
    </row>
    <row r="78" spans="1:30" ht="18" customHeight="1" outlineLevel="1" x14ac:dyDescent="0.25">
      <c r="A78" s="9" t="str">
        <f t="shared" si="5"/>
        <v>Acetylene [g/h]</v>
      </c>
      <c r="B78" s="102"/>
      <c r="C78" s="103">
        <f t="shared" si="6"/>
        <v>2.7463947640707278E-3</v>
      </c>
      <c r="D78" s="103">
        <f t="shared" ref="D78:AB78" si="34">IF(SUM(D46:D74)=0, "", (D46*$B46/(D$43*$B$43))*$F$5)</f>
        <v>2.8147246995922971E-3</v>
      </c>
      <c r="E78" s="103">
        <f t="shared" si="34"/>
        <v>2.5730979566663003E-3</v>
      </c>
      <c r="F78" s="103">
        <f t="shared" si="34"/>
        <v>2.6140373271570493E-3</v>
      </c>
      <c r="G78" s="103">
        <f t="shared" si="34"/>
        <v>2.9837190728672636E-3</v>
      </c>
      <c r="H78" s="103" t="str">
        <f t="shared" si="34"/>
        <v/>
      </c>
      <c r="I78" s="103" t="str">
        <f t="shared" si="34"/>
        <v/>
      </c>
      <c r="J78" s="103" t="str">
        <f t="shared" si="34"/>
        <v/>
      </c>
      <c r="K78" s="103" t="str">
        <f t="shared" si="34"/>
        <v/>
      </c>
      <c r="L78" s="103" t="str">
        <f t="shared" si="34"/>
        <v/>
      </c>
      <c r="M78" s="103" t="str">
        <f t="shared" si="34"/>
        <v/>
      </c>
      <c r="N78" s="103" t="str">
        <f t="shared" si="34"/>
        <v/>
      </c>
      <c r="O78" s="103" t="str">
        <f t="shared" si="34"/>
        <v/>
      </c>
      <c r="P78" s="103" t="str">
        <f t="shared" si="34"/>
        <v/>
      </c>
      <c r="Q78" s="103" t="str">
        <f t="shared" si="34"/>
        <v/>
      </c>
      <c r="R78" s="103" t="str">
        <f t="shared" si="34"/>
        <v/>
      </c>
      <c r="S78" s="103" t="str">
        <f t="shared" si="34"/>
        <v/>
      </c>
      <c r="T78" s="103" t="str">
        <f t="shared" si="34"/>
        <v/>
      </c>
      <c r="U78" s="103" t="str">
        <f t="shared" si="34"/>
        <v/>
      </c>
      <c r="V78" s="103" t="str">
        <f t="shared" si="34"/>
        <v/>
      </c>
      <c r="W78" s="103" t="str">
        <f t="shared" si="34"/>
        <v/>
      </c>
      <c r="X78" s="103" t="str">
        <f t="shared" si="34"/>
        <v/>
      </c>
      <c r="Y78" s="103" t="str">
        <f t="shared" si="34"/>
        <v/>
      </c>
      <c r="Z78" s="103" t="str">
        <f t="shared" si="34"/>
        <v/>
      </c>
      <c r="AA78" s="103" t="str">
        <f t="shared" si="34"/>
        <v/>
      </c>
      <c r="AB78" s="103" t="str">
        <f t="shared" si="34"/>
        <v/>
      </c>
      <c r="AC78" s="192">
        <f t="shared" si="8"/>
        <v>2.5335597166861374E-3</v>
      </c>
      <c r="AD78" s="189">
        <v>2</v>
      </c>
    </row>
    <row r="79" spans="1:30" ht="18" customHeight="1" outlineLevel="1" x14ac:dyDescent="0.25">
      <c r="A79" s="9" t="str">
        <f t="shared" si="5"/>
        <v>Isobutane [g/h]</v>
      </c>
      <c r="B79" s="102"/>
      <c r="C79" s="103">
        <f t="shared" si="6"/>
        <v>1.0872978437425409E-5</v>
      </c>
      <c r="D79" s="103">
        <f t="shared" ref="D79:AB79" si="35">IF(SUM(D47:D75)=0, "", (D47*$B47/(D$43*$B$43))*$F$5)</f>
        <v>4.3491913749701636E-5</v>
      </c>
      <c r="E79" s="103">
        <f t="shared" si="35"/>
        <v>0</v>
      </c>
      <c r="F79" s="103">
        <f t="shared" si="35"/>
        <v>0</v>
      </c>
      <c r="G79" s="103">
        <f t="shared" si="35"/>
        <v>0</v>
      </c>
      <c r="H79" s="103" t="str">
        <f t="shared" si="35"/>
        <v/>
      </c>
      <c r="I79" s="103" t="str">
        <f t="shared" si="35"/>
        <v/>
      </c>
      <c r="J79" s="103" t="str">
        <f t="shared" si="35"/>
        <v/>
      </c>
      <c r="K79" s="103" t="str">
        <f t="shared" si="35"/>
        <v/>
      </c>
      <c r="L79" s="103" t="str">
        <f t="shared" si="35"/>
        <v/>
      </c>
      <c r="M79" s="103" t="str">
        <f t="shared" si="35"/>
        <v/>
      </c>
      <c r="N79" s="103" t="str">
        <f t="shared" si="35"/>
        <v/>
      </c>
      <c r="O79" s="103" t="str">
        <f t="shared" si="35"/>
        <v/>
      </c>
      <c r="P79" s="103" t="str">
        <f t="shared" si="35"/>
        <v/>
      </c>
      <c r="Q79" s="103" t="str">
        <f t="shared" si="35"/>
        <v/>
      </c>
      <c r="R79" s="103" t="str">
        <f t="shared" si="35"/>
        <v/>
      </c>
      <c r="S79" s="103" t="str">
        <f t="shared" si="35"/>
        <v/>
      </c>
      <c r="T79" s="103" t="str">
        <f t="shared" si="35"/>
        <v/>
      </c>
      <c r="U79" s="103" t="str">
        <f t="shared" si="35"/>
        <v/>
      </c>
      <c r="V79" s="103" t="str">
        <f t="shared" si="35"/>
        <v/>
      </c>
      <c r="W79" s="103" t="str">
        <f t="shared" si="35"/>
        <v/>
      </c>
      <c r="X79" s="103" t="str">
        <f t="shared" si="35"/>
        <v/>
      </c>
      <c r="Y79" s="103" t="str">
        <f t="shared" si="35"/>
        <v/>
      </c>
      <c r="Z79" s="103" t="str">
        <f t="shared" si="35"/>
        <v/>
      </c>
      <c r="AA79" s="103" t="str">
        <f t="shared" si="35"/>
        <v/>
      </c>
      <c r="AB79" s="103" t="str">
        <f t="shared" si="35"/>
        <v/>
      </c>
      <c r="AC79" s="192">
        <f t="shared" si="8"/>
        <v>8.9879796291752637E-6</v>
      </c>
      <c r="AD79" s="189">
        <v>4</v>
      </c>
    </row>
    <row r="80" spans="1:30" ht="18" customHeight="1" outlineLevel="1" x14ac:dyDescent="0.25">
      <c r="A80" s="9" t="str">
        <f t="shared" si="5"/>
        <v>N2 [g/h]</v>
      </c>
      <c r="B80" s="102"/>
      <c r="C80" s="103">
        <f t="shared" si="6"/>
        <v>2.181328850515432</v>
      </c>
      <c r="D80" s="103">
        <f t="shared" ref="D80:AB80" si="36">IF(SUM(D48:D76)=0, "", (D48*$B48/(D$43*$B$43))*$F$5)</f>
        <v>2.1783871955942784</v>
      </c>
      <c r="E80" s="103">
        <f t="shared" si="36"/>
        <v>2.185517748559143</v>
      </c>
      <c r="F80" s="103">
        <f t="shared" si="36"/>
        <v>2.1819735936587601</v>
      </c>
      <c r="G80" s="103">
        <f t="shared" si="36"/>
        <v>2.1794368642495447</v>
      </c>
      <c r="H80" s="103" t="str">
        <f t="shared" si="36"/>
        <v/>
      </c>
      <c r="I80" s="103" t="str">
        <f t="shared" si="36"/>
        <v/>
      </c>
      <c r="J80" s="103" t="str">
        <f t="shared" si="36"/>
        <v/>
      </c>
      <c r="K80" s="103" t="str">
        <f t="shared" si="36"/>
        <v/>
      </c>
      <c r="L80" s="103" t="str">
        <f t="shared" si="36"/>
        <v/>
      </c>
      <c r="M80" s="103" t="str">
        <f t="shared" si="36"/>
        <v/>
      </c>
      <c r="N80" s="103" t="str">
        <f t="shared" si="36"/>
        <v/>
      </c>
      <c r="O80" s="103" t="str">
        <f t="shared" si="36"/>
        <v/>
      </c>
      <c r="P80" s="103" t="str">
        <f t="shared" si="36"/>
        <v/>
      </c>
      <c r="Q80" s="103" t="str">
        <f t="shared" si="36"/>
        <v/>
      </c>
      <c r="R80" s="103" t="str">
        <f t="shared" si="36"/>
        <v/>
      </c>
      <c r="S80" s="103" t="str">
        <f t="shared" si="36"/>
        <v/>
      </c>
      <c r="T80" s="103" t="str">
        <f t="shared" si="36"/>
        <v/>
      </c>
      <c r="U80" s="103" t="str">
        <f t="shared" si="36"/>
        <v/>
      </c>
      <c r="V80" s="103" t="str">
        <f t="shared" si="36"/>
        <v/>
      </c>
      <c r="W80" s="103" t="str">
        <f t="shared" si="36"/>
        <v/>
      </c>
      <c r="X80" s="103" t="str">
        <f t="shared" si="36"/>
        <v/>
      </c>
      <c r="Y80" s="103" t="str">
        <f t="shared" si="36"/>
        <v/>
      </c>
      <c r="Z80" s="103" t="str">
        <f t="shared" si="36"/>
        <v/>
      </c>
      <c r="AA80" s="103" t="str">
        <f t="shared" si="36"/>
        <v/>
      </c>
      <c r="AB80" s="103" t="str">
        <f t="shared" si="36"/>
        <v/>
      </c>
      <c r="AC80" s="192">
        <f t="shared" si="8"/>
        <v>0</v>
      </c>
      <c r="AD80" s="189">
        <v>0</v>
      </c>
    </row>
    <row r="81" spans="1:30" ht="18" customHeight="1" outlineLevel="1" x14ac:dyDescent="0.25">
      <c r="A81" s="9" t="str">
        <f t="shared" si="5"/>
        <v/>
      </c>
      <c r="B81" s="102"/>
      <c r="C81" s="103">
        <f t="shared" si="6"/>
        <v>0</v>
      </c>
      <c r="D81" s="103">
        <f t="shared" ref="D81:AB81" si="37">IF(SUM(D49:D77)=0, "", (D49*$B49/(D$43*$B$43))*$F$5)</f>
        <v>0</v>
      </c>
      <c r="E81" s="103">
        <f t="shared" si="37"/>
        <v>0</v>
      </c>
      <c r="F81" s="103">
        <f t="shared" si="37"/>
        <v>0</v>
      </c>
      <c r="G81" s="103">
        <f t="shared" si="37"/>
        <v>0</v>
      </c>
      <c r="H81" s="103" t="str">
        <f t="shared" si="37"/>
        <v/>
      </c>
      <c r="I81" s="103" t="str">
        <f t="shared" si="37"/>
        <v/>
      </c>
      <c r="J81" s="103" t="str">
        <f t="shared" si="37"/>
        <v/>
      </c>
      <c r="K81" s="103" t="str">
        <f t="shared" si="37"/>
        <v/>
      </c>
      <c r="L81" s="103" t="str">
        <f t="shared" si="37"/>
        <v/>
      </c>
      <c r="M81" s="103" t="str">
        <f t="shared" si="37"/>
        <v/>
      </c>
      <c r="N81" s="103" t="str">
        <f t="shared" si="37"/>
        <v/>
      </c>
      <c r="O81" s="103" t="str">
        <f t="shared" si="37"/>
        <v/>
      </c>
      <c r="P81" s="103" t="str">
        <f t="shared" si="37"/>
        <v/>
      </c>
      <c r="Q81" s="103" t="str">
        <f t="shared" si="37"/>
        <v/>
      </c>
      <c r="R81" s="103" t="str">
        <f t="shared" si="37"/>
        <v/>
      </c>
      <c r="S81" s="103" t="str">
        <f t="shared" si="37"/>
        <v/>
      </c>
      <c r="T81" s="103" t="str">
        <f t="shared" si="37"/>
        <v/>
      </c>
      <c r="U81" s="103" t="str">
        <f t="shared" si="37"/>
        <v/>
      </c>
      <c r="V81" s="103" t="str">
        <f t="shared" si="37"/>
        <v/>
      </c>
      <c r="W81" s="103" t="str">
        <f t="shared" si="37"/>
        <v/>
      </c>
      <c r="X81" s="103" t="str">
        <f t="shared" si="37"/>
        <v/>
      </c>
      <c r="Y81" s="103" t="str">
        <f t="shared" si="37"/>
        <v/>
      </c>
      <c r="Z81" s="103" t="str">
        <f t="shared" si="37"/>
        <v/>
      </c>
      <c r="AA81" s="103" t="str">
        <f t="shared" si="37"/>
        <v/>
      </c>
      <c r="AB81" s="103" t="str">
        <f t="shared" si="37"/>
        <v/>
      </c>
    </row>
    <row r="82" spans="1:30" ht="18" customHeight="1" outlineLevel="1" x14ac:dyDescent="0.25">
      <c r="A82" s="9" t="s">
        <v>250</v>
      </c>
      <c r="B82" s="102"/>
      <c r="C82" s="103">
        <f t="shared" si="6"/>
        <v>0.34596205264742741</v>
      </c>
      <c r="D82" s="103">
        <f t="shared" ref="D82:AB82" si="38">IF(SUM(D52:D81)=0,"",SUM(D52:D73,D78,D79))</f>
        <v>0.34386755809883046</v>
      </c>
      <c r="E82" s="103">
        <f t="shared" si="38"/>
        <v>0.34156540586035072</v>
      </c>
      <c r="F82" s="103">
        <f t="shared" si="38"/>
        <v>0.34369092056124884</v>
      </c>
      <c r="G82" s="103">
        <f t="shared" si="38"/>
        <v>0.35472432606927973</v>
      </c>
      <c r="H82" s="103" t="str">
        <f t="shared" si="38"/>
        <v/>
      </c>
      <c r="I82" s="103" t="str">
        <f t="shared" si="38"/>
        <v/>
      </c>
      <c r="J82" s="103" t="str">
        <f t="shared" si="38"/>
        <v/>
      </c>
      <c r="K82" s="103" t="str">
        <f t="shared" si="38"/>
        <v/>
      </c>
      <c r="L82" s="103" t="str">
        <f t="shared" si="38"/>
        <v/>
      </c>
      <c r="M82" s="103" t="str">
        <f t="shared" si="38"/>
        <v/>
      </c>
      <c r="N82" s="103" t="str">
        <f t="shared" si="38"/>
        <v/>
      </c>
      <c r="O82" s="103" t="str">
        <f t="shared" si="38"/>
        <v/>
      </c>
      <c r="P82" s="103" t="str">
        <f t="shared" si="38"/>
        <v/>
      </c>
      <c r="Q82" s="103" t="str">
        <f t="shared" si="38"/>
        <v/>
      </c>
      <c r="R82" s="103" t="str">
        <f t="shared" si="38"/>
        <v/>
      </c>
      <c r="S82" s="103" t="str">
        <f t="shared" si="38"/>
        <v/>
      </c>
      <c r="T82" s="103" t="str">
        <f t="shared" si="38"/>
        <v/>
      </c>
      <c r="U82" s="103" t="str">
        <f t="shared" si="38"/>
        <v/>
      </c>
      <c r="V82" s="103" t="str">
        <f t="shared" si="38"/>
        <v/>
      </c>
      <c r="W82" s="103" t="str">
        <f t="shared" si="38"/>
        <v/>
      </c>
      <c r="X82" s="103" t="str">
        <f t="shared" si="38"/>
        <v/>
      </c>
      <c r="Y82" s="103" t="str">
        <f t="shared" si="38"/>
        <v/>
      </c>
      <c r="Z82" s="103" t="str">
        <f t="shared" si="38"/>
        <v/>
      </c>
      <c r="AA82" s="103" t="str">
        <f t="shared" si="38"/>
        <v/>
      </c>
      <c r="AB82" s="103" t="str">
        <f t="shared" si="38"/>
        <v/>
      </c>
    </row>
    <row r="83" spans="1:30" ht="18" customHeight="1" outlineLevel="1" x14ac:dyDescent="0.25">
      <c r="A83" s="9" t="s">
        <v>251</v>
      </c>
      <c r="B83" s="102"/>
      <c r="C83" s="103">
        <f t="shared" si="6"/>
        <v>0</v>
      </c>
      <c r="D83" s="103">
        <f t="shared" ref="D83:AB83" si="39">IFERROR(D74+D76,"")</f>
        <v>0</v>
      </c>
      <c r="E83" s="103">
        <f t="shared" si="39"/>
        <v>0</v>
      </c>
      <c r="F83" s="103">
        <f t="shared" si="39"/>
        <v>0</v>
      </c>
      <c r="G83" s="103">
        <f t="shared" si="39"/>
        <v>0</v>
      </c>
      <c r="H83" s="103" t="str">
        <f t="shared" si="39"/>
        <v/>
      </c>
      <c r="I83" s="103" t="str">
        <f t="shared" si="39"/>
        <v/>
      </c>
      <c r="J83" s="103" t="str">
        <f t="shared" si="39"/>
        <v/>
      </c>
      <c r="K83" s="103" t="str">
        <f t="shared" si="39"/>
        <v/>
      </c>
      <c r="L83" s="103" t="str">
        <f t="shared" si="39"/>
        <v/>
      </c>
      <c r="M83" s="103" t="str">
        <f t="shared" si="39"/>
        <v/>
      </c>
      <c r="N83" s="103" t="str">
        <f t="shared" si="39"/>
        <v/>
      </c>
      <c r="O83" s="103" t="str">
        <f t="shared" si="39"/>
        <v/>
      </c>
      <c r="P83" s="103" t="str">
        <f t="shared" si="39"/>
        <v/>
      </c>
      <c r="Q83" s="103" t="str">
        <f t="shared" si="39"/>
        <v/>
      </c>
      <c r="R83" s="103" t="str">
        <f t="shared" si="39"/>
        <v/>
      </c>
      <c r="S83" s="103" t="str">
        <f t="shared" si="39"/>
        <v/>
      </c>
      <c r="T83" s="103" t="str">
        <f t="shared" si="39"/>
        <v/>
      </c>
      <c r="U83" s="103" t="str">
        <f t="shared" si="39"/>
        <v/>
      </c>
      <c r="V83" s="103" t="str">
        <f t="shared" si="39"/>
        <v/>
      </c>
      <c r="W83" s="103" t="str">
        <f t="shared" si="39"/>
        <v/>
      </c>
      <c r="X83" s="103" t="str">
        <f t="shared" si="39"/>
        <v/>
      </c>
      <c r="Y83" s="103" t="str">
        <f t="shared" si="39"/>
        <v/>
      </c>
      <c r="Z83" s="103" t="str">
        <f t="shared" si="39"/>
        <v/>
      </c>
      <c r="AA83" s="103" t="str">
        <f t="shared" si="39"/>
        <v/>
      </c>
      <c r="AB83" s="103" t="str">
        <f t="shared" si="39"/>
        <v/>
      </c>
    </row>
    <row r="84" spans="1:30" ht="18" customHeight="1" outlineLevel="1" x14ac:dyDescent="0.25">
      <c r="A84" s="9" t="s">
        <v>252</v>
      </c>
      <c r="B84" s="102"/>
      <c r="C84" s="103">
        <f t="shared" si="6"/>
        <v>0.34596205264742741</v>
      </c>
      <c r="D84" s="103">
        <f t="shared" ref="D84:AB84" si="40">IF(SUM(D82:D83)=0,"",SUM(D82:D83))</f>
        <v>0.34386755809883046</v>
      </c>
      <c r="E84" s="103">
        <f t="shared" si="40"/>
        <v>0.34156540586035072</v>
      </c>
      <c r="F84" s="103">
        <f t="shared" si="40"/>
        <v>0.34369092056124884</v>
      </c>
      <c r="G84" s="103">
        <f t="shared" si="40"/>
        <v>0.35472432606927973</v>
      </c>
      <c r="H84" s="103" t="str">
        <f t="shared" si="40"/>
        <v/>
      </c>
      <c r="I84" s="103" t="str">
        <f t="shared" si="40"/>
        <v/>
      </c>
      <c r="J84" s="103" t="str">
        <f t="shared" si="40"/>
        <v/>
      </c>
      <c r="K84" s="103" t="str">
        <f t="shared" si="40"/>
        <v/>
      </c>
      <c r="L84" s="103" t="str">
        <f t="shared" si="40"/>
        <v/>
      </c>
      <c r="M84" s="103" t="str">
        <f t="shared" si="40"/>
        <v/>
      </c>
      <c r="N84" s="103" t="str">
        <f t="shared" si="40"/>
        <v/>
      </c>
      <c r="O84" s="103" t="str">
        <f t="shared" si="40"/>
        <v/>
      </c>
      <c r="P84" s="103" t="str">
        <f t="shared" si="40"/>
        <v/>
      </c>
      <c r="Q84" s="103" t="str">
        <f t="shared" si="40"/>
        <v/>
      </c>
      <c r="R84" s="103" t="str">
        <f t="shared" si="40"/>
        <v/>
      </c>
      <c r="S84" s="103" t="str">
        <f t="shared" si="40"/>
        <v/>
      </c>
      <c r="T84" s="103" t="str">
        <f t="shared" si="40"/>
        <v/>
      </c>
      <c r="U84" s="103" t="str">
        <f t="shared" si="40"/>
        <v/>
      </c>
      <c r="V84" s="103" t="str">
        <f t="shared" si="40"/>
        <v/>
      </c>
      <c r="W84" s="103" t="str">
        <f t="shared" si="40"/>
        <v/>
      </c>
      <c r="X84" s="103" t="str">
        <f t="shared" si="40"/>
        <v/>
      </c>
      <c r="Y84" s="103" t="str">
        <f t="shared" si="40"/>
        <v/>
      </c>
      <c r="Z84" s="103" t="str">
        <f t="shared" si="40"/>
        <v/>
      </c>
      <c r="AA84" s="103" t="str">
        <f t="shared" si="40"/>
        <v/>
      </c>
      <c r="AB84" s="103" t="str">
        <f t="shared" si="40"/>
        <v/>
      </c>
    </row>
    <row r="86" spans="1:30" ht="18" customHeight="1" outlineLevel="2" x14ac:dyDescent="0.25">
      <c r="A86" s="9" t="s">
        <v>253</v>
      </c>
      <c r="B86" s="189"/>
      <c r="C86" s="7">
        <f>IFERROR(AVERAGE(D86:AB86), "")</f>
        <v>159.7041070554607</v>
      </c>
      <c r="D86" s="7">
        <f>IF(D$75="","",D$75/Gas!$I$35*Gas!$B$11)</f>
        <v>159.7041070554607</v>
      </c>
      <c r="E86" s="7">
        <f>IF(E$75="","",E$75/Gas!$I$35*Gas!$B$11)</f>
        <v>159.7041070554607</v>
      </c>
      <c r="F86" s="7">
        <f>IF(F$75="","",F$75/Gas!$I$35*Gas!$B$11)</f>
        <v>159.7041070554607</v>
      </c>
      <c r="G86" s="7">
        <f>IF(G$75="","",G$75/Gas!$I$35*Gas!$B$11)</f>
        <v>159.7041070554607</v>
      </c>
      <c r="H86" s="7" t="str">
        <f>IF(H$75="","",H$75/Gas!$I$35*Gas!$B$11)</f>
        <v/>
      </c>
      <c r="I86" s="7" t="str">
        <f>IF(I$75="","",I$75/Gas!$I$35*Gas!$B$11)</f>
        <v/>
      </c>
      <c r="J86" s="7" t="str">
        <f>IF(J$75="","",J$75/Gas!$I$35*Gas!$B$11)</f>
        <v/>
      </c>
      <c r="K86" s="7" t="str">
        <f>IF(K$75="","",K$75/Gas!$I$35*Gas!$B$11)</f>
        <v/>
      </c>
      <c r="L86" s="7" t="str">
        <f>IF(L$75="","",L$75/Gas!$I$35*Gas!$B$11)</f>
        <v/>
      </c>
      <c r="M86" s="7" t="str">
        <f>IF(M$75="","",M$75/Gas!$I$35*Gas!$B$11)</f>
        <v/>
      </c>
      <c r="N86" s="7" t="str">
        <f>IF(N$75="","",N$75/Gas!$I$35*Gas!$B$11)</f>
        <v/>
      </c>
      <c r="O86" s="7" t="str">
        <f>IF(O$75="","",O$75/Gas!$I$35*Gas!$B$11)</f>
        <v/>
      </c>
      <c r="P86" s="7" t="str">
        <f>IF(P$75="","",P$75/Gas!$I$35*Gas!$B$11)</f>
        <v/>
      </c>
      <c r="Q86" s="7" t="str">
        <f>IF(Q$75="","",Q$75/Gas!$I$35*Gas!$B$11)</f>
        <v/>
      </c>
      <c r="R86" s="7" t="str">
        <f>IF(R$75="","",R$75/Gas!$I$35*Gas!$B$11)</f>
        <v/>
      </c>
      <c r="S86" s="7" t="str">
        <f>IF(S$75="","",S$75/Gas!$I$35*Gas!$B$11)</f>
        <v/>
      </c>
      <c r="T86" s="7" t="str">
        <f>IF(T$75="","",T$75/Gas!$I$35*Gas!$B$11)</f>
        <v/>
      </c>
      <c r="U86" s="7" t="str">
        <f>IF(U$75="","",U$75/Gas!$I$35*Gas!$B$11)</f>
        <v/>
      </c>
      <c r="V86" s="7" t="str">
        <f>IF(V$75="","",V$75/Gas!$I$35*Gas!$B$11)</f>
        <v/>
      </c>
      <c r="W86" s="7" t="str">
        <f>IF(W$75="","",W$75/Gas!$I$35*Gas!$B$11)</f>
        <v/>
      </c>
      <c r="X86" s="7" t="str">
        <f>IF(X$75="","",X$75/Gas!$I$35*Gas!$B$11)</f>
        <v/>
      </c>
      <c r="Y86" s="7" t="str">
        <f>IF(Y$75="","",Y$75/Gas!$I$35*Gas!$B$11)</f>
        <v/>
      </c>
      <c r="Z86" s="7" t="str">
        <f>IF(Z$75="","",Z$75/Gas!$I$35*Gas!$B$11)</f>
        <v/>
      </c>
      <c r="AA86" s="7" t="str">
        <f>IF(AA$75="","",AA$75/Gas!$I$35*Gas!$B$11)</f>
        <v/>
      </c>
      <c r="AB86" s="7" t="str">
        <f>IF(AB$75="","",AB$75/Gas!$I$35*Gas!$B$11)</f>
        <v/>
      </c>
    </row>
    <row r="87" spans="1:30" ht="18" customHeight="1" outlineLevel="2" x14ac:dyDescent="0.25">
      <c r="A87" s="9" t="s">
        <v>254</v>
      </c>
      <c r="B87" s="218"/>
      <c r="C87" s="7" t="s">
        <v>247</v>
      </c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D87" s="136"/>
    </row>
    <row r="88" spans="1:30" ht="18" customHeight="1" outlineLevel="2" x14ac:dyDescent="0.25">
      <c r="A88" s="9" t="str">
        <f t="shared" ref="A88:A118" si="41">IF(A20="", "", CONCATENATE(A20, " [Nl/h]"))</f>
        <v>Methane [Nl/h]</v>
      </c>
      <c r="B88" s="219"/>
      <c r="C88" s="103">
        <f t="shared" ref="C88:C118" si="42">IFERROR(AVERAGE(D88:AB88), "")</f>
        <v>4.646615748915222</v>
      </c>
      <c r="D88" s="103">
        <f t="shared" ref="D88:AB88" si="43">IF(D$86="","",D20/100*D$86)</f>
        <v>4.6287632253080284</v>
      </c>
      <c r="E88" s="103">
        <f t="shared" si="43"/>
        <v>4.6321904754454382</v>
      </c>
      <c r="F88" s="103">
        <f t="shared" si="43"/>
        <v>4.6241493736551957</v>
      </c>
      <c r="G88" s="103">
        <f t="shared" si="43"/>
        <v>4.7013599212522283</v>
      </c>
      <c r="H88" s="103" t="str">
        <f t="shared" si="43"/>
        <v/>
      </c>
      <c r="I88" s="103" t="str">
        <f t="shared" si="43"/>
        <v/>
      </c>
      <c r="J88" s="103" t="str">
        <f t="shared" si="43"/>
        <v/>
      </c>
      <c r="K88" s="103" t="str">
        <f t="shared" si="43"/>
        <v/>
      </c>
      <c r="L88" s="103" t="str">
        <f t="shared" si="43"/>
        <v/>
      </c>
      <c r="M88" s="103" t="str">
        <f t="shared" si="43"/>
        <v/>
      </c>
      <c r="N88" s="103" t="str">
        <f t="shared" si="43"/>
        <v/>
      </c>
      <c r="O88" s="103" t="str">
        <f t="shared" si="43"/>
        <v/>
      </c>
      <c r="P88" s="103" t="str">
        <f t="shared" si="43"/>
        <v/>
      </c>
      <c r="Q88" s="103" t="str">
        <f t="shared" si="43"/>
        <v/>
      </c>
      <c r="R88" s="103" t="str">
        <f t="shared" si="43"/>
        <v/>
      </c>
      <c r="S88" s="103" t="str">
        <f t="shared" si="43"/>
        <v/>
      </c>
      <c r="T88" s="103" t="str">
        <f t="shared" si="43"/>
        <v/>
      </c>
      <c r="U88" s="103" t="str">
        <f t="shared" si="43"/>
        <v/>
      </c>
      <c r="V88" s="103" t="str">
        <f t="shared" si="43"/>
        <v/>
      </c>
      <c r="W88" s="103" t="str">
        <f t="shared" si="43"/>
        <v/>
      </c>
      <c r="X88" s="103" t="str">
        <f t="shared" si="43"/>
        <v/>
      </c>
      <c r="Y88" s="103" t="str">
        <f t="shared" si="43"/>
        <v/>
      </c>
      <c r="Z88" s="103" t="str">
        <f t="shared" si="43"/>
        <v/>
      </c>
      <c r="AA88" s="103" t="str">
        <f t="shared" si="43"/>
        <v/>
      </c>
      <c r="AB88" s="103" t="str">
        <f t="shared" si="43"/>
        <v/>
      </c>
    </row>
    <row r="89" spans="1:30" ht="18" customHeight="1" outlineLevel="2" x14ac:dyDescent="0.25">
      <c r="A89" s="9" t="str">
        <f t="shared" si="41"/>
        <v>Ethane [Nl/h]</v>
      </c>
      <c r="B89" s="219"/>
      <c r="C89" s="103">
        <f t="shared" si="42"/>
        <v>1.877978561577206</v>
      </c>
      <c r="D89" s="103">
        <f t="shared" ref="D89:AB89" si="44">IF(D$86="","",D21/100*D$86)</f>
        <v>2.0942318966396671</v>
      </c>
      <c r="E89" s="103">
        <f t="shared" si="44"/>
        <v>1.9791203703562321</v>
      </c>
      <c r="F89" s="103">
        <f t="shared" si="44"/>
        <v>1.7537794723420479</v>
      </c>
      <c r="G89" s="103">
        <f t="shared" si="44"/>
        <v>1.6847825069708771</v>
      </c>
      <c r="H89" s="103" t="str">
        <f t="shared" si="44"/>
        <v/>
      </c>
      <c r="I89" s="103" t="str">
        <f t="shared" si="44"/>
        <v/>
      </c>
      <c r="J89" s="103" t="str">
        <f t="shared" si="44"/>
        <v/>
      </c>
      <c r="K89" s="103" t="str">
        <f t="shared" si="44"/>
        <v/>
      </c>
      <c r="L89" s="103" t="str">
        <f t="shared" si="44"/>
        <v/>
      </c>
      <c r="M89" s="103" t="str">
        <f t="shared" si="44"/>
        <v/>
      </c>
      <c r="N89" s="103" t="str">
        <f t="shared" si="44"/>
        <v/>
      </c>
      <c r="O89" s="103" t="str">
        <f t="shared" si="44"/>
        <v/>
      </c>
      <c r="P89" s="103" t="str">
        <f t="shared" si="44"/>
        <v/>
      </c>
      <c r="Q89" s="103" t="str">
        <f t="shared" si="44"/>
        <v/>
      </c>
      <c r="R89" s="103" t="str">
        <f t="shared" si="44"/>
        <v/>
      </c>
      <c r="S89" s="103" t="str">
        <f t="shared" si="44"/>
        <v/>
      </c>
      <c r="T89" s="103" t="str">
        <f t="shared" si="44"/>
        <v/>
      </c>
      <c r="U89" s="103" t="str">
        <f t="shared" si="44"/>
        <v/>
      </c>
      <c r="V89" s="103" t="str">
        <f t="shared" si="44"/>
        <v/>
      </c>
      <c r="W89" s="103" t="str">
        <f t="shared" si="44"/>
        <v/>
      </c>
      <c r="X89" s="103" t="str">
        <f t="shared" si="44"/>
        <v/>
      </c>
      <c r="Y89" s="103" t="str">
        <f t="shared" si="44"/>
        <v/>
      </c>
      <c r="Z89" s="103" t="str">
        <f t="shared" si="44"/>
        <v/>
      </c>
      <c r="AA89" s="103" t="str">
        <f t="shared" si="44"/>
        <v/>
      </c>
      <c r="AB89" s="103" t="str">
        <f t="shared" si="44"/>
        <v/>
      </c>
    </row>
    <row r="90" spans="1:30" ht="18" customHeight="1" outlineLevel="2" x14ac:dyDescent="0.25">
      <c r="A90" s="9" t="str">
        <f t="shared" si="41"/>
        <v>Ethylene [Nl/h]</v>
      </c>
      <c r="B90" s="219"/>
      <c r="C90" s="103">
        <f t="shared" si="42"/>
        <v>6.2301817854370256</v>
      </c>
      <c r="D90" s="103">
        <f t="shared" ref="D90:AB90" si="45">IF(D$86="","",D22/100*D$86)</f>
        <v>6.1793383859148481</v>
      </c>
      <c r="E90" s="103">
        <f t="shared" si="45"/>
        <v>6.1349134944552315</v>
      </c>
      <c r="F90" s="103">
        <f t="shared" si="45"/>
        <v>6.2064944722785595</v>
      </c>
      <c r="G90" s="103">
        <f t="shared" si="45"/>
        <v>6.3999807890994616</v>
      </c>
      <c r="H90" s="103" t="str">
        <f t="shared" si="45"/>
        <v/>
      </c>
      <c r="I90" s="103" t="str">
        <f t="shared" si="45"/>
        <v/>
      </c>
      <c r="J90" s="103" t="str">
        <f t="shared" si="45"/>
        <v/>
      </c>
      <c r="K90" s="103" t="str">
        <f t="shared" si="45"/>
        <v/>
      </c>
      <c r="L90" s="103" t="str">
        <f t="shared" si="45"/>
        <v/>
      </c>
      <c r="M90" s="103" t="str">
        <f t="shared" si="45"/>
        <v/>
      </c>
      <c r="N90" s="103" t="str">
        <f t="shared" si="45"/>
        <v/>
      </c>
      <c r="O90" s="103" t="str">
        <f t="shared" si="45"/>
        <v/>
      </c>
      <c r="P90" s="103" t="str">
        <f t="shared" si="45"/>
        <v/>
      </c>
      <c r="Q90" s="103" t="str">
        <f t="shared" si="45"/>
        <v/>
      </c>
      <c r="R90" s="103" t="str">
        <f t="shared" si="45"/>
        <v/>
      </c>
      <c r="S90" s="103" t="str">
        <f t="shared" si="45"/>
        <v/>
      </c>
      <c r="T90" s="103" t="str">
        <f t="shared" si="45"/>
        <v/>
      </c>
      <c r="U90" s="103" t="str">
        <f t="shared" si="45"/>
        <v/>
      </c>
      <c r="V90" s="103" t="str">
        <f t="shared" si="45"/>
        <v/>
      </c>
      <c r="W90" s="103" t="str">
        <f t="shared" si="45"/>
        <v/>
      </c>
      <c r="X90" s="103" t="str">
        <f t="shared" si="45"/>
        <v/>
      </c>
      <c r="Y90" s="103" t="str">
        <f t="shared" si="45"/>
        <v/>
      </c>
      <c r="Z90" s="103" t="str">
        <f t="shared" si="45"/>
        <v/>
      </c>
      <c r="AA90" s="103" t="str">
        <f t="shared" si="45"/>
        <v/>
      </c>
      <c r="AB90" s="103" t="str">
        <f t="shared" si="45"/>
        <v/>
      </c>
    </row>
    <row r="91" spans="1:30" ht="18" customHeight="1" outlineLevel="2" x14ac:dyDescent="0.25">
      <c r="A91" s="9" t="str">
        <f t="shared" si="41"/>
        <v>Propane [Nl/h]</v>
      </c>
      <c r="B91" s="219"/>
      <c r="C91" s="103">
        <f t="shared" si="42"/>
        <v>3.7111241877012678E-3</v>
      </c>
      <c r="D91" s="103">
        <f t="shared" ref="D91:AB91" si="46">IF(D$86="","",D23/100*D$86)</f>
        <v>4.7048829938538721E-3</v>
      </c>
      <c r="E91" s="103">
        <f t="shared" si="46"/>
        <v>3.7929725425671912E-3</v>
      </c>
      <c r="F91" s="103">
        <f t="shared" si="46"/>
        <v>3.3873241106463217E-3</v>
      </c>
      <c r="G91" s="103">
        <f t="shared" si="46"/>
        <v>2.9593171037376868E-3</v>
      </c>
      <c r="H91" s="103" t="str">
        <f t="shared" si="46"/>
        <v/>
      </c>
      <c r="I91" s="103" t="str">
        <f t="shared" si="46"/>
        <v/>
      </c>
      <c r="J91" s="103" t="str">
        <f t="shared" si="46"/>
        <v/>
      </c>
      <c r="K91" s="103" t="str">
        <f t="shared" si="46"/>
        <v/>
      </c>
      <c r="L91" s="103" t="str">
        <f t="shared" si="46"/>
        <v/>
      </c>
      <c r="M91" s="103" t="str">
        <f t="shared" si="46"/>
        <v/>
      </c>
      <c r="N91" s="103" t="str">
        <f t="shared" si="46"/>
        <v/>
      </c>
      <c r="O91" s="103" t="str">
        <f t="shared" si="46"/>
        <v/>
      </c>
      <c r="P91" s="103" t="str">
        <f t="shared" si="46"/>
        <v/>
      </c>
      <c r="Q91" s="103" t="str">
        <f t="shared" si="46"/>
        <v/>
      </c>
      <c r="R91" s="103" t="str">
        <f t="shared" si="46"/>
        <v/>
      </c>
      <c r="S91" s="103" t="str">
        <f t="shared" si="46"/>
        <v/>
      </c>
      <c r="T91" s="103" t="str">
        <f t="shared" si="46"/>
        <v/>
      </c>
      <c r="U91" s="103" t="str">
        <f t="shared" si="46"/>
        <v/>
      </c>
      <c r="V91" s="103" t="str">
        <f t="shared" si="46"/>
        <v/>
      </c>
      <c r="W91" s="103" t="str">
        <f t="shared" si="46"/>
        <v/>
      </c>
      <c r="X91" s="103" t="str">
        <f t="shared" si="46"/>
        <v/>
      </c>
      <c r="Y91" s="103" t="str">
        <f t="shared" si="46"/>
        <v/>
      </c>
      <c r="Z91" s="103" t="str">
        <f t="shared" si="46"/>
        <v/>
      </c>
      <c r="AA91" s="103" t="str">
        <f t="shared" si="46"/>
        <v/>
      </c>
      <c r="AB91" s="103" t="str">
        <f t="shared" si="46"/>
        <v/>
      </c>
    </row>
    <row r="92" spans="1:30" ht="18" customHeight="1" outlineLevel="2" x14ac:dyDescent="0.25">
      <c r="A92" s="9" t="str">
        <f t="shared" si="41"/>
        <v>Propylene [Nl/h]</v>
      </c>
      <c r="B92" s="219"/>
      <c r="C92" s="103">
        <f t="shared" si="42"/>
        <v>0.24482439981468304</v>
      </c>
      <c r="D92" s="103">
        <f t="shared" ref="D92:AB92" si="47">IF(D$86="","",D24/100*D$86)</f>
        <v>0.25886758120833736</v>
      </c>
      <c r="E92" s="103">
        <f t="shared" si="47"/>
        <v>0.26131744221056807</v>
      </c>
      <c r="F92" s="103">
        <f t="shared" si="47"/>
        <v>0.24161314948206539</v>
      </c>
      <c r="G92" s="103">
        <f t="shared" si="47"/>
        <v>0.2174994263577614</v>
      </c>
      <c r="H92" s="103" t="str">
        <f t="shared" si="47"/>
        <v/>
      </c>
      <c r="I92" s="103" t="str">
        <f t="shared" si="47"/>
        <v/>
      </c>
      <c r="J92" s="103" t="str">
        <f t="shared" si="47"/>
        <v/>
      </c>
      <c r="K92" s="103" t="str">
        <f t="shared" si="47"/>
        <v/>
      </c>
      <c r="L92" s="103" t="str">
        <f t="shared" si="47"/>
        <v/>
      </c>
      <c r="M92" s="103" t="str">
        <f t="shared" si="47"/>
        <v/>
      </c>
      <c r="N92" s="103" t="str">
        <f t="shared" si="47"/>
        <v/>
      </c>
      <c r="O92" s="103" t="str">
        <f t="shared" si="47"/>
        <v/>
      </c>
      <c r="P92" s="103" t="str">
        <f t="shared" si="47"/>
        <v/>
      </c>
      <c r="Q92" s="103" t="str">
        <f t="shared" si="47"/>
        <v/>
      </c>
      <c r="R92" s="103" t="str">
        <f t="shared" si="47"/>
        <v/>
      </c>
      <c r="S92" s="103" t="str">
        <f t="shared" si="47"/>
        <v/>
      </c>
      <c r="T92" s="103" t="str">
        <f t="shared" si="47"/>
        <v/>
      </c>
      <c r="U92" s="103" t="str">
        <f t="shared" si="47"/>
        <v/>
      </c>
      <c r="V92" s="103" t="str">
        <f t="shared" si="47"/>
        <v/>
      </c>
      <c r="W92" s="103" t="str">
        <f t="shared" si="47"/>
        <v/>
      </c>
      <c r="X92" s="103" t="str">
        <f t="shared" si="47"/>
        <v/>
      </c>
      <c r="Y92" s="103" t="str">
        <f t="shared" si="47"/>
        <v/>
      </c>
      <c r="Z92" s="103" t="str">
        <f t="shared" si="47"/>
        <v/>
      </c>
      <c r="AA92" s="103" t="str">
        <f t="shared" si="47"/>
        <v/>
      </c>
      <c r="AB92" s="103" t="str">
        <f t="shared" si="47"/>
        <v/>
      </c>
    </row>
    <row r="93" spans="1:30" ht="18" customHeight="1" outlineLevel="2" x14ac:dyDescent="0.25">
      <c r="A93" s="9" t="str">
        <f t="shared" si="41"/>
        <v>Butane [Nl/h]</v>
      </c>
      <c r="B93" s="219"/>
      <c r="C93" s="103">
        <f t="shared" si="42"/>
        <v>2.0501216222709489E-2</v>
      </c>
      <c r="D93" s="103">
        <f t="shared" ref="D93:AB93" si="48">IF(D$86="","",D25/100*D$86)</f>
        <v>2.3302426260462267E-2</v>
      </c>
      <c r="E93" s="103">
        <f t="shared" si="48"/>
        <v>2.0967552215311436E-2</v>
      </c>
      <c r="F93" s="103">
        <f t="shared" si="48"/>
        <v>1.9027147314587586E-2</v>
      </c>
      <c r="G93" s="103">
        <f t="shared" si="48"/>
        <v>1.8707739100476666E-2</v>
      </c>
      <c r="H93" s="103" t="str">
        <f t="shared" si="48"/>
        <v/>
      </c>
      <c r="I93" s="103" t="str">
        <f t="shared" si="48"/>
        <v/>
      </c>
      <c r="J93" s="103" t="str">
        <f t="shared" si="48"/>
        <v/>
      </c>
      <c r="K93" s="103" t="str">
        <f t="shared" si="48"/>
        <v/>
      </c>
      <c r="L93" s="103" t="str">
        <f t="shared" si="48"/>
        <v/>
      </c>
      <c r="M93" s="103" t="str">
        <f t="shared" si="48"/>
        <v/>
      </c>
      <c r="N93" s="103" t="str">
        <f t="shared" si="48"/>
        <v/>
      </c>
      <c r="O93" s="103" t="str">
        <f t="shared" si="48"/>
        <v/>
      </c>
      <c r="P93" s="103" t="str">
        <f t="shared" si="48"/>
        <v/>
      </c>
      <c r="Q93" s="103" t="str">
        <f t="shared" si="48"/>
        <v/>
      </c>
      <c r="R93" s="103" t="str">
        <f t="shared" si="48"/>
        <v/>
      </c>
      <c r="S93" s="103" t="str">
        <f t="shared" si="48"/>
        <v/>
      </c>
      <c r="T93" s="103" t="str">
        <f t="shared" si="48"/>
        <v/>
      </c>
      <c r="U93" s="103" t="str">
        <f t="shared" si="48"/>
        <v/>
      </c>
      <c r="V93" s="103" t="str">
        <f t="shared" si="48"/>
        <v/>
      </c>
      <c r="W93" s="103" t="str">
        <f t="shared" si="48"/>
        <v/>
      </c>
      <c r="X93" s="103" t="str">
        <f t="shared" si="48"/>
        <v/>
      </c>
      <c r="Y93" s="103" t="str">
        <f t="shared" si="48"/>
        <v/>
      </c>
      <c r="Z93" s="103" t="str">
        <f t="shared" si="48"/>
        <v/>
      </c>
      <c r="AA93" s="103" t="str">
        <f t="shared" si="48"/>
        <v/>
      </c>
      <c r="AB93" s="103" t="str">
        <f t="shared" si="48"/>
        <v/>
      </c>
    </row>
    <row r="94" spans="1:30" ht="18" customHeight="1" outlineLevel="2" x14ac:dyDescent="0.25">
      <c r="A94" s="9" t="str">
        <f t="shared" si="41"/>
        <v>Pentane [Nl/h]</v>
      </c>
      <c r="B94" s="219"/>
      <c r="C94" s="103">
        <f t="shared" si="42"/>
        <v>0</v>
      </c>
      <c r="D94" s="103">
        <f t="shared" ref="D94:AB94" si="49">IF(D$86="","",D26/100*D$86)</f>
        <v>0</v>
      </c>
      <c r="E94" s="103">
        <f t="shared" si="49"/>
        <v>0</v>
      </c>
      <c r="F94" s="103">
        <f t="shared" si="49"/>
        <v>0</v>
      </c>
      <c r="G94" s="103">
        <f t="shared" si="49"/>
        <v>0</v>
      </c>
      <c r="H94" s="103" t="str">
        <f t="shared" si="49"/>
        <v/>
      </c>
      <c r="I94" s="103" t="str">
        <f t="shared" si="49"/>
        <v/>
      </c>
      <c r="J94" s="103" t="str">
        <f t="shared" si="49"/>
        <v/>
      </c>
      <c r="K94" s="103" t="str">
        <f t="shared" si="49"/>
        <v/>
      </c>
      <c r="L94" s="103" t="str">
        <f t="shared" si="49"/>
        <v/>
      </c>
      <c r="M94" s="103" t="str">
        <f t="shared" si="49"/>
        <v/>
      </c>
      <c r="N94" s="103" t="str">
        <f t="shared" si="49"/>
        <v/>
      </c>
      <c r="O94" s="103" t="str">
        <f t="shared" si="49"/>
        <v/>
      </c>
      <c r="P94" s="103" t="str">
        <f t="shared" si="49"/>
        <v/>
      </c>
      <c r="Q94" s="103" t="str">
        <f t="shared" si="49"/>
        <v/>
      </c>
      <c r="R94" s="103" t="str">
        <f t="shared" si="49"/>
        <v/>
      </c>
      <c r="S94" s="103" t="str">
        <f t="shared" si="49"/>
        <v/>
      </c>
      <c r="T94" s="103" t="str">
        <f t="shared" si="49"/>
        <v/>
      </c>
      <c r="U94" s="103" t="str">
        <f t="shared" si="49"/>
        <v/>
      </c>
      <c r="V94" s="103" t="str">
        <f t="shared" si="49"/>
        <v/>
      </c>
      <c r="W94" s="103" t="str">
        <f t="shared" si="49"/>
        <v/>
      </c>
      <c r="X94" s="103" t="str">
        <f t="shared" si="49"/>
        <v/>
      </c>
      <c r="Y94" s="103" t="str">
        <f t="shared" si="49"/>
        <v/>
      </c>
      <c r="Z94" s="103" t="str">
        <f t="shared" si="49"/>
        <v/>
      </c>
      <c r="AA94" s="103" t="str">
        <f t="shared" si="49"/>
        <v/>
      </c>
      <c r="AB94" s="103" t="str">
        <f t="shared" si="49"/>
        <v/>
      </c>
    </row>
    <row r="95" spans="1:30" ht="18" customHeight="1" outlineLevel="2" x14ac:dyDescent="0.25">
      <c r="A95" s="9" t="str">
        <f t="shared" si="41"/>
        <v>C6s (Isomers of hexane?) [Nl/h]</v>
      </c>
      <c r="B95" s="219"/>
      <c r="C95" s="103">
        <f t="shared" si="42"/>
        <v>0</v>
      </c>
      <c r="D95" s="103">
        <f t="shared" ref="D95:AB95" si="50">IF(D$86="","",D27/100*D$86)</f>
        <v>0</v>
      </c>
      <c r="E95" s="103">
        <f t="shared" si="50"/>
        <v>0</v>
      </c>
      <c r="F95" s="103">
        <f t="shared" si="50"/>
        <v>0</v>
      </c>
      <c r="G95" s="103">
        <f t="shared" si="50"/>
        <v>0</v>
      </c>
      <c r="H95" s="103" t="str">
        <f t="shared" si="50"/>
        <v/>
      </c>
      <c r="I95" s="103" t="str">
        <f t="shared" si="50"/>
        <v/>
      </c>
      <c r="J95" s="103" t="str">
        <f t="shared" si="50"/>
        <v/>
      </c>
      <c r="K95" s="103" t="str">
        <f t="shared" si="50"/>
        <v/>
      </c>
      <c r="L95" s="103" t="str">
        <f t="shared" si="50"/>
        <v/>
      </c>
      <c r="M95" s="103" t="str">
        <f t="shared" si="50"/>
        <v/>
      </c>
      <c r="N95" s="103" t="str">
        <f t="shared" si="50"/>
        <v/>
      </c>
      <c r="O95" s="103" t="str">
        <f t="shared" si="50"/>
        <v/>
      </c>
      <c r="P95" s="103" t="str">
        <f t="shared" si="50"/>
        <v/>
      </c>
      <c r="Q95" s="103" t="str">
        <f t="shared" si="50"/>
        <v/>
      </c>
      <c r="R95" s="103" t="str">
        <f t="shared" si="50"/>
        <v/>
      </c>
      <c r="S95" s="103" t="str">
        <f t="shared" si="50"/>
        <v/>
      </c>
      <c r="T95" s="103" t="str">
        <f t="shared" si="50"/>
        <v/>
      </c>
      <c r="U95" s="103" t="str">
        <f t="shared" si="50"/>
        <v/>
      </c>
      <c r="V95" s="103" t="str">
        <f t="shared" si="50"/>
        <v/>
      </c>
      <c r="W95" s="103" t="str">
        <f t="shared" si="50"/>
        <v/>
      </c>
      <c r="X95" s="103" t="str">
        <f t="shared" si="50"/>
        <v/>
      </c>
      <c r="Y95" s="103" t="str">
        <f t="shared" si="50"/>
        <v/>
      </c>
      <c r="Z95" s="103" t="str">
        <f t="shared" si="50"/>
        <v/>
      </c>
      <c r="AA95" s="103" t="str">
        <f t="shared" si="50"/>
        <v/>
      </c>
      <c r="AB95" s="103" t="str">
        <f t="shared" si="50"/>
        <v/>
      </c>
    </row>
    <row r="96" spans="1:30" ht="18" customHeight="1" outlineLevel="2" x14ac:dyDescent="0.25">
      <c r="A96" s="9" t="str">
        <f t="shared" si="41"/>
        <v>Hexane [Nl/h]</v>
      </c>
      <c r="B96" s="219"/>
      <c r="C96" s="103">
        <f t="shared" si="42"/>
        <v>0</v>
      </c>
      <c r="D96" s="103">
        <f t="shared" ref="D96:AB96" si="51">IF(D$86="","",D28/100*D$86)</f>
        <v>0</v>
      </c>
      <c r="E96" s="103">
        <f t="shared" si="51"/>
        <v>0</v>
      </c>
      <c r="F96" s="103">
        <f t="shared" si="51"/>
        <v>0</v>
      </c>
      <c r="G96" s="103">
        <f t="shared" si="51"/>
        <v>0</v>
      </c>
      <c r="H96" s="103" t="str">
        <f t="shared" si="51"/>
        <v/>
      </c>
      <c r="I96" s="103" t="str">
        <f t="shared" si="51"/>
        <v/>
      </c>
      <c r="J96" s="103" t="str">
        <f t="shared" si="51"/>
        <v/>
      </c>
      <c r="K96" s="103" t="str">
        <f t="shared" si="51"/>
        <v/>
      </c>
      <c r="L96" s="103" t="str">
        <f t="shared" si="51"/>
        <v/>
      </c>
      <c r="M96" s="103" t="str">
        <f t="shared" si="51"/>
        <v/>
      </c>
      <c r="N96" s="103" t="str">
        <f t="shared" si="51"/>
        <v/>
      </c>
      <c r="O96" s="103" t="str">
        <f t="shared" si="51"/>
        <v/>
      </c>
      <c r="P96" s="103" t="str">
        <f t="shared" si="51"/>
        <v/>
      </c>
      <c r="Q96" s="103" t="str">
        <f t="shared" si="51"/>
        <v/>
      </c>
      <c r="R96" s="103" t="str">
        <f t="shared" si="51"/>
        <v/>
      </c>
      <c r="S96" s="103" t="str">
        <f t="shared" si="51"/>
        <v/>
      </c>
      <c r="T96" s="103" t="str">
        <f t="shared" si="51"/>
        <v/>
      </c>
      <c r="U96" s="103" t="str">
        <f t="shared" si="51"/>
        <v/>
      </c>
      <c r="V96" s="103" t="str">
        <f t="shared" si="51"/>
        <v/>
      </c>
      <c r="W96" s="103" t="str">
        <f t="shared" si="51"/>
        <v/>
      </c>
      <c r="X96" s="103" t="str">
        <f t="shared" si="51"/>
        <v/>
      </c>
      <c r="Y96" s="103" t="str">
        <f t="shared" si="51"/>
        <v/>
      </c>
      <c r="Z96" s="103" t="str">
        <f t="shared" si="51"/>
        <v/>
      </c>
      <c r="AA96" s="103" t="str">
        <f t="shared" si="51"/>
        <v/>
      </c>
      <c r="AB96" s="103" t="str">
        <f t="shared" si="51"/>
        <v/>
      </c>
    </row>
    <row r="97" spans="1:28" ht="18" customHeight="1" outlineLevel="2" x14ac:dyDescent="0.25">
      <c r="A97" s="9" t="str">
        <f t="shared" si="41"/>
        <v>C4 [Nl/h]</v>
      </c>
      <c r="B97" s="219"/>
      <c r="C97" s="103">
        <f t="shared" si="42"/>
        <v>0.8500594461857065</v>
      </c>
      <c r="D97" s="103">
        <f t="shared" ref="D97:AB97" si="52">IF(D$86="","",D29/100*D$86)</f>
        <v>0.79047783644599046</v>
      </c>
      <c r="E97" s="103">
        <f t="shared" si="52"/>
        <v>0.80645623235688935</v>
      </c>
      <c r="F97" s="103">
        <f t="shared" si="52"/>
        <v>0.86331249150970391</v>
      </c>
      <c r="G97" s="103">
        <f t="shared" si="52"/>
        <v>0.93999122443024219</v>
      </c>
      <c r="H97" s="103" t="str">
        <f t="shared" si="52"/>
        <v/>
      </c>
      <c r="I97" s="103" t="str">
        <f t="shared" si="52"/>
        <v/>
      </c>
      <c r="J97" s="103" t="str">
        <f t="shared" si="52"/>
        <v/>
      </c>
      <c r="K97" s="103" t="str">
        <f t="shared" si="52"/>
        <v/>
      </c>
      <c r="L97" s="103" t="str">
        <f t="shared" si="52"/>
        <v/>
      </c>
      <c r="M97" s="103" t="str">
        <f t="shared" si="52"/>
        <v/>
      </c>
      <c r="N97" s="103" t="str">
        <f t="shared" si="52"/>
        <v/>
      </c>
      <c r="O97" s="103" t="str">
        <f t="shared" si="52"/>
        <v/>
      </c>
      <c r="P97" s="103" t="str">
        <f t="shared" si="52"/>
        <v/>
      </c>
      <c r="Q97" s="103" t="str">
        <f t="shared" si="52"/>
        <v/>
      </c>
      <c r="R97" s="103" t="str">
        <f t="shared" si="52"/>
        <v/>
      </c>
      <c r="S97" s="103" t="str">
        <f t="shared" si="52"/>
        <v/>
      </c>
      <c r="T97" s="103" t="str">
        <f t="shared" si="52"/>
        <v/>
      </c>
      <c r="U97" s="103" t="str">
        <f t="shared" si="52"/>
        <v/>
      </c>
      <c r="V97" s="103" t="str">
        <f t="shared" si="52"/>
        <v/>
      </c>
      <c r="W97" s="103" t="str">
        <f t="shared" si="52"/>
        <v/>
      </c>
      <c r="X97" s="103" t="str">
        <f t="shared" si="52"/>
        <v/>
      </c>
      <c r="Y97" s="103" t="str">
        <f t="shared" si="52"/>
        <v/>
      </c>
      <c r="Z97" s="103" t="str">
        <f t="shared" si="52"/>
        <v/>
      </c>
      <c r="AA97" s="103" t="str">
        <f t="shared" si="52"/>
        <v/>
      </c>
      <c r="AB97" s="103" t="str">
        <f t="shared" si="52"/>
        <v/>
      </c>
    </row>
    <row r="98" spans="1:28" ht="18" customHeight="1" outlineLevel="2" x14ac:dyDescent="0.25">
      <c r="A98" s="9" t="str">
        <f t="shared" si="41"/>
        <v>C5 [Nl/h]</v>
      </c>
      <c r="B98" s="219"/>
      <c r="C98" s="103">
        <f t="shared" si="42"/>
        <v>0</v>
      </c>
      <c r="D98" s="103">
        <f t="shared" ref="D98:AB98" si="53">IF(D$86="","",D30/100*D$86)</f>
        <v>0</v>
      </c>
      <c r="E98" s="103">
        <f t="shared" si="53"/>
        <v>0</v>
      </c>
      <c r="F98" s="103">
        <f t="shared" si="53"/>
        <v>0</v>
      </c>
      <c r="G98" s="103">
        <f t="shared" si="53"/>
        <v>0</v>
      </c>
      <c r="H98" s="103" t="str">
        <f t="shared" si="53"/>
        <v/>
      </c>
      <c r="I98" s="103" t="str">
        <f t="shared" si="53"/>
        <v/>
      </c>
      <c r="J98" s="103" t="str">
        <f t="shared" si="53"/>
        <v/>
      </c>
      <c r="K98" s="103" t="str">
        <f t="shared" si="53"/>
        <v/>
      </c>
      <c r="L98" s="103" t="str">
        <f t="shared" si="53"/>
        <v/>
      </c>
      <c r="M98" s="103" t="str">
        <f t="shared" si="53"/>
        <v/>
      </c>
      <c r="N98" s="103" t="str">
        <f t="shared" si="53"/>
        <v/>
      </c>
      <c r="O98" s="103" t="str">
        <f t="shared" si="53"/>
        <v/>
      </c>
      <c r="P98" s="103" t="str">
        <f t="shared" si="53"/>
        <v/>
      </c>
      <c r="Q98" s="103" t="str">
        <f t="shared" si="53"/>
        <v/>
      </c>
      <c r="R98" s="103" t="str">
        <f t="shared" si="53"/>
        <v/>
      </c>
      <c r="S98" s="103" t="str">
        <f t="shared" si="53"/>
        <v/>
      </c>
      <c r="T98" s="103" t="str">
        <f t="shared" si="53"/>
        <v/>
      </c>
      <c r="U98" s="103" t="str">
        <f t="shared" si="53"/>
        <v/>
      </c>
      <c r="V98" s="103" t="str">
        <f t="shared" si="53"/>
        <v/>
      </c>
      <c r="W98" s="103" t="str">
        <f t="shared" si="53"/>
        <v/>
      </c>
      <c r="X98" s="103" t="str">
        <f t="shared" si="53"/>
        <v/>
      </c>
      <c r="Y98" s="103" t="str">
        <f t="shared" si="53"/>
        <v/>
      </c>
      <c r="Z98" s="103" t="str">
        <f t="shared" si="53"/>
        <v/>
      </c>
      <c r="AA98" s="103" t="str">
        <f t="shared" si="53"/>
        <v/>
      </c>
      <c r="AB98" s="103" t="str">
        <f t="shared" si="53"/>
        <v/>
      </c>
    </row>
    <row r="99" spans="1:28" ht="18" customHeight="1" outlineLevel="2" x14ac:dyDescent="0.25">
      <c r="A99" s="9" t="str">
        <f t="shared" si="41"/>
        <v>C6 [Nl/h]</v>
      </c>
      <c r="B99" s="219"/>
      <c r="C99" s="103">
        <f t="shared" si="42"/>
        <v>6.5055468009041911E-3</v>
      </c>
      <c r="D99" s="103">
        <f t="shared" ref="D99:AB99" si="54">IF(D$86="","",D31/100*D$86)</f>
        <v>1.1471546009793741E-2</v>
      </c>
      <c r="E99" s="103">
        <f t="shared" si="54"/>
        <v>5.8643348110765173E-3</v>
      </c>
      <c r="F99" s="103">
        <f t="shared" si="54"/>
        <v>4.6026723653383771E-3</v>
      </c>
      <c r="G99" s="103">
        <f t="shared" si="54"/>
        <v>4.0836340174081297E-3</v>
      </c>
      <c r="H99" s="103" t="str">
        <f t="shared" si="54"/>
        <v/>
      </c>
      <c r="I99" s="103" t="str">
        <f t="shared" si="54"/>
        <v/>
      </c>
      <c r="J99" s="103" t="str">
        <f t="shared" si="54"/>
        <v/>
      </c>
      <c r="K99" s="103" t="str">
        <f t="shared" si="54"/>
        <v/>
      </c>
      <c r="L99" s="103" t="str">
        <f t="shared" si="54"/>
        <v/>
      </c>
      <c r="M99" s="103" t="str">
        <f t="shared" si="54"/>
        <v/>
      </c>
      <c r="N99" s="103" t="str">
        <f t="shared" si="54"/>
        <v/>
      </c>
      <c r="O99" s="103" t="str">
        <f t="shared" si="54"/>
        <v/>
      </c>
      <c r="P99" s="103" t="str">
        <f t="shared" si="54"/>
        <v/>
      </c>
      <c r="Q99" s="103" t="str">
        <f t="shared" si="54"/>
        <v/>
      </c>
      <c r="R99" s="103" t="str">
        <f t="shared" si="54"/>
        <v/>
      </c>
      <c r="S99" s="103" t="str">
        <f t="shared" si="54"/>
        <v/>
      </c>
      <c r="T99" s="103" t="str">
        <f t="shared" si="54"/>
        <v/>
      </c>
      <c r="U99" s="103" t="str">
        <f t="shared" si="54"/>
        <v/>
      </c>
      <c r="V99" s="103" t="str">
        <f t="shared" si="54"/>
        <v/>
      </c>
      <c r="W99" s="103" t="str">
        <f t="shared" si="54"/>
        <v/>
      </c>
      <c r="X99" s="103" t="str">
        <f t="shared" si="54"/>
        <v/>
      </c>
      <c r="Y99" s="103" t="str">
        <f t="shared" si="54"/>
        <v/>
      </c>
      <c r="Z99" s="103" t="str">
        <f t="shared" si="54"/>
        <v/>
      </c>
      <c r="AA99" s="103" t="str">
        <f t="shared" si="54"/>
        <v/>
      </c>
      <c r="AB99" s="103" t="str">
        <f t="shared" si="54"/>
        <v/>
      </c>
    </row>
    <row r="100" spans="1:28" ht="18" customHeight="1" outlineLevel="2" x14ac:dyDescent="0.25">
      <c r="A100" s="9" t="str">
        <f t="shared" si="41"/>
        <v>C6 Above [Nl/h]</v>
      </c>
      <c r="B100" s="219"/>
      <c r="C100" s="103">
        <f t="shared" si="42"/>
        <v>0.18285760923609379</v>
      </c>
      <c r="D100" s="103">
        <f t="shared" ref="D100:AB100" si="55">IF(D$86="","",D32/100*D$86)</f>
        <v>0.17197736768267285</v>
      </c>
      <c r="E100" s="103">
        <f t="shared" si="55"/>
        <v>0.181296102329359</v>
      </c>
      <c r="F100" s="103">
        <f t="shared" si="55"/>
        <v>0.1878152239793629</v>
      </c>
      <c r="G100" s="103">
        <f t="shared" si="55"/>
        <v>0.19034174295298029</v>
      </c>
      <c r="H100" s="103" t="str">
        <f t="shared" si="55"/>
        <v/>
      </c>
      <c r="I100" s="103" t="str">
        <f t="shared" si="55"/>
        <v/>
      </c>
      <c r="J100" s="103" t="str">
        <f t="shared" si="55"/>
        <v/>
      </c>
      <c r="K100" s="103" t="str">
        <f t="shared" si="55"/>
        <v/>
      </c>
      <c r="L100" s="103" t="str">
        <f t="shared" si="55"/>
        <v/>
      </c>
      <c r="M100" s="103" t="str">
        <f t="shared" si="55"/>
        <v/>
      </c>
      <c r="N100" s="103" t="str">
        <f t="shared" si="55"/>
        <v/>
      </c>
      <c r="O100" s="103" t="str">
        <f t="shared" si="55"/>
        <v/>
      </c>
      <c r="P100" s="103" t="str">
        <f t="shared" si="55"/>
        <v/>
      </c>
      <c r="Q100" s="103" t="str">
        <f t="shared" si="55"/>
        <v/>
      </c>
      <c r="R100" s="103" t="str">
        <f t="shared" si="55"/>
        <v/>
      </c>
      <c r="S100" s="103" t="str">
        <f t="shared" si="55"/>
        <v/>
      </c>
      <c r="T100" s="103" t="str">
        <f t="shared" si="55"/>
        <v/>
      </c>
      <c r="U100" s="103" t="str">
        <f t="shared" si="55"/>
        <v/>
      </c>
      <c r="V100" s="103" t="str">
        <f t="shared" si="55"/>
        <v/>
      </c>
      <c r="W100" s="103" t="str">
        <f t="shared" si="55"/>
        <v/>
      </c>
      <c r="X100" s="103" t="str">
        <f t="shared" si="55"/>
        <v/>
      </c>
      <c r="Y100" s="103" t="str">
        <f t="shared" si="55"/>
        <v/>
      </c>
      <c r="Z100" s="103" t="str">
        <f t="shared" si="55"/>
        <v/>
      </c>
      <c r="AA100" s="103" t="str">
        <f t="shared" si="55"/>
        <v/>
      </c>
      <c r="AB100" s="103" t="str">
        <f t="shared" si="55"/>
        <v/>
      </c>
    </row>
    <row r="101" spans="1:28" ht="18" customHeight="1" outlineLevel="2" x14ac:dyDescent="0.25">
      <c r="A101" s="9" t="str">
        <f t="shared" si="41"/>
        <v>Benzene [Nl/h]</v>
      </c>
      <c r="B101" s="219"/>
      <c r="C101" s="103">
        <f t="shared" si="42"/>
        <v>0</v>
      </c>
      <c r="D101" s="103">
        <f t="shared" ref="D101:AB101" si="56">IF(D$86="","",D33/100*D$86)</f>
        <v>0</v>
      </c>
      <c r="E101" s="103">
        <f t="shared" si="56"/>
        <v>0</v>
      </c>
      <c r="F101" s="103">
        <f t="shared" si="56"/>
        <v>0</v>
      </c>
      <c r="G101" s="103">
        <f t="shared" si="56"/>
        <v>0</v>
      </c>
      <c r="H101" s="103" t="str">
        <f t="shared" si="56"/>
        <v/>
      </c>
      <c r="I101" s="103" t="str">
        <f t="shared" si="56"/>
        <v/>
      </c>
      <c r="J101" s="103" t="str">
        <f t="shared" si="56"/>
        <v/>
      </c>
      <c r="K101" s="103" t="str">
        <f t="shared" si="56"/>
        <v/>
      </c>
      <c r="L101" s="103" t="str">
        <f t="shared" si="56"/>
        <v/>
      </c>
      <c r="M101" s="103" t="str">
        <f t="shared" si="56"/>
        <v/>
      </c>
      <c r="N101" s="103" t="str">
        <f t="shared" si="56"/>
        <v/>
      </c>
      <c r="O101" s="103" t="str">
        <f t="shared" si="56"/>
        <v/>
      </c>
      <c r="P101" s="103" t="str">
        <f t="shared" si="56"/>
        <v/>
      </c>
      <c r="Q101" s="103" t="str">
        <f t="shared" si="56"/>
        <v/>
      </c>
      <c r="R101" s="103" t="str">
        <f t="shared" si="56"/>
        <v/>
      </c>
      <c r="S101" s="103" t="str">
        <f t="shared" si="56"/>
        <v/>
      </c>
      <c r="T101" s="103" t="str">
        <f t="shared" si="56"/>
        <v/>
      </c>
      <c r="U101" s="103" t="str">
        <f t="shared" si="56"/>
        <v/>
      </c>
      <c r="V101" s="103" t="str">
        <f t="shared" si="56"/>
        <v/>
      </c>
      <c r="W101" s="103" t="str">
        <f t="shared" si="56"/>
        <v/>
      </c>
      <c r="X101" s="103" t="str">
        <f t="shared" si="56"/>
        <v/>
      </c>
      <c r="Y101" s="103" t="str">
        <f t="shared" si="56"/>
        <v/>
      </c>
      <c r="Z101" s="103" t="str">
        <f t="shared" si="56"/>
        <v/>
      </c>
      <c r="AA101" s="103" t="str">
        <f t="shared" si="56"/>
        <v/>
      </c>
      <c r="AB101" s="103" t="str">
        <f t="shared" si="56"/>
        <v/>
      </c>
    </row>
    <row r="102" spans="1:28" ht="18" customHeight="1" outlineLevel="2" x14ac:dyDescent="0.25">
      <c r="A102" s="9" t="str">
        <f t="shared" si="41"/>
        <v>Toluene [Nl/h]</v>
      </c>
      <c r="B102" s="219"/>
      <c r="C102" s="103">
        <f t="shared" si="42"/>
        <v>0</v>
      </c>
      <c r="D102" s="103">
        <f t="shared" ref="D102:AB102" si="57">IF(D$86="","",D34/100*D$86)</f>
        <v>0</v>
      </c>
      <c r="E102" s="103">
        <f t="shared" si="57"/>
        <v>0</v>
      </c>
      <c r="F102" s="103">
        <f t="shared" si="57"/>
        <v>0</v>
      </c>
      <c r="G102" s="103">
        <f t="shared" si="57"/>
        <v>0</v>
      </c>
      <c r="H102" s="103" t="str">
        <f t="shared" si="57"/>
        <v/>
      </c>
      <c r="I102" s="103" t="str">
        <f t="shared" si="57"/>
        <v/>
      </c>
      <c r="J102" s="103" t="str">
        <f t="shared" si="57"/>
        <v/>
      </c>
      <c r="K102" s="103" t="str">
        <f t="shared" si="57"/>
        <v/>
      </c>
      <c r="L102" s="103" t="str">
        <f t="shared" si="57"/>
        <v/>
      </c>
      <c r="M102" s="103" t="str">
        <f t="shared" si="57"/>
        <v/>
      </c>
      <c r="N102" s="103" t="str">
        <f t="shared" si="57"/>
        <v/>
      </c>
      <c r="O102" s="103" t="str">
        <f t="shared" si="57"/>
        <v/>
      </c>
      <c r="P102" s="103" t="str">
        <f t="shared" si="57"/>
        <v/>
      </c>
      <c r="Q102" s="103" t="str">
        <f t="shared" si="57"/>
        <v/>
      </c>
      <c r="R102" s="103" t="str">
        <f t="shared" si="57"/>
        <v/>
      </c>
      <c r="S102" s="103" t="str">
        <f t="shared" si="57"/>
        <v/>
      </c>
      <c r="T102" s="103" t="str">
        <f t="shared" si="57"/>
        <v/>
      </c>
      <c r="U102" s="103" t="str">
        <f t="shared" si="57"/>
        <v/>
      </c>
      <c r="V102" s="103" t="str">
        <f t="shared" si="57"/>
        <v/>
      </c>
      <c r="W102" s="103" t="str">
        <f t="shared" si="57"/>
        <v/>
      </c>
      <c r="X102" s="103" t="str">
        <f t="shared" si="57"/>
        <v/>
      </c>
      <c r="Y102" s="103" t="str">
        <f t="shared" si="57"/>
        <v/>
      </c>
      <c r="Z102" s="103" t="str">
        <f t="shared" si="57"/>
        <v/>
      </c>
      <c r="AA102" s="103" t="str">
        <f t="shared" si="57"/>
        <v/>
      </c>
      <c r="AB102" s="103" t="str">
        <f t="shared" si="57"/>
        <v/>
      </c>
    </row>
    <row r="103" spans="1:28" ht="18" customHeight="1" outlineLevel="2" x14ac:dyDescent="0.25">
      <c r="A103" s="9" t="str">
        <f t="shared" si="41"/>
        <v>Ethylbenzene [Nl/h]</v>
      </c>
      <c r="B103" s="219"/>
      <c r="C103" s="103">
        <f t="shared" si="42"/>
        <v>0</v>
      </c>
      <c r="D103" s="103">
        <f t="shared" ref="D103:AB103" si="58">IF(D$86="","",D35/100*D$86)</f>
        <v>0</v>
      </c>
      <c r="E103" s="103">
        <f t="shared" si="58"/>
        <v>0</v>
      </c>
      <c r="F103" s="103">
        <f t="shared" si="58"/>
        <v>0</v>
      </c>
      <c r="G103" s="103">
        <f t="shared" si="58"/>
        <v>0</v>
      </c>
      <c r="H103" s="103" t="str">
        <f t="shared" si="58"/>
        <v/>
      </c>
      <c r="I103" s="103" t="str">
        <f t="shared" si="58"/>
        <v/>
      </c>
      <c r="J103" s="103" t="str">
        <f t="shared" si="58"/>
        <v/>
      </c>
      <c r="K103" s="103" t="str">
        <f t="shared" si="58"/>
        <v/>
      </c>
      <c r="L103" s="103" t="str">
        <f t="shared" si="58"/>
        <v/>
      </c>
      <c r="M103" s="103" t="str">
        <f t="shared" si="58"/>
        <v/>
      </c>
      <c r="N103" s="103" t="str">
        <f t="shared" si="58"/>
        <v/>
      </c>
      <c r="O103" s="103" t="str">
        <f t="shared" si="58"/>
        <v/>
      </c>
      <c r="P103" s="103" t="str">
        <f t="shared" si="58"/>
        <v/>
      </c>
      <c r="Q103" s="103" t="str">
        <f t="shared" si="58"/>
        <v/>
      </c>
      <c r="R103" s="103" t="str">
        <f t="shared" si="58"/>
        <v/>
      </c>
      <c r="S103" s="103" t="str">
        <f t="shared" si="58"/>
        <v/>
      </c>
      <c r="T103" s="103" t="str">
        <f t="shared" si="58"/>
        <v/>
      </c>
      <c r="U103" s="103" t="str">
        <f t="shared" si="58"/>
        <v/>
      </c>
      <c r="V103" s="103" t="str">
        <f t="shared" si="58"/>
        <v/>
      </c>
      <c r="W103" s="103" t="str">
        <f t="shared" si="58"/>
        <v/>
      </c>
      <c r="X103" s="103" t="str">
        <f t="shared" si="58"/>
        <v/>
      </c>
      <c r="Y103" s="103" t="str">
        <f t="shared" si="58"/>
        <v/>
      </c>
      <c r="Z103" s="103" t="str">
        <f t="shared" si="58"/>
        <v/>
      </c>
      <c r="AA103" s="103" t="str">
        <f t="shared" si="58"/>
        <v/>
      </c>
      <c r="AB103" s="103" t="str">
        <f t="shared" si="58"/>
        <v/>
      </c>
    </row>
    <row r="104" spans="1:28" ht="18" customHeight="1" outlineLevel="2" x14ac:dyDescent="0.25">
      <c r="A104" s="9" t="str">
        <f t="shared" si="41"/>
        <v>p-Xylene [Nl/h]</v>
      </c>
      <c r="B104" s="219"/>
      <c r="C104" s="103">
        <f t="shared" si="42"/>
        <v>0</v>
      </c>
      <c r="D104" s="103">
        <f t="shared" ref="D104:AB104" si="59">IF(D$86="","",D36/100*D$86)</f>
        <v>0</v>
      </c>
      <c r="E104" s="103">
        <f t="shared" si="59"/>
        <v>0</v>
      </c>
      <c r="F104" s="103">
        <f t="shared" si="59"/>
        <v>0</v>
      </c>
      <c r="G104" s="103">
        <f t="shared" si="59"/>
        <v>0</v>
      </c>
      <c r="H104" s="103" t="str">
        <f t="shared" si="59"/>
        <v/>
      </c>
      <c r="I104" s="103" t="str">
        <f t="shared" si="59"/>
        <v/>
      </c>
      <c r="J104" s="103" t="str">
        <f t="shared" si="59"/>
        <v/>
      </c>
      <c r="K104" s="103" t="str">
        <f t="shared" si="59"/>
        <v/>
      </c>
      <c r="L104" s="103" t="str">
        <f t="shared" si="59"/>
        <v/>
      </c>
      <c r="M104" s="103" t="str">
        <f t="shared" si="59"/>
        <v/>
      </c>
      <c r="N104" s="103" t="str">
        <f t="shared" si="59"/>
        <v/>
      </c>
      <c r="O104" s="103" t="str">
        <f t="shared" si="59"/>
        <v/>
      </c>
      <c r="P104" s="103" t="str">
        <f t="shared" si="59"/>
        <v/>
      </c>
      <c r="Q104" s="103" t="str">
        <f t="shared" si="59"/>
        <v/>
      </c>
      <c r="R104" s="103" t="str">
        <f t="shared" si="59"/>
        <v/>
      </c>
      <c r="S104" s="103" t="str">
        <f t="shared" si="59"/>
        <v/>
      </c>
      <c r="T104" s="103" t="str">
        <f t="shared" si="59"/>
        <v/>
      </c>
      <c r="U104" s="103" t="str">
        <f t="shared" si="59"/>
        <v/>
      </c>
      <c r="V104" s="103" t="str">
        <f t="shared" si="59"/>
        <v/>
      </c>
      <c r="W104" s="103" t="str">
        <f t="shared" si="59"/>
        <v/>
      </c>
      <c r="X104" s="103" t="str">
        <f t="shared" si="59"/>
        <v/>
      </c>
      <c r="Y104" s="103" t="str">
        <f t="shared" si="59"/>
        <v/>
      </c>
      <c r="Z104" s="103" t="str">
        <f t="shared" si="59"/>
        <v/>
      </c>
      <c r="AA104" s="103" t="str">
        <f t="shared" si="59"/>
        <v/>
      </c>
      <c r="AB104" s="103" t="str">
        <f t="shared" si="59"/>
        <v/>
      </c>
    </row>
    <row r="105" spans="1:28" ht="18" customHeight="1" outlineLevel="2" x14ac:dyDescent="0.25">
      <c r="A105" s="9" t="str">
        <f t="shared" si="41"/>
        <v>m-Xylene [Nl/h]</v>
      </c>
      <c r="B105" s="219"/>
      <c r="C105" s="103">
        <f t="shared" si="42"/>
        <v>6.2967336809291773E-3</v>
      </c>
      <c r="D105" s="103">
        <f t="shared" ref="D105:AB105" si="60">IF(D$86="","",D37/100*D$86)</f>
        <v>9.6509191893614892E-3</v>
      </c>
      <c r="E105" s="103">
        <f t="shared" si="60"/>
        <v>6.8928292605136849E-3</v>
      </c>
      <c r="F105" s="103">
        <f t="shared" si="60"/>
        <v>5.0035296740475839E-3</v>
      </c>
      <c r="G105" s="103">
        <f t="shared" si="60"/>
        <v>3.63965659979395E-3</v>
      </c>
      <c r="H105" s="103" t="str">
        <f t="shared" si="60"/>
        <v/>
      </c>
      <c r="I105" s="103" t="str">
        <f t="shared" si="60"/>
        <v/>
      </c>
      <c r="J105" s="103" t="str">
        <f t="shared" si="60"/>
        <v/>
      </c>
      <c r="K105" s="103" t="str">
        <f t="shared" si="60"/>
        <v/>
      </c>
      <c r="L105" s="103" t="str">
        <f t="shared" si="60"/>
        <v/>
      </c>
      <c r="M105" s="103" t="str">
        <f t="shared" si="60"/>
        <v/>
      </c>
      <c r="N105" s="103" t="str">
        <f t="shared" si="60"/>
        <v/>
      </c>
      <c r="O105" s="103" t="str">
        <f t="shared" si="60"/>
        <v/>
      </c>
      <c r="P105" s="103" t="str">
        <f t="shared" si="60"/>
        <v/>
      </c>
      <c r="Q105" s="103" t="str">
        <f t="shared" si="60"/>
        <v/>
      </c>
      <c r="R105" s="103" t="str">
        <f t="shared" si="60"/>
        <v/>
      </c>
      <c r="S105" s="103" t="str">
        <f t="shared" si="60"/>
        <v/>
      </c>
      <c r="T105" s="103" t="str">
        <f t="shared" si="60"/>
        <v/>
      </c>
      <c r="U105" s="103" t="str">
        <f t="shared" si="60"/>
        <v/>
      </c>
      <c r="V105" s="103" t="str">
        <f t="shared" si="60"/>
        <v/>
      </c>
      <c r="W105" s="103" t="str">
        <f t="shared" si="60"/>
        <v/>
      </c>
      <c r="X105" s="103" t="str">
        <f t="shared" si="60"/>
        <v/>
      </c>
      <c r="Y105" s="103" t="str">
        <f t="shared" si="60"/>
        <v/>
      </c>
      <c r="Z105" s="103" t="str">
        <f t="shared" si="60"/>
        <v/>
      </c>
      <c r="AA105" s="103" t="str">
        <f t="shared" si="60"/>
        <v/>
      </c>
      <c r="AB105" s="103" t="str">
        <f t="shared" si="60"/>
        <v/>
      </c>
    </row>
    <row r="106" spans="1:28" ht="18" customHeight="1" outlineLevel="2" x14ac:dyDescent="0.25">
      <c r="A106" s="9" t="str">
        <f t="shared" si="41"/>
        <v>o-Xylene [Nl/h]</v>
      </c>
      <c r="B106" s="219"/>
      <c r="C106" s="103">
        <f t="shared" si="42"/>
        <v>0</v>
      </c>
      <c r="D106" s="103">
        <f t="shared" ref="D106:AB106" si="61">IF(D$86="","",D38/100*D$86)</f>
        <v>0</v>
      </c>
      <c r="E106" s="103">
        <f t="shared" si="61"/>
        <v>0</v>
      </c>
      <c r="F106" s="103">
        <f t="shared" si="61"/>
        <v>0</v>
      </c>
      <c r="G106" s="103">
        <f t="shared" si="61"/>
        <v>0</v>
      </c>
      <c r="H106" s="103" t="str">
        <f t="shared" si="61"/>
        <v/>
      </c>
      <c r="I106" s="103" t="str">
        <f t="shared" si="61"/>
        <v/>
      </c>
      <c r="J106" s="103" t="str">
        <f t="shared" si="61"/>
        <v/>
      </c>
      <c r="K106" s="103" t="str">
        <f t="shared" si="61"/>
        <v/>
      </c>
      <c r="L106" s="103" t="str">
        <f t="shared" si="61"/>
        <v/>
      </c>
      <c r="M106" s="103" t="str">
        <f t="shared" si="61"/>
        <v/>
      </c>
      <c r="N106" s="103" t="str">
        <f t="shared" si="61"/>
        <v/>
      </c>
      <c r="O106" s="103" t="str">
        <f t="shared" si="61"/>
        <v/>
      </c>
      <c r="P106" s="103" t="str">
        <f t="shared" si="61"/>
        <v/>
      </c>
      <c r="Q106" s="103" t="str">
        <f t="shared" si="61"/>
        <v/>
      </c>
      <c r="R106" s="103" t="str">
        <f t="shared" si="61"/>
        <v/>
      </c>
      <c r="S106" s="103" t="str">
        <f t="shared" si="61"/>
        <v/>
      </c>
      <c r="T106" s="103" t="str">
        <f t="shared" si="61"/>
        <v/>
      </c>
      <c r="U106" s="103" t="str">
        <f t="shared" si="61"/>
        <v/>
      </c>
      <c r="V106" s="103" t="str">
        <f t="shared" si="61"/>
        <v/>
      </c>
      <c r="W106" s="103" t="str">
        <f t="shared" si="61"/>
        <v/>
      </c>
      <c r="X106" s="103" t="str">
        <f t="shared" si="61"/>
        <v/>
      </c>
      <c r="Y106" s="103" t="str">
        <f t="shared" si="61"/>
        <v/>
      </c>
      <c r="Z106" s="103" t="str">
        <f t="shared" si="61"/>
        <v/>
      </c>
      <c r="AA106" s="103" t="str">
        <f t="shared" si="61"/>
        <v/>
      </c>
      <c r="AB106" s="103" t="str">
        <f t="shared" si="61"/>
        <v/>
      </c>
    </row>
    <row r="107" spans="1:28" ht="18" customHeight="1" outlineLevel="2" x14ac:dyDescent="0.25">
      <c r="A107" s="9" t="str">
        <f t="shared" si="41"/>
        <v>C6 Unknowns [Nl/h]</v>
      </c>
      <c r="B107" s="219"/>
      <c r="C107" s="103">
        <f t="shared" si="42"/>
        <v>0.8500594461857065</v>
      </c>
      <c r="D107" s="103">
        <f t="shared" ref="D107:AB107" si="62">IF(D$86="","",D39/100*D$86)</f>
        <v>0.79047783644599046</v>
      </c>
      <c r="E107" s="103">
        <f t="shared" si="62"/>
        <v>0.80645623235688935</v>
      </c>
      <c r="F107" s="103">
        <f t="shared" si="62"/>
        <v>0.86331249150970391</v>
      </c>
      <c r="G107" s="103">
        <f t="shared" si="62"/>
        <v>0.93999122443024219</v>
      </c>
      <c r="H107" s="103" t="str">
        <f t="shared" si="62"/>
        <v/>
      </c>
      <c r="I107" s="103" t="str">
        <f t="shared" si="62"/>
        <v/>
      </c>
      <c r="J107" s="103" t="str">
        <f t="shared" si="62"/>
        <v/>
      </c>
      <c r="K107" s="103" t="str">
        <f t="shared" si="62"/>
        <v/>
      </c>
      <c r="L107" s="103" t="str">
        <f t="shared" si="62"/>
        <v/>
      </c>
      <c r="M107" s="103" t="str">
        <f t="shared" si="62"/>
        <v/>
      </c>
      <c r="N107" s="103" t="str">
        <f t="shared" si="62"/>
        <v/>
      </c>
      <c r="O107" s="103" t="str">
        <f t="shared" si="62"/>
        <v/>
      </c>
      <c r="P107" s="103" t="str">
        <f t="shared" si="62"/>
        <v/>
      </c>
      <c r="Q107" s="103" t="str">
        <f t="shared" si="62"/>
        <v/>
      </c>
      <c r="R107" s="103" t="str">
        <f t="shared" si="62"/>
        <v/>
      </c>
      <c r="S107" s="103" t="str">
        <f t="shared" si="62"/>
        <v/>
      </c>
      <c r="T107" s="103" t="str">
        <f t="shared" si="62"/>
        <v/>
      </c>
      <c r="U107" s="103" t="str">
        <f t="shared" si="62"/>
        <v/>
      </c>
      <c r="V107" s="103" t="str">
        <f t="shared" si="62"/>
        <v/>
      </c>
      <c r="W107" s="103" t="str">
        <f t="shared" si="62"/>
        <v/>
      </c>
      <c r="X107" s="103" t="str">
        <f t="shared" si="62"/>
        <v/>
      </c>
      <c r="Y107" s="103" t="str">
        <f t="shared" si="62"/>
        <v/>
      </c>
      <c r="Z107" s="103" t="str">
        <f t="shared" si="62"/>
        <v/>
      </c>
      <c r="AA107" s="103" t="str">
        <f t="shared" si="62"/>
        <v/>
      </c>
      <c r="AB107" s="103" t="str">
        <f t="shared" si="62"/>
        <v/>
      </c>
    </row>
    <row r="108" spans="1:28" ht="18" customHeight="1" outlineLevel="2" x14ac:dyDescent="0.25">
      <c r="A108" s="9" t="str">
        <f t="shared" si="41"/>
        <v>C8 Unknowns [Nl/h]</v>
      </c>
      <c r="B108" s="219"/>
      <c r="C108" s="103">
        <f t="shared" si="42"/>
        <v>0</v>
      </c>
      <c r="D108" s="103">
        <f t="shared" ref="D108:AB108" si="63">IF(D$86="","",D40/100*D$86)</f>
        <v>0</v>
      </c>
      <c r="E108" s="103">
        <f t="shared" si="63"/>
        <v>0</v>
      </c>
      <c r="F108" s="103">
        <f t="shared" si="63"/>
        <v>0</v>
      </c>
      <c r="G108" s="103">
        <f t="shared" si="63"/>
        <v>0</v>
      </c>
      <c r="H108" s="103" t="str">
        <f t="shared" si="63"/>
        <v/>
      </c>
      <c r="I108" s="103" t="str">
        <f t="shared" si="63"/>
        <v/>
      </c>
      <c r="J108" s="103" t="str">
        <f t="shared" si="63"/>
        <v/>
      </c>
      <c r="K108" s="103" t="str">
        <f t="shared" si="63"/>
        <v/>
      </c>
      <c r="L108" s="103" t="str">
        <f t="shared" si="63"/>
        <v/>
      </c>
      <c r="M108" s="103" t="str">
        <f t="shared" si="63"/>
        <v/>
      </c>
      <c r="N108" s="103" t="str">
        <f t="shared" si="63"/>
        <v/>
      </c>
      <c r="O108" s="103" t="str">
        <f t="shared" si="63"/>
        <v/>
      </c>
      <c r="P108" s="103" t="str">
        <f t="shared" si="63"/>
        <v/>
      </c>
      <c r="Q108" s="103" t="str">
        <f t="shared" si="63"/>
        <v/>
      </c>
      <c r="R108" s="103" t="str">
        <f t="shared" si="63"/>
        <v/>
      </c>
      <c r="S108" s="103" t="str">
        <f t="shared" si="63"/>
        <v/>
      </c>
      <c r="T108" s="103" t="str">
        <f t="shared" si="63"/>
        <v/>
      </c>
      <c r="U108" s="103" t="str">
        <f t="shared" si="63"/>
        <v/>
      </c>
      <c r="V108" s="103" t="str">
        <f t="shared" si="63"/>
        <v/>
      </c>
      <c r="W108" s="103" t="str">
        <f t="shared" si="63"/>
        <v/>
      </c>
      <c r="X108" s="103" t="str">
        <f t="shared" si="63"/>
        <v/>
      </c>
      <c r="Y108" s="103" t="str">
        <f t="shared" si="63"/>
        <v/>
      </c>
      <c r="Z108" s="103" t="str">
        <f t="shared" si="63"/>
        <v/>
      </c>
      <c r="AA108" s="103" t="str">
        <f t="shared" si="63"/>
        <v/>
      </c>
      <c r="AB108" s="103" t="str">
        <f t="shared" si="63"/>
        <v/>
      </c>
    </row>
    <row r="109" spans="1:28" ht="18" customHeight="1" outlineLevel="2" x14ac:dyDescent="0.25">
      <c r="A109" s="9" t="str">
        <f t="shared" si="41"/>
        <v>C7 Unknowns [Nl/h]</v>
      </c>
      <c r="B109" s="219"/>
      <c r="C109" s="103">
        <f t="shared" si="42"/>
        <v>0</v>
      </c>
      <c r="D109" s="103">
        <f t="shared" ref="D109:AB109" si="64">IF(D$86="","",D41/100*D$86)</f>
        <v>0</v>
      </c>
      <c r="E109" s="103">
        <f t="shared" si="64"/>
        <v>0</v>
      </c>
      <c r="F109" s="103">
        <f t="shared" si="64"/>
        <v>0</v>
      </c>
      <c r="G109" s="103">
        <f t="shared" si="64"/>
        <v>0</v>
      </c>
      <c r="H109" s="103" t="str">
        <f t="shared" si="64"/>
        <v/>
      </c>
      <c r="I109" s="103" t="str">
        <f t="shared" si="64"/>
        <v/>
      </c>
      <c r="J109" s="103" t="str">
        <f t="shared" si="64"/>
        <v/>
      </c>
      <c r="K109" s="103" t="str">
        <f t="shared" si="64"/>
        <v/>
      </c>
      <c r="L109" s="103" t="str">
        <f t="shared" si="64"/>
        <v/>
      </c>
      <c r="M109" s="103" t="str">
        <f t="shared" si="64"/>
        <v/>
      </c>
      <c r="N109" s="103" t="str">
        <f t="shared" si="64"/>
        <v/>
      </c>
      <c r="O109" s="103" t="str">
        <f t="shared" si="64"/>
        <v/>
      </c>
      <c r="P109" s="103" t="str">
        <f t="shared" si="64"/>
        <v/>
      </c>
      <c r="Q109" s="103" t="str">
        <f t="shared" si="64"/>
        <v/>
      </c>
      <c r="R109" s="103" t="str">
        <f t="shared" si="64"/>
        <v/>
      </c>
      <c r="S109" s="103" t="str">
        <f t="shared" si="64"/>
        <v/>
      </c>
      <c r="T109" s="103" t="str">
        <f t="shared" si="64"/>
        <v/>
      </c>
      <c r="U109" s="103" t="str">
        <f t="shared" si="64"/>
        <v/>
      </c>
      <c r="V109" s="103" t="str">
        <f t="shared" si="64"/>
        <v/>
      </c>
      <c r="W109" s="103" t="str">
        <f t="shared" si="64"/>
        <v/>
      </c>
      <c r="X109" s="103" t="str">
        <f t="shared" si="64"/>
        <v/>
      </c>
      <c r="Y109" s="103" t="str">
        <f t="shared" si="64"/>
        <v/>
      </c>
      <c r="Z109" s="103" t="str">
        <f t="shared" si="64"/>
        <v/>
      </c>
      <c r="AA109" s="103" t="str">
        <f t="shared" si="64"/>
        <v/>
      </c>
      <c r="AB109" s="103" t="str">
        <f t="shared" si="64"/>
        <v/>
      </c>
    </row>
    <row r="110" spans="1:28" ht="18" customHeight="1" outlineLevel="2" x14ac:dyDescent="0.25">
      <c r="A110" s="9" t="str">
        <f t="shared" si="41"/>
        <v>CO2 [Nl/h]</v>
      </c>
      <c r="B110" s="219"/>
      <c r="C110" s="103">
        <f t="shared" si="42"/>
        <v>0</v>
      </c>
      <c r="D110" s="103">
        <f t="shared" ref="D110:AB110" si="65">IF(D$86="","",D42/100*D$86)</f>
        <v>0</v>
      </c>
      <c r="E110" s="103">
        <f t="shared" si="65"/>
        <v>0</v>
      </c>
      <c r="F110" s="103">
        <f t="shared" si="65"/>
        <v>0</v>
      </c>
      <c r="G110" s="103">
        <f t="shared" si="65"/>
        <v>0</v>
      </c>
      <c r="H110" s="103" t="str">
        <f t="shared" si="65"/>
        <v/>
      </c>
      <c r="I110" s="103" t="str">
        <f t="shared" si="65"/>
        <v/>
      </c>
      <c r="J110" s="103" t="str">
        <f t="shared" si="65"/>
        <v/>
      </c>
      <c r="K110" s="103" t="str">
        <f t="shared" si="65"/>
        <v/>
      </c>
      <c r="L110" s="103" t="str">
        <f t="shared" si="65"/>
        <v/>
      </c>
      <c r="M110" s="103" t="str">
        <f t="shared" si="65"/>
        <v/>
      </c>
      <c r="N110" s="103" t="str">
        <f t="shared" si="65"/>
        <v/>
      </c>
      <c r="O110" s="103" t="str">
        <f t="shared" si="65"/>
        <v/>
      </c>
      <c r="P110" s="103" t="str">
        <f t="shared" si="65"/>
        <v/>
      </c>
      <c r="Q110" s="103" t="str">
        <f t="shared" si="65"/>
        <v/>
      </c>
      <c r="R110" s="103" t="str">
        <f t="shared" si="65"/>
        <v/>
      </c>
      <c r="S110" s="103" t="str">
        <f t="shared" si="65"/>
        <v/>
      </c>
      <c r="T110" s="103" t="str">
        <f t="shared" si="65"/>
        <v/>
      </c>
      <c r="U110" s="103" t="str">
        <f t="shared" si="65"/>
        <v/>
      </c>
      <c r="V110" s="103" t="str">
        <f t="shared" si="65"/>
        <v/>
      </c>
      <c r="W110" s="103" t="str">
        <f t="shared" si="65"/>
        <v/>
      </c>
      <c r="X110" s="103" t="str">
        <f t="shared" si="65"/>
        <v/>
      </c>
      <c r="Y110" s="103" t="str">
        <f t="shared" si="65"/>
        <v/>
      </c>
      <c r="Z110" s="103" t="str">
        <f t="shared" si="65"/>
        <v/>
      </c>
      <c r="AA110" s="103" t="str">
        <f t="shared" si="65"/>
        <v/>
      </c>
      <c r="AB110" s="103" t="str">
        <f t="shared" si="65"/>
        <v/>
      </c>
    </row>
    <row r="111" spans="1:28" ht="18" customHeight="1" outlineLevel="2" x14ac:dyDescent="0.25">
      <c r="A111" s="9" t="str">
        <f t="shared" si="41"/>
        <v>Argon [Nl/h]</v>
      </c>
      <c r="B111" s="219"/>
      <c r="C111" s="103">
        <f t="shared" si="42"/>
        <v>7.6740402661477809</v>
      </c>
      <c r="D111" s="103">
        <f t="shared" ref="D111:AB111" si="66">IF(D$86="","",D43/100*D$86)</f>
        <v>7.667767887343178</v>
      </c>
      <c r="E111" s="103">
        <f t="shared" si="66"/>
        <v>7.6751573963766342</v>
      </c>
      <c r="F111" s="103">
        <f t="shared" si="66"/>
        <v>7.6734645328418463</v>
      </c>
      <c r="G111" s="103">
        <f t="shared" si="66"/>
        <v>7.679771248029466</v>
      </c>
      <c r="H111" s="103" t="str">
        <f t="shared" si="66"/>
        <v/>
      </c>
      <c r="I111" s="103" t="str">
        <f t="shared" si="66"/>
        <v/>
      </c>
      <c r="J111" s="103" t="str">
        <f t="shared" si="66"/>
        <v/>
      </c>
      <c r="K111" s="103" t="str">
        <f t="shared" si="66"/>
        <v/>
      </c>
      <c r="L111" s="103" t="str">
        <f t="shared" si="66"/>
        <v/>
      </c>
      <c r="M111" s="103" t="str">
        <f t="shared" si="66"/>
        <v/>
      </c>
      <c r="N111" s="103" t="str">
        <f t="shared" si="66"/>
        <v/>
      </c>
      <c r="O111" s="103" t="str">
        <f t="shared" si="66"/>
        <v/>
      </c>
      <c r="P111" s="103" t="str">
        <f t="shared" si="66"/>
        <v/>
      </c>
      <c r="Q111" s="103" t="str">
        <f t="shared" si="66"/>
        <v/>
      </c>
      <c r="R111" s="103" t="str">
        <f t="shared" si="66"/>
        <v/>
      </c>
      <c r="S111" s="103" t="str">
        <f t="shared" si="66"/>
        <v/>
      </c>
      <c r="T111" s="103" t="str">
        <f t="shared" si="66"/>
        <v/>
      </c>
      <c r="U111" s="103" t="str">
        <f t="shared" si="66"/>
        <v/>
      </c>
      <c r="V111" s="103" t="str">
        <f t="shared" si="66"/>
        <v/>
      </c>
      <c r="W111" s="103" t="str">
        <f t="shared" si="66"/>
        <v/>
      </c>
      <c r="X111" s="103" t="str">
        <f t="shared" si="66"/>
        <v/>
      </c>
      <c r="Y111" s="103" t="str">
        <f t="shared" si="66"/>
        <v/>
      </c>
      <c r="Z111" s="103" t="str">
        <f t="shared" si="66"/>
        <v/>
      </c>
      <c r="AA111" s="103" t="str">
        <f t="shared" si="66"/>
        <v/>
      </c>
      <c r="AB111" s="103" t="str">
        <f t="shared" si="66"/>
        <v/>
      </c>
    </row>
    <row r="112" spans="1:28" ht="18" customHeight="1" outlineLevel="2" x14ac:dyDescent="0.25">
      <c r="A112" s="9" t="str">
        <f t="shared" si="41"/>
        <v>CO [Nl/h]</v>
      </c>
      <c r="B112" s="219"/>
      <c r="C112" s="103">
        <f t="shared" si="42"/>
        <v>0</v>
      </c>
      <c r="D112" s="103">
        <f t="shared" ref="D112:AB112" si="67">IF(D$86="","",D44/100*D$86)</f>
        <v>0</v>
      </c>
      <c r="E112" s="103">
        <f t="shared" si="67"/>
        <v>0</v>
      </c>
      <c r="F112" s="103">
        <f t="shared" si="67"/>
        <v>0</v>
      </c>
      <c r="G112" s="103">
        <f t="shared" si="67"/>
        <v>0</v>
      </c>
      <c r="H112" s="103" t="str">
        <f t="shared" si="67"/>
        <v/>
      </c>
      <c r="I112" s="103" t="str">
        <f t="shared" si="67"/>
        <v/>
      </c>
      <c r="J112" s="103" t="str">
        <f t="shared" si="67"/>
        <v/>
      </c>
      <c r="K112" s="103" t="str">
        <f t="shared" si="67"/>
        <v/>
      </c>
      <c r="L112" s="103" t="str">
        <f t="shared" si="67"/>
        <v/>
      </c>
      <c r="M112" s="103" t="str">
        <f t="shared" si="67"/>
        <v/>
      </c>
      <c r="N112" s="103" t="str">
        <f t="shared" si="67"/>
        <v/>
      </c>
      <c r="O112" s="103" t="str">
        <f t="shared" si="67"/>
        <v/>
      </c>
      <c r="P112" s="103" t="str">
        <f t="shared" si="67"/>
        <v/>
      </c>
      <c r="Q112" s="103" t="str">
        <f t="shared" si="67"/>
        <v/>
      </c>
      <c r="R112" s="103" t="str">
        <f t="shared" si="67"/>
        <v/>
      </c>
      <c r="S112" s="103" t="str">
        <f t="shared" si="67"/>
        <v/>
      </c>
      <c r="T112" s="103" t="str">
        <f t="shared" si="67"/>
        <v/>
      </c>
      <c r="U112" s="103" t="str">
        <f t="shared" si="67"/>
        <v/>
      </c>
      <c r="V112" s="103" t="str">
        <f t="shared" si="67"/>
        <v/>
      </c>
      <c r="W112" s="103" t="str">
        <f t="shared" si="67"/>
        <v/>
      </c>
      <c r="X112" s="103" t="str">
        <f t="shared" si="67"/>
        <v/>
      </c>
      <c r="Y112" s="103" t="str">
        <f t="shared" si="67"/>
        <v/>
      </c>
      <c r="Z112" s="103" t="str">
        <f t="shared" si="67"/>
        <v/>
      </c>
      <c r="AA112" s="103" t="str">
        <f t="shared" si="67"/>
        <v/>
      </c>
      <c r="AB112" s="103" t="str">
        <f t="shared" si="67"/>
        <v/>
      </c>
    </row>
    <row r="113" spans="1:28" ht="18" customHeight="1" outlineLevel="2" x14ac:dyDescent="0.25">
      <c r="A113" s="9" t="str">
        <f t="shared" si="41"/>
        <v>H2 [Nl/h]</v>
      </c>
      <c r="B113" s="219"/>
      <c r="C113" s="103">
        <f t="shared" si="42"/>
        <v>26.158097395022303</v>
      </c>
      <c r="D113" s="103">
        <f t="shared" ref="D113:AB113" si="68">IF(D$86="","",D45/100*D$86)</f>
        <v>25.515034035333588</v>
      </c>
      <c r="E113" s="103">
        <f t="shared" si="68"/>
        <v>26.1411172550999</v>
      </c>
      <c r="F113" s="103">
        <f t="shared" si="68"/>
        <v>26.462125704363512</v>
      </c>
      <c r="G113" s="103">
        <f t="shared" si="68"/>
        <v>26.514112585292207</v>
      </c>
      <c r="H113" s="103" t="str">
        <f t="shared" si="68"/>
        <v/>
      </c>
      <c r="I113" s="103" t="str">
        <f t="shared" si="68"/>
        <v/>
      </c>
      <c r="J113" s="103" t="str">
        <f t="shared" si="68"/>
        <v/>
      </c>
      <c r="K113" s="103" t="str">
        <f t="shared" si="68"/>
        <v/>
      </c>
      <c r="L113" s="103" t="str">
        <f t="shared" si="68"/>
        <v/>
      </c>
      <c r="M113" s="103" t="str">
        <f t="shared" si="68"/>
        <v/>
      </c>
      <c r="N113" s="103" t="str">
        <f t="shared" si="68"/>
        <v/>
      </c>
      <c r="O113" s="103" t="str">
        <f t="shared" si="68"/>
        <v/>
      </c>
      <c r="P113" s="103" t="str">
        <f t="shared" si="68"/>
        <v/>
      </c>
      <c r="Q113" s="103" t="str">
        <f t="shared" si="68"/>
        <v/>
      </c>
      <c r="R113" s="103" t="str">
        <f t="shared" si="68"/>
        <v/>
      </c>
      <c r="S113" s="103" t="str">
        <f t="shared" si="68"/>
        <v/>
      </c>
      <c r="T113" s="103" t="str">
        <f t="shared" si="68"/>
        <v/>
      </c>
      <c r="U113" s="103" t="str">
        <f t="shared" si="68"/>
        <v/>
      </c>
      <c r="V113" s="103" t="str">
        <f t="shared" si="68"/>
        <v/>
      </c>
      <c r="W113" s="103" t="str">
        <f t="shared" si="68"/>
        <v/>
      </c>
      <c r="X113" s="103" t="str">
        <f t="shared" si="68"/>
        <v/>
      </c>
      <c r="Y113" s="103" t="str">
        <f t="shared" si="68"/>
        <v/>
      </c>
      <c r="Z113" s="103" t="str">
        <f t="shared" si="68"/>
        <v/>
      </c>
      <c r="AA113" s="103" t="str">
        <f t="shared" si="68"/>
        <v/>
      </c>
      <c r="AB113" s="103" t="str">
        <f t="shared" si="68"/>
        <v/>
      </c>
    </row>
    <row r="114" spans="1:28" ht="18" customHeight="1" outlineLevel="2" x14ac:dyDescent="0.25">
      <c r="A114" s="9" t="str">
        <f t="shared" si="41"/>
        <v>Acetylene [Nl/h]</v>
      </c>
      <c r="B114" s="219"/>
      <c r="C114" s="103">
        <f t="shared" si="42"/>
        <v>0.14124790192359638</v>
      </c>
      <c r="D114" s="103">
        <f t="shared" ref="D114:AB114" si="69">IF(D$86="","",D46/100*D$86)</f>
        <v>0.1446424127190602</v>
      </c>
      <c r="E114" s="103">
        <f t="shared" si="69"/>
        <v>0.13235318168114249</v>
      </c>
      <c r="F114" s="103">
        <f t="shared" si="69"/>
        <v>0.13442933507286348</v>
      </c>
      <c r="G114" s="103">
        <f t="shared" si="69"/>
        <v>0.15356667822131934</v>
      </c>
      <c r="H114" s="103" t="str">
        <f t="shared" si="69"/>
        <v/>
      </c>
      <c r="I114" s="103" t="str">
        <f t="shared" si="69"/>
        <v/>
      </c>
      <c r="J114" s="103" t="str">
        <f t="shared" si="69"/>
        <v/>
      </c>
      <c r="K114" s="103" t="str">
        <f t="shared" si="69"/>
        <v/>
      </c>
      <c r="L114" s="103" t="str">
        <f t="shared" si="69"/>
        <v/>
      </c>
      <c r="M114" s="103" t="str">
        <f t="shared" si="69"/>
        <v/>
      </c>
      <c r="N114" s="103" t="str">
        <f t="shared" si="69"/>
        <v/>
      </c>
      <c r="O114" s="103" t="str">
        <f t="shared" si="69"/>
        <v/>
      </c>
      <c r="P114" s="103" t="str">
        <f t="shared" si="69"/>
        <v/>
      </c>
      <c r="Q114" s="103" t="str">
        <f t="shared" si="69"/>
        <v/>
      </c>
      <c r="R114" s="103" t="str">
        <f t="shared" si="69"/>
        <v/>
      </c>
      <c r="S114" s="103" t="str">
        <f t="shared" si="69"/>
        <v/>
      </c>
      <c r="T114" s="103" t="str">
        <f t="shared" si="69"/>
        <v/>
      </c>
      <c r="U114" s="103" t="str">
        <f t="shared" si="69"/>
        <v/>
      </c>
      <c r="V114" s="103" t="str">
        <f t="shared" si="69"/>
        <v/>
      </c>
      <c r="W114" s="103" t="str">
        <f t="shared" si="69"/>
        <v/>
      </c>
      <c r="X114" s="103" t="str">
        <f t="shared" si="69"/>
        <v/>
      </c>
      <c r="Y114" s="103" t="str">
        <f t="shared" si="69"/>
        <v/>
      </c>
      <c r="Z114" s="103" t="str">
        <f t="shared" si="69"/>
        <v/>
      </c>
      <c r="AA114" s="103" t="str">
        <f t="shared" si="69"/>
        <v/>
      </c>
      <c r="AB114" s="103" t="str">
        <f t="shared" si="69"/>
        <v/>
      </c>
    </row>
    <row r="115" spans="1:28" ht="18" customHeight="1" outlineLevel="2" x14ac:dyDescent="0.25">
      <c r="A115" s="9" t="str">
        <f t="shared" si="41"/>
        <v>Isobutane [Nl/h]</v>
      </c>
      <c r="B115" s="219"/>
      <c r="C115" s="103">
        <f t="shared" si="42"/>
        <v>2.503361878094346E-4</v>
      </c>
      <c r="D115" s="103">
        <f t="shared" ref="D115:AB115" si="70">IF(D$86="","",D47/100*D$86)</f>
        <v>1.0013447512377384E-3</v>
      </c>
      <c r="E115" s="103">
        <f t="shared" si="70"/>
        <v>0</v>
      </c>
      <c r="F115" s="103">
        <f t="shared" si="70"/>
        <v>0</v>
      </c>
      <c r="G115" s="103">
        <f t="shared" si="70"/>
        <v>0</v>
      </c>
      <c r="H115" s="103" t="str">
        <f t="shared" si="70"/>
        <v/>
      </c>
      <c r="I115" s="103" t="str">
        <f t="shared" si="70"/>
        <v/>
      </c>
      <c r="J115" s="103" t="str">
        <f t="shared" si="70"/>
        <v/>
      </c>
      <c r="K115" s="103" t="str">
        <f t="shared" si="70"/>
        <v/>
      </c>
      <c r="L115" s="103" t="str">
        <f t="shared" si="70"/>
        <v/>
      </c>
      <c r="M115" s="103" t="str">
        <f t="shared" si="70"/>
        <v/>
      </c>
      <c r="N115" s="103" t="str">
        <f t="shared" si="70"/>
        <v/>
      </c>
      <c r="O115" s="103" t="str">
        <f t="shared" si="70"/>
        <v/>
      </c>
      <c r="P115" s="103" t="str">
        <f t="shared" si="70"/>
        <v/>
      </c>
      <c r="Q115" s="103" t="str">
        <f t="shared" si="70"/>
        <v/>
      </c>
      <c r="R115" s="103" t="str">
        <f t="shared" si="70"/>
        <v/>
      </c>
      <c r="S115" s="103" t="str">
        <f t="shared" si="70"/>
        <v/>
      </c>
      <c r="T115" s="103" t="str">
        <f t="shared" si="70"/>
        <v/>
      </c>
      <c r="U115" s="103" t="str">
        <f t="shared" si="70"/>
        <v/>
      </c>
      <c r="V115" s="103" t="str">
        <f t="shared" si="70"/>
        <v/>
      </c>
      <c r="W115" s="103" t="str">
        <f t="shared" si="70"/>
        <v/>
      </c>
      <c r="X115" s="103" t="str">
        <f t="shared" si="70"/>
        <v/>
      </c>
      <c r="Y115" s="103" t="str">
        <f t="shared" si="70"/>
        <v/>
      </c>
      <c r="Z115" s="103" t="str">
        <f t="shared" si="70"/>
        <v/>
      </c>
      <c r="AA115" s="103" t="str">
        <f t="shared" si="70"/>
        <v/>
      </c>
      <c r="AB115" s="103" t="str">
        <f t="shared" si="70"/>
        <v/>
      </c>
    </row>
    <row r="116" spans="1:28" ht="18" customHeight="1" outlineLevel="2" x14ac:dyDescent="0.25">
      <c r="A116" s="9" t="str">
        <f t="shared" si="41"/>
        <v>N2 [Nl/h]</v>
      </c>
      <c r="B116" s="219"/>
      <c r="C116" s="103">
        <f t="shared" si="42"/>
        <v>104.28245033257222</v>
      </c>
      <c r="D116" s="103">
        <f t="shared" ref="D116:AB116" si="71">IF(D$86="","",D48/100*D$86)</f>
        <v>104.05668022977031</v>
      </c>
      <c r="E116" s="103">
        <f t="shared" si="71"/>
        <v>104.49789955745565</v>
      </c>
      <c r="F116" s="103">
        <f t="shared" si="71"/>
        <v>104.30542895875564</v>
      </c>
      <c r="G116" s="103">
        <f t="shared" si="71"/>
        <v>104.26979258430727</v>
      </c>
      <c r="H116" s="103" t="str">
        <f t="shared" si="71"/>
        <v/>
      </c>
      <c r="I116" s="103" t="str">
        <f t="shared" si="71"/>
        <v/>
      </c>
      <c r="J116" s="103" t="str">
        <f t="shared" si="71"/>
        <v/>
      </c>
      <c r="K116" s="103" t="str">
        <f t="shared" si="71"/>
        <v/>
      </c>
      <c r="L116" s="103" t="str">
        <f t="shared" si="71"/>
        <v/>
      </c>
      <c r="M116" s="103" t="str">
        <f t="shared" si="71"/>
        <v/>
      </c>
      <c r="N116" s="103" t="str">
        <f t="shared" si="71"/>
        <v/>
      </c>
      <c r="O116" s="103" t="str">
        <f t="shared" si="71"/>
        <v/>
      </c>
      <c r="P116" s="103" t="str">
        <f t="shared" si="71"/>
        <v/>
      </c>
      <c r="Q116" s="103" t="str">
        <f t="shared" si="71"/>
        <v/>
      </c>
      <c r="R116" s="103" t="str">
        <f t="shared" si="71"/>
        <v/>
      </c>
      <c r="S116" s="103" t="str">
        <f t="shared" si="71"/>
        <v/>
      </c>
      <c r="T116" s="103" t="str">
        <f t="shared" si="71"/>
        <v/>
      </c>
      <c r="U116" s="103" t="str">
        <f t="shared" si="71"/>
        <v/>
      </c>
      <c r="V116" s="103" t="str">
        <f t="shared" si="71"/>
        <v/>
      </c>
      <c r="W116" s="103" t="str">
        <f t="shared" si="71"/>
        <v/>
      </c>
      <c r="X116" s="103" t="str">
        <f t="shared" si="71"/>
        <v/>
      </c>
      <c r="Y116" s="103" t="str">
        <f t="shared" si="71"/>
        <v/>
      </c>
      <c r="Z116" s="103" t="str">
        <f t="shared" si="71"/>
        <v/>
      </c>
      <c r="AA116" s="103" t="str">
        <f t="shared" si="71"/>
        <v/>
      </c>
      <c r="AB116" s="103" t="str">
        <f t="shared" si="71"/>
        <v/>
      </c>
    </row>
    <row r="117" spans="1:28" ht="18" customHeight="1" outlineLevel="2" x14ac:dyDescent="0.25">
      <c r="A117" s="9" t="str">
        <f t="shared" si="41"/>
        <v/>
      </c>
      <c r="B117" s="219"/>
      <c r="C117" s="103" t="str">
        <f t="shared" si="42"/>
        <v/>
      </c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</row>
    <row r="118" spans="1:28" ht="18" customHeight="1" outlineLevel="2" x14ac:dyDescent="0.25">
      <c r="A118" s="9" t="str">
        <f t="shared" si="41"/>
        <v/>
      </c>
      <c r="B118" s="219"/>
      <c r="C118" s="103" t="str">
        <f t="shared" si="42"/>
        <v/>
      </c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</row>
    <row r="120" spans="1:28" ht="18" customHeight="1" x14ac:dyDescent="0.25">
      <c r="A120" s="11" t="s">
        <v>255</v>
      </c>
      <c r="B120" s="244"/>
      <c r="C120" s="217" t="s">
        <v>256</v>
      </c>
      <c r="D120" s="233" t="s">
        <v>257</v>
      </c>
      <c r="E120" s="249" t="str">
        <f t="shared" ref="E120:AB120" si="72">E$17</f>
        <v/>
      </c>
      <c r="F120" s="249" t="str">
        <f t="shared" si="72"/>
        <v/>
      </c>
      <c r="G120" s="249" t="str">
        <f t="shared" si="72"/>
        <v/>
      </c>
      <c r="H120" s="249" t="str">
        <f t="shared" si="72"/>
        <v/>
      </c>
      <c r="I120" s="249" t="str">
        <f t="shared" si="72"/>
        <v/>
      </c>
      <c r="J120" s="249" t="str">
        <f t="shared" si="72"/>
        <v/>
      </c>
      <c r="K120" s="249" t="str">
        <f t="shared" si="72"/>
        <v/>
      </c>
      <c r="L120" s="249" t="str">
        <f t="shared" si="72"/>
        <v/>
      </c>
      <c r="M120" s="249" t="str">
        <f t="shared" si="72"/>
        <v/>
      </c>
      <c r="N120" s="249" t="str">
        <f t="shared" si="72"/>
        <v/>
      </c>
      <c r="O120" s="249" t="str">
        <f t="shared" si="72"/>
        <v/>
      </c>
      <c r="P120" s="249" t="str">
        <f t="shared" si="72"/>
        <v/>
      </c>
      <c r="Q120" s="249" t="str">
        <f t="shared" si="72"/>
        <v/>
      </c>
      <c r="R120" s="249" t="str">
        <f t="shared" si="72"/>
        <v/>
      </c>
      <c r="S120" s="249" t="str">
        <f t="shared" si="72"/>
        <v/>
      </c>
      <c r="T120" s="249" t="str">
        <f t="shared" si="72"/>
        <v/>
      </c>
      <c r="U120" s="249" t="str">
        <f t="shared" si="72"/>
        <v/>
      </c>
      <c r="V120" s="249" t="str">
        <f t="shared" si="72"/>
        <v/>
      </c>
      <c r="W120" s="249" t="str">
        <f t="shared" si="72"/>
        <v/>
      </c>
      <c r="X120" s="249" t="str">
        <f t="shared" si="72"/>
        <v/>
      </c>
      <c r="Y120" s="249" t="str">
        <f t="shared" si="72"/>
        <v/>
      </c>
      <c r="Z120" s="249" t="str">
        <f t="shared" si="72"/>
        <v/>
      </c>
      <c r="AA120" s="249" t="str">
        <f t="shared" si="72"/>
        <v/>
      </c>
      <c r="AB120" s="249" t="str">
        <f t="shared" si="72"/>
        <v/>
      </c>
    </row>
    <row r="121" spans="1:28" ht="18" customHeight="1" x14ac:dyDescent="0.25">
      <c r="A121" s="11" t="s">
        <v>258</v>
      </c>
      <c r="B121" s="244"/>
      <c r="C121" s="233">
        <f t="shared" ref="C121:C149" si="73">IFERROR(AVERAGE(D121:AB121), "")</f>
        <v>4.1673401267318902E-2</v>
      </c>
      <c r="D121" s="233">
        <f t="shared" ref="D121:AB121" si="74">IFERROR((12.011*$AD52/$B20)*D52,"")</f>
        <v>4.154735871528701E-2</v>
      </c>
      <c r="E121" s="233">
        <f t="shared" si="74"/>
        <v>4.15380907040859E-2</v>
      </c>
      <c r="F121" s="233">
        <f t="shared" si="74"/>
        <v>4.1475131915670642E-2</v>
      </c>
      <c r="G121" s="233">
        <f t="shared" si="74"/>
        <v>4.2133023734232063E-2</v>
      </c>
      <c r="H121" s="233" t="str">
        <f t="shared" si="74"/>
        <v/>
      </c>
      <c r="I121" s="233" t="str">
        <f t="shared" si="74"/>
        <v/>
      </c>
      <c r="J121" s="233" t="str">
        <f t="shared" si="74"/>
        <v/>
      </c>
      <c r="K121" s="233" t="str">
        <f t="shared" si="74"/>
        <v/>
      </c>
      <c r="L121" s="233" t="str">
        <f t="shared" si="74"/>
        <v/>
      </c>
      <c r="M121" s="233" t="str">
        <f t="shared" si="74"/>
        <v/>
      </c>
      <c r="N121" s="233" t="str">
        <f t="shared" si="74"/>
        <v/>
      </c>
      <c r="O121" s="233" t="str">
        <f t="shared" si="74"/>
        <v/>
      </c>
      <c r="P121" s="233" t="str">
        <f t="shared" si="74"/>
        <v/>
      </c>
      <c r="Q121" s="233" t="str">
        <f t="shared" si="74"/>
        <v/>
      </c>
      <c r="R121" s="233" t="str">
        <f t="shared" si="74"/>
        <v/>
      </c>
      <c r="S121" s="233" t="str">
        <f t="shared" si="74"/>
        <v/>
      </c>
      <c r="T121" s="233" t="str">
        <f t="shared" si="74"/>
        <v/>
      </c>
      <c r="U121" s="233" t="str">
        <f t="shared" si="74"/>
        <v/>
      </c>
      <c r="V121" s="233" t="str">
        <f t="shared" si="74"/>
        <v/>
      </c>
      <c r="W121" s="233" t="str">
        <f t="shared" si="74"/>
        <v/>
      </c>
      <c r="X121" s="233" t="str">
        <f t="shared" si="74"/>
        <v/>
      </c>
      <c r="Y121" s="233" t="str">
        <f t="shared" si="74"/>
        <v/>
      </c>
      <c r="Z121" s="233" t="str">
        <f t="shared" si="74"/>
        <v/>
      </c>
      <c r="AA121" s="233" t="str">
        <f t="shared" si="74"/>
        <v/>
      </c>
      <c r="AB121" s="233" t="str">
        <f t="shared" si="74"/>
        <v/>
      </c>
    </row>
    <row r="122" spans="1:28" ht="18" customHeight="1" x14ac:dyDescent="0.25">
      <c r="A122" s="11" t="s">
        <v>259</v>
      </c>
      <c r="B122" s="244"/>
      <c r="C122" s="233">
        <f t="shared" si="73"/>
        <v>3.3686917422154516E-2</v>
      </c>
      <c r="D122" s="233">
        <f t="shared" ref="D122:AB122" si="75">IFERROR((12.011*$AD53/$B21)*D53,"")</f>
        <v>3.7595270964370361E-2</v>
      </c>
      <c r="E122" s="233">
        <f t="shared" si="75"/>
        <v>3.549460320940534E-2</v>
      </c>
      <c r="F122" s="233">
        <f t="shared" si="75"/>
        <v>3.1460158004751118E-2</v>
      </c>
      <c r="G122" s="233">
        <f t="shared" si="75"/>
        <v>3.0197637510091239E-2</v>
      </c>
      <c r="H122" s="233" t="str">
        <f t="shared" si="75"/>
        <v/>
      </c>
      <c r="I122" s="233" t="str">
        <f t="shared" si="75"/>
        <v/>
      </c>
      <c r="J122" s="233" t="str">
        <f t="shared" si="75"/>
        <v/>
      </c>
      <c r="K122" s="233" t="str">
        <f t="shared" si="75"/>
        <v/>
      </c>
      <c r="L122" s="233" t="str">
        <f t="shared" si="75"/>
        <v/>
      </c>
      <c r="M122" s="233" t="str">
        <f t="shared" si="75"/>
        <v/>
      </c>
      <c r="N122" s="233" t="str">
        <f t="shared" si="75"/>
        <v/>
      </c>
      <c r="O122" s="233" t="str">
        <f t="shared" si="75"/>
        <v/>
      </c>
      <c r="P122" s="233" t="str">
        <f t="shared" si="75"/>
        <v/>
      </c>
      <c r="Q122" s="233" t="str">
        <f t="shared" si="75"/>
        <v/>
      </c>
      <c r="R122" s="233" t="str">
        <f t="shared" si="75"/>
        <v/>
      </c>
      <c r="S122" s="233" t="str">
        <f t="shared" si="75"/>
        <v/>
      </c>
      <c r="T122" s="233" t="str">
        <f t="shared" si="75"/>
        <v/>
      </c>
      <c r="U122" s="233" t="str">
        <f t="shared" si="75"/>
        <v/>
      </c>
      <c r="V122" s="233" t="str">
        <f t="shared" si="75"/>
        <v/>
      </c>
      <c r="W122" s="233" t="str">
        <f t="shared" si="75"/>
        <v/>
      </c>
      <c r="X122" s="233" t="str">
        <f t="shared" si="75"/>
        <v/>
      </c>
      <c r="Y122" s="233" t="str">
        <f t="shared" si="75"/>
        <v/>
      </c>
      <c r="Z122" s="233" t="str">
        <f t="shared" si="75"/>
        <v/>
      </c>
      <c r="AA122" s="233" t="str">
        <f t="shared" si="75"/>
        <v/>
      </c>
      <c r="AB122" s="233" t="str">
        <f t="shared" si="75"/>
        <v/>
      </c>
    </row>
    <row r="123" spans="1:28" ht="18" customHeight="1" x14ac:dyDescent="0.25">
      <c r="A123" s="11" t="s">
        <v>260</v>
      </c>
      <c r="B123" s="244"/>
      <c r="C123" s="233">
        <f t="shared" si="73"/>
        <v>0.11175101232273864</v>
      </c>
      <c r="D123" s="233">
        <f t="shared" ref="D123:AB123" si="76">IFERROR((12.011*$AD54/$B22)*D54,"")</f>
        <v>0.11093036132806815</v>
      </c>
      <c r="E123" s="233">
        <f t="shared" si="76"/>
        <v>0.11002681972826123</v>
      </c>
      <c r="F123" s="233">
        <f t="shared" si="76"/>
        <v>0.11133514779526164</v>
      </c>
      <c r="G123" s="233">
        <f t="shared" si="76"/>
        <v>0.11471172043936352</v>
      </c>
      <c r="H123" s="233" t="str">
        <f t="shared" si="76"/>
        <v/>
      </c>
      <c r="I123" s="233" t="str">
        <f t="shared" si="76"/>
        <v/>
      </c>
      <c r="J123" s="233" t="str">
        <f t="shared" si="76"/>
        <v/>
      </c>
      <c r="K123" s="233" t="str">
        <f t="shared" si="76"/>
        <v/>
      </c>
      <c r="L123" s="233" t="str">
        <f t="shared" si="76"/>
        <v/>
      </c>
      <c r="M123" s="233" t="str">
        <f t="shared" si="76"/>
        <v/>
      </c>
      <c r="N123" s="233" t="str">
        <f t="shared" si="76"/>
        <v/>
      </c>
      <c r="O123" s="233" t="str">
        <f t="shared" si="76"/>
        <v/>
      </c>
      <c r="P123" s="233" t="str">
        <f t="shared" si="76"/>
        <v/>
      </c>
      <c r="Q123" s="233" t="str">
        <f t="shared" si="76"/>
        <v/>
      </c>
      <c r="R123" s="233" t="str">
        <f t="shared" si="76"/>
        <v/>
      </c>
      <c r="S123" s="233" t="str">
        <f t="shared" si="76"/>
        <v/>
      </c>
      <c r="T123" s="233" t="str">
        <f t="shared" si="76"/>
        <v/>
      </c>
      <c r="U123" s="233" t="str">
        <f t="shared" si="76"/>
        <v/>
      </c>
      <c r="V123" s="233" t="str">
        <f t="shared" si="76"/>
        <v/>
      </c>
      <c r="W123" s="233" t="str">
        <f t="shared" si="76"/>
        <v/>
      </c>
      <c r="X123" s="233" t="str">
        <f t="shared" si="76"/>
        <v/>
      </c>
      <c r="Y123" s="233" t="str">
        <f t="shared" si="76"/>
        <v/>
      </c>
      <c r="Z123" s="233" t="str">
        <f t="shared" si="76"/>
        <v/>
      </c>
      <c r="AA123" s="233" t="str">
        <f t="shared" si="76"/>
        <v/>
      </c>
      <c r="AB123" s="233" t="str">
        <f t="shared" si="76"/>
        <v/>
      </c>
    </row>
    <row r="124" spans="1:28" ht="18" customHeight="1" x14ac:dyDescent="0.25">
      <c r="A124" s="11" t="s">
        <v>261</v>
      </c>
      <c r="B124" s="244"/>
      <c r="C124" s="233">
        <f t="shared" si="73"/>
        <v>9.9859491834227229E-5</v>
      </c>
      <c r="D124" s="233">
        <f t="shared" ref="D124:AB124" si="77">IFERROR((12.011*$AD55/$B23)*D55,"")</f>
        <v>1.2669180855287243E-4</v>
      </c>
      <c r="E124" s="233">
        <f t="shared" si="77"/>
        <v>1.0203779724501471E-4</v>
      </c>
      <c r="F124" s="233">
        <f t="shared" si="77"/>
        <v>9.1145226707373898E-5</v>
      </c>
      <c r="G124" s="233">
        <f t="shared" si="77"/>
        <v>7.9563134831647878E-5</v>
      </c>
      <c r="H124" s="233" t="str">
        <f t="shared" si="77"/>
        <v/>
      </c>
      <c r="I124" s="233" t="str">
        <f t="shared" si="77"/>
        <v/>
      </c>
      <c r="J124" s="233" t="str">
        <f t="shared" si="77"/>
        <v/>
      </c>
      <c r="K124" s="233" t="str">
        <f t="shared" si="77"/>
        <v/>
      </c>
      <c r="L124" s="233" t="str">
        <f t="shared" si="77"/>
        <v/>
      </c>
      <c r="M124" s="233" t="str">
        <f t="shared" si="77"/>
        <v/>
      </c>
      <c r="N124" s="233" t="str">
        <f t="shared" si="77"/>
        <v/>
      </c>
      <c r="O124" s="233" t="str">
        <f t="shared" si="77"/>
        <v/>
      </c>
      <c r="P124" s="233" t="str">
        <f t="shared" si="77"/>
        <v/>
      </c>
      <c r="Q124" s="233" t="str">
        <f t="shared" si="77"/>
        <v/>
      </c>
      <c r="R124" s="233" t="str">
        <f t="shared" si="77"/>
        <v/>
      </c>
      <c r="S124" s="233" t="str">
        <f t="shared" si="77"/>
        <v/>
      </c>
      <c r="T124" s="233" t="str">
        <f t="shared" si="77"/>
        <v/>
      </c>
      <c r="U124" s="233" t="str">
        <f t="shared" si="77"/>
        <v/>
      </c>
      <c r="V124" s="233" t="str">
        <f t="shared" si="77"/>
        <v/>
      </c>
      <c r="W124" s="233" t="str">
        <f t="shared" si="77"/>
        <v/>
      </c>
      <c r="X124" s="233" t="str">
        <f t="shared" si="77"/>
        <v/>
      </c>
      <c r="Y124" s="233" t="str">
        <f t="shared" si="77"/>
        <v/>
      </c>
      <c r="Z124" s="233" t="str">
        <f t="shared" si="77"/>
        <v/>
      </c>
      <c r="AA124" s="233" t="str">
        <f t="shared" si="77"/>
        <v/>
      </c>
      <c r="AB124" s="233" t="str">
        <f t="shared" si="77"/>
        <v/>
      </c>
    </row>
    <row r="125" spans="1:28" ht="18" customHeight="1" x14ac:dyDescent="0.25">
      <c r="A125" s="11" t="s">
        <v>262</v>
      </c>
      <c r="B125" s="244"/>
      <c r="C125" s="233">
        <f t="shared" si="73"/>
        <v>6.5873750852123427E-3</v>
      </c>
      <c r="D125" s="233">
        <f t="shared" ref="D125:AB125" si="78">IFERROR((12.011*$AD56/$B24)*D56,"")</f>
        <v>6.9707157610156816E-3</v>
      </c>
      <c r="E125" s="233">
        <f t="shared" si="78"/>
        <v>7.0299101524264338E-3</v>
      </c>
      <c r="F125" s="233">
        <f t="shared" si="78"/>
        <v>6.5012631108463843E-3</v>
      </c>
      <c r="G125" s="233">
        <f t="shared" si="78"/>
        <v>5.8476113165608712E-3</v>
      </c>
      <c r="H125" s="233" t="str">
        <f t="shared" si="78"/>
        <v/>
      </c>
      <c r="I125" s="233" t="str">
        <f t="shared" si="78"/>
        <v/>
      </c>
      <c r="J125" s="233" t="str">
        <f t="shared" si="78"/>
        <v/>
      </c>
      <c r="K125" s="233" t="str">
        <f t="shared" si="78"/>
        <v/>
      </c>
      <c r="L125" s="233" t="str">
        <f t="shared" si="78"/>
        <v/>
      </c>
      <c r="M125" s="233" t="str">
        <f t="shared" si="78"/>
        <v/>
      </c>
      <c r="N125" s="233" t="str">
        <f t="shared" si="78"/>
        <v/>
      </c>
      <c r="O125" s="233" t="str">
        <f t="shared" si="78"/>
        <v/>
      </c>
      <c r="P125" s="233" t="str">
        <f t="shared" si="78"/>
        <v/>
      </c>
      <c r="Q125" s="233" t="str">
        <f t="shared" si="78"/>
        <v/>
      </c>
      <c r="R125" s="233" t="str">
        <f t="shared" si="78"/>
        <v/>
      </c>
      <c r="S125" s="233" t="str">
        <f t="shared" si="78"/>
        <v/>
      </c>
      <c r="T125" s="233" t="str">
        <f t="shared" si="78"/>
        <v/>
      </c>
      <c r="U125" s="233" t="str">
        <f t="shared" si="78"/>
        <v/>
      </c>
      <c r="V125" s="233" t="str">
        <f t="shared" si="78"/>
        <v/>
      </c>
      <c r="W125" s="233" t="str">
        <f t="shared" si="78"/>
        <v/>
      </c>
      <c r="X125" s="233" t="str">
        <f t="shared" si="78"/>
        <v/>
      </c>
      <c r="Y125" s="233" t="str">
        <f t="shared" si="78"/>
        <v/>
      </c>
      <c r="Z125" s="233" t="str">
        <f t="shared" si="78"/>
        <v/>
      </c>
      <c r="AA125" s="233" t="str">
        <f t="shared" si="78"/>
        <v/>
      </c>
      <c r="AB125" s="233" t="str">
        <f t="shared" si="78"/>
        <v/>
      </c>
    </row>
    <row r="126" spans="1:28" ht="18" customHeight="1" x14ac:dyDescent="0.25">
      <c r="A126" s="11" t="s">
        <v>263</v>
      </c>
      <c r="B126" s="244"/>
      <c r="C126" s="233">
        <f t="shared" si="73"/>
        <v>7.3549778484438154E-4</v>
      </c>
      <c r="D126" s="233">
        <f t="shared" ref="D126:AB126" si="79">IFERROR((12.011*$AD57/$B25)*D57,"")</f>
        <v>8.3664185498753623E-4</v>
      </c>
      <c r="E126" s="233">
        <f t="shared" si="79"/>
        <v>7.520865908939218E-4</v>
      </c>
      <c r="F126" s="233">
        <f t="shared" si="79"/>
        <v>6.8263663742992441E-4</v>
      </c>
      <c r="G126" s="233">
        <f t="shared" si="79"/>
        <v>6.706260560661436E-4</v>
      </c>
      <c r="H126" s="233" t="str">
        <f t="shared" si="79"/>
        <v/>
      </c>
      <c r="I126" s="233" t="str">
        <f t="shared" si="79"/>
        <v/>
      </c>
      <c r="J126" s="233" t="str">
        <f t="shared" si="79"/>
        <v/>
      </c>
      <c r="K126" s="233" t="str">
        <f t="shared" si="79"/>
        <v/>
      </c>
      <c r="L126" s="233" t="str">
        <f t="shared" si="79"/>
        <v/>
      </c>
      <c r="M126" s="233" t="str">
        <f t="shared" si="79"/>
        <v/>
      </c>
      <c r="N126" s="233" t="str">
        <f t="shared" si="79"/>
        <v/>
      </c>
      <c r="O126" s="233" t="str">
        <f t="shared" si="79"/>
        <v/>
      </c>
      <c r="P126" s="233" t="str">
        <f t="shared" si="79"/>
        <v/>
      </c>
      <c r="Q126" s="233" t="str">
        <f t="shared" si="79"/>
        <v/>
      </c>
      <c r="R126" s="233" t="str">
        <f t="shared" si="79"/>
        <v/>
      </c>
      <c r="S126" s="233" t="str">
        <f t="shared" si="79"/>
        <v/>
      </c>
      <c r="T126" s="233" t="str">
        <f t="shared" si="79"/>
        <v/>
      </c>
      <c r="U126" s="233" t="str">
        <f t="shared" si="79"/>
        <v/>
      </c>
      <c r="V126" s="233" t="str">
        <f t="shared" si="79"/>
        <v/>
      </c>
      <c r="W126" s="233" t="str">
        <f t="shared" si="79"/>
        <v/>
      </c>
      <c r="X126" s="233" t="str">
        <f t="shared" si="79"/>
        <v/>
      </c>
      <c r="Y126" s="233" t="str">
        <f t="shared" si="79"/>
        <v/>
      </c>
      <c r="Z126" s="233" t="str">
        <f t="shared" si="79"/>
        <v/>
      </c>
      <c r="AA126" s="233" t="str">
        <f t="shared" si="79"/>
        <v/>
      </c>
      <c r="AB126" s="233" t="str">
        <f t="shared" si="79"/>
        <v/>
      </c>
    </row>
    <row r="127" spans="1:28" ht="18" customHeight="1" x14ac:dyDescent="0.25">
      <c r="A127" s="11" t="s">
        <v>264</v>
      </c>
      <c r="B127" s="244"/>
      <c r="C127" s="233">
        <f t="shared" si="73"/>
        <v>0</v>
      </c>
      <c r="D127" s="233">
        <f t="shared" ref="D127:AB127" si="80">IFERROR((12.011*$AD58/$B26)*D58,"")</f>
        <v>0</v>
      </c>
      <c r="E127" s="233">
        <f t="shared" si="80"/>
        <v>0</v>
      </c>
      <c r="F127" s="233">
        <f t="shared" si="80"/>
        <v>0</v>
      </c>
      <c r="G127" s="233">
        <f t="shared" si="80"/>
        <v>0</v>
      </c>
      <c r="H127" s="233" t="str">
        <f t="shared" si="80"/>
        <v/>
      </c>
      <c r="I127" s="233" t="str">
        <f t="shared" si="80"/>
        <v/>
      </c>
      <c r="J127" s="233" t="str">
        <f t="shared" si="80"/>
        <v/>
      </c>
      <c r="K127" s="233" t="str">
        <f t="shared" si="80"/>
        <v/>
      </c>
      <c r="L127" s="233" t="str">
        <f t="shared" si="80"/>
        <v/>
      </c>
      <c r="M127" s="233" t="str">
        <f t="shared" si="80"/>
        <v/>
      </c>
      <c r="N127" s="233" t="str">
        <f t="shared" si="80"/>
        <v/>
      </c>
      <c r="O127" s="233" t="str">
        <f t="shared" si="80"/>
        <v/>
      </c>
      <c r="P127" s="233" t="str">
        <f t="shared" si="80"/>
        <v/>
      </c>
      <c r="Q127" s="233" t="str">
        <f t="shared" si="80"/>
        <v/>
      </c>
      <c r="R127" s="233" t="str">
        <f t="shared" si="80"/>
        <v/>
      </c>
      <c r="S127" s="233" t="str">
        <f t="shared" si="80"/>
        <v/>
      </c>
      <c r="T127" s="233" t="str">
        <f t="shared" si="80"/>
        <v/>
      </c>
      <c r="U127" s="233" t="str">
        <f t="shared" si="80"/>
        <v/>
      </c>
      <c r="V127" s="233" t="str">
        <f t="shared" si="80"/>
        <v/>
      </c>
      <c r="W127" s="233" t="str">
        <f t="shared" si="80"/>
        <v/>
      </c>
      <c r="X127" s="233" t="str">
        <f t="shared" si="80"/>
        <v/>
      </c>
      <c r="Y127" s="233" t="str">
        <f t="shared" si="80"/>
        <v/>
      </c>
      <c r="Z127" s="233" t="str">
        <f t="shared" si="80"/>
        <v/>
      </c>
      <c r="AA127" s="233" t="str">
        <f t="shared" si="80"/>
        <v/>
      </c>
      <c r="AB127" s="233" t="str">
        <f t="shared" si="80"/>
        <v/>
      </c>
    </row>
    <row r="128" spans="1:28" ht="18" customHeight="1" x14ac:dyDescent="0.25">
      <c r="A128" s="11" t="s">
        <v>265</v>
      </c>
      <c r="B128" s="244"/>
      <c r="C128" s="233">
        <f t="shared" si="73"/>
        <v>0</v>
      </c>
      <c r="D128" s="233">
        <f t="shared" ref="D128:AB128" si="81">IFERROR((12.011*$AD59/$B27)*D59,"")</f>
        <v>0</v>
      </c>
      <c r="E128" s="233">
        <f t="shared" si="81"/>
        <v>0</v>
      </c>
      <c r="F128" s="233">
        <f t="shared" si="81"/>
        <v>0</v>
      </c>
      <c r="G128" s="233">
        <f t="shared" si="81"/>
        <v>0</v>
      </c>
      <c r="H128" s="233" t="str">
        <f t="shared" si="81"/>
        <v/>
      </c>
      <c r="I128" s="233" t="str">
        <f t="shared" si="81"/>
        <v/>
      </c>
      <c r="J128" s="233" t="str">
        <f t="shared" si="81"/>
        <v/>
      </c>
      <c r="K128" s="233" t="str">
        <f t="shared" si="81"/>
        <v/>
      </c>
      <c r="L128" s="233" t="str">
        <f t="shared" si="81"/>
        <v/>
      </c>
      <c r="M128" s="233" t="str">
        <f t="shared" si="81"/>
        <v/>
      </c>
      <c r="N128" s="233" t="str">
        <f t="shared" si="81"/>
        <v/>
      </c>
      <c r="O128" s="233" t="str">
        <f t="shared" si="81"/>
        <v/>
      </c>
      <c r="P128" s="233" t="str">
        <f t="shared" si="81"/>
        <v/>
      </c>
      <c r="Q128" s="233" t="str">
        <f t="shared" si="81"/>
        <v/>
      </c>
      <c r="R128" s="233" t="str">
        <f t="shared" si="81"/>
        <v/>
      </c>
      <c r="S128" s="233" t="str">
        <f t="shared" si="81"/>
        <v/>
      </c>
      <c r="T128" s="233" t="str">
        <f t="shared" si="81"/>
        <v/>
      </c>
      <c r="U128" s="233" t="str">
        <f t="shared" si="81"/>
        <v/>
      </c>
      <c r="V128" s="233" t="str">
        <f t="shared" si="81"/>
        <v/>
      </c>
      <c r="W128" s="233" t="str">
        <f t="shared" si="81"/>
        <v/>
      </c>
      <c r="X128" s="233" t="str">
        <f t="shared" si="81"/>
        <v/>
      </c>
      <c r="Y128" s="233" t="str">
        <f t="shared" si="81"/>
        <v/>
      </c>
      <c r="Z128" s="233" t="str">
        <f t="shared" si="81"/>
        <v/>
      </c>
      <c r="AA128" s="233" t="str">
        <f t="shared" si="81"/>
        <v/>
      </c>
      <c r="AB128" s="233" t="str">
        <f t="shared" si="81"/>
        <v/>
      </c>
    </row>
    <row r="129" spans="1:28" ht="18" customHeight="1" x14ac:dyDescent="0.25">
      <c r="A129" s="11" t="s">
        <v>266</v>
      </c>
      <c r="B129" s="244"/>
      <c r="C129" s="233">
        <f t="shared" si="73"/>
        <v>0</v>
      </c>
      <c r="D129" s="233">
        <f t="shared" ref="D129:AB129" si="82">IFERROR((12.011*$AD60/$B28)*D60,"")</f>
        <v>0</v>
      </c>
      <c r="E129" s="233">
        <f t="shared" si="82"/>
        <v>0</v>
      </c>
      <c r="F129" s="233">
        <f t="shared" si="82"/>
        <v>0</v>
      </c>
      <c r="G129" s="233">
        <f t="shared" si="82"/>
        <v>0</v>
      </c>
      <c r="H129" s="233" t="str">
        <f t="shared" si="82"/>
        <v/>
      </c>
      <c r="I129" s="233" t="str">
        <f t="shared" si="82"/>
        <v/>
      </c>
      <c r="J129" s="233" t="str">
        <f t="shared" si="82"/>
        <v/>
      </c>
      <c r="K129" s="233" t="str">
        <f t="shared" si="82"/>
        <v/>
      </c>
      <c r="L129" s="233" t="str">
        <f t="shared" si="82"/>
        <v/>
      </c>
      <c r="M129" s="233" t="str">
        <f t="shared" si="82"/>
        <v/>
      </c>
      <c r="N129" s="233" t="str">
        <f t="shared" si="82"/>
        <v/>
      </c>
      <c r="O129" s="233" t="str">
        <f t="shared" si="82"/>
        <v/>
      </c>
      <c r="P129" s="233" t="str">
        <f t="shared" si="82"/>
        <v/>
      </c>
      <c r="Q129" s="233" t="str">
        <f t="shared" si="82"/>
        <v/>
      </c>
      <c r="R129" s="233" t="str">
        <f t="shared" si="82"/>
        <v/>
      </c>
      <c r="S129" s="233" t="str">
        <f t="shared" si="82"/>
        <v/>
      </c>
      <c r="T129" s="233" t="str">
        <f t="shared" si="82"/>
        <v/>
      </c>
      <c r="U129" s="233" t="str">
        <f t="shared" si="82"/>
        <v/>
      </c>
      <c r="V129" s="233" t="str">
        <f t="shared" si="82"/>
        <v/>
      </c>
      <c r="W129" s="233" t="str">
        <f t="shared" si="82"/>
        <v/>
      </c>
      <c r="X129" s="233" t="str">
        <f t="shared" si="82"/>
        <v/>
      </c>
      <c r="Y129" s="233" t="str">
        <f t="shared" si="82"/>
        <v/>
      </c>
      <c r="Z129" s="233" t="str">
        <f t="shared" si="82"/>
        <v/>
      </c>
      <c r="AA129" s="233" t="str">
        <f t="shared" si="82"/>
        <v/>
      </c>
      <c r="AB129" s="233" t="str">
        <f t="shared" si="82"/>
        <v/>
      </c>
    </row>
    <row r="130" spans="1:28" ht="18" customHeight="1" x14ac:dyDescent="0.25">
      <c r="A130" s="11" t="s">
        <v>267</v>
      </c>
      <c r="B130" s="244"/>
      <c r="C130" s="233">
        <f t="shared" si="73"/>
        <v>3.0494316496938033E-2</v>
      </c>
      <c r="D130" s="233">
        <f t="shared" ref="D130:AB130" si="83">IFERROR((12.011*$AD61/$B29)*D61,"")</f>
        <v>2.8381029340830026E-2</v>
      </c>
      <c r="E130" s="233">
        <f t="shared" si="83"/>
        <v>2.8926834771659138E-2</v>
      </c>
      <c r="F130" s="233">
        <f t="shared" si="83"/>
        <v>3.0973047431214897E-2</v>
      </c>
      <c r="G130" s="233">
        <f t="shared" si="83"/>
        <v>3.3696354444048067E-2</v>
      </c>
      <c r="H130" s="233" t="str">
        <f t="shared" si="83"/>
        <v/>
      </c>
      <c r="I130" s="233" t="str">
        <f t="shared" si="83"/>
        <v/>
      </c>
      <c r="J130" s="233" t="str">
        <f t="shared" si="83"/>
        <v/>
      </c>
      <c r="K130" s="233" t="str">
        <f t="shared" si="83"/>
        <v/>
      </c>
      <c r="L130" s="233" t="str">
        <f t="shared" si="83"/>
        <v/>
      </c>
      <c r="M130" s="233" t="str">
        <f t="shared" si="83"/>
        <v/>
      </c>
      <c r="N130" s="233" t="str">
        <f t="shared" si="83"/>
        <v/>
      </c>
      <c r="O130" s="233" t="str">
        <f t="shared" si="83"/>
        <v/>
      </c>
      <c r="P130" s="233" t="str">
        <f t="shared" si="83"/>
        <v/>
      </c>
      <c r="Q130" s="233" t="str">
        <f t="shared" si="83"/>
        <v/>
      </c>
      <c r="R130" s="233" t="str">
        <f t="shared" si="83"/>
        <v/>
      </c>
      <c r="S130" s="233" t="str">
        <f t="shared" si="83"/>
        <v/>
      </c>
      <c r="T130" s="233" t="str">
        <f t="shared" si="83"/>
        <v/>
      </c>
      <c r="U130" s="233" t="str">
        <f t="shared" si="83"/>
        <v/>
      </c>
      <c r="V130" s="233" t="str">
        <f t="shared" si="83"/>
        <v/>
      </c>
      <c r="W130" s="233" t="str">
        <f t="shared" si="83"/>
        <v/>
      </c>
      <c r="X130" s="233" t="str">
        <f t="shared" si="83"/>
        <v/>
      </c>
      <c r="Y130" s="233" t="str">
        <f t="shared" si="83"/>
        <v/>
      </c>
      <c r="Z130" s="233" t="str">
        <f t="shared" si="83"/>
        <v/>
      </c>
      <c r="AA130" s="233" t="str">
        <f t="shared" si="83"/>
        <v/>
      </c>
      <c r="AB130" s="233" t="str">
        <f t="shared" si="83"/>
        <v/>
      </c>
    </row>
    <row r="131" spans="1:28" ht="18" customHeight="1" x14ac:dyDescent="0.25">
      <c r="A131" s="11" t="s">
        <v>268</v>
      </c>
      <c r="B131" s="244"/>
      <c r="C131" s="233">
        <f t="shared" si="73"/>
        <v>0</v>
      </c>
      <c r="D131" s="233">
        <f t="shared" ref="D131:AB131" si="84">IFERROR((12.011*$AD62/$B30)*D62,"")</f>
        <v>0</v>
      </c>
      <c r="E131" s="233">
        <f t="shared" si="84"/>
        <v>0</v>
      </c>
      <c r="F131" s="233">
        <f t="shared" si="84"/>
        <v>0</v>
      </c>
      <c r="G131" s="233">
        <f t="shared" si="84"/>
        <v>0</v>
      </c>
      <c r="H131" s="233" t="str">
        <f t="shared" si="84"/>
        <v/>
      </c>
      <c r="I131" s="233" t="str">
        <f t="shared" si="84"/>
        <v/>
      </c>
      <c r="J131" s="233" t="str">
        <f t="shared" si="84"/>
        <v/>
      </c>
      <c r="K131" s="233" t="str">
        <f t="shared" si="84"/>
        <v/>
      </c>
      <c r="L131" s="233" t="str">
        <f t="shared" si="84"/>
        <v/>
      </c>
      <c r="M131" s="233" t="str">
        <f t="shared" si="84"/>
        <v/>
      </c>
      <c r="N131" s="233" t="str">
        <f t="shared" si="84"/>
        <v/>
      </c>
      <c r="O131" s="233" t="str">
        <f t="shared" si="84"/>
        <v/>
      </c>
      <c r="P131" s="233" t="str">
        <f t="shared" si="84"/>
        <v/>
      </c>
      <c r="Q131" s="233" t="str">
        <f t="shared" si="84"/>
        <v/>
      </c>
      <c r="R131" s="233" t="str">
        <f t="shared" si="84"/>
        <v/>
      </c>
      <c r="S131" s="233" t="str">
        <f t="shared" si="84"/>
        <v/>
      </c>
      <c r="T131" s="233" t="str">
        <f t="shared" si="84"/>
        <v/>
      </c>
      <c r="U131" s="233" t="str">
        <f t="shared" si="84"/>
        <v/>
      </c>
      <c r="V131" s="233" t="str">
        <f t="shared" si="84"/>
        <v/>
      </c>
      <c r="W131" s="233" t="str">
        <f t="shared" si="84"/>
        <v/>
      </c>
      <c r="X131" s="233" t="str">
        <f t="shared" si="84"/>
        <v/>
      </c>
      <c r="Y131" s="233" t="str">
        <f t="shared" si="84"/>
        <v/>
      </c>
      <c r="Z131" s="233" t="str">
        <f t="shared" si="84"/>
        <v/>
      </c>
      <c r="AA131" s="233" t="str">
        <f t="shared" si="84"/>
        <v/>
      </c>
      <c r="AB131" s="233" t="str">
        <f t="shared" si="84"/>
        <v/>
      </c>
    </row>
    <row r="132" spans="1:28" ht="18" customHeight="1" x14ac:dyDescent="0.25">
      <c r="A132" s="11" t="s">
        <v>269</v>
      </c>
      <c r="B132" s="244"/>
      <c r="C132" s="233">
        <f t="shared" si="73"/>
        <v>3.5015122827214607E-4</v>
      </c>
      <c r="D132" s="233">
        <f t="shared" ref="D132:AB132" si="85">IFERROR((12.011*$AD63/$B31)*D63,"")</f>
        <v>6.1780533661594207E-4</v>
      </c>
      <c r="E132" s="233">
        <f t="shared" si="85"/>
        <v>3.1552235072311076E-4</v>
      </c>
      <c r="F132" s="233">
        <f t="shared" si="85"/>
        <v>2.4769499610622492E-4</v>
      </c>
      <c r="G132" s="233">
        <f t="shared" si="85"/>
        <v>2.1958222964330664E-4</v>
      </c>
      <c r="H132" s="233" t="str">
        <f t="shared" si="85"/>
        <v/>
      </c>
      <c r="I132" s="233" t="str">
        <f t="shared" si="85"/>
        <v/>
      </c>
      <c r="J132" s="233" t="str">
        <f t="shared" si="85"/>
        <v/>
      </c>
      <c r="K132" s="233" t="str">
        <f t="shared" si="85"/>
        <v/>
      </c>
      <c r="L132" s="233" t="str">
        <f t="shared" si="85"/>
        <v/>
      </c>
      <c r="M132" s="233" t="str">
        <f t="shared" si="85"/>
        <v/>
      </c>
      <c r="N132" s="233" t="str">
        <f t="shared" si="85"/>
        <v/>
      </c>
      <c r="O132" s="233" t="str">
        <f t="shared" si="85"/>
        <v/>
      </c>
      <c r="P132" s="233" t="str">
        <f t="shared" si="85"/>
        <v/>
      </c>
      <c r="Q132" s="233" t="str">
        <f t="shared" si="85"/>
        <v/>
      </c>
      <c r="R132" s="233" t="str">
        <f t="shared" si="85"/>
        <v/>
      </c>
      <c r="S132" s="233" t="str">
        <f t="shared" si="85"/>
        <v/>
      </c>
      <c r="T132" s="233" t="str">
        <f t="shared" si="85"/>
        <v/>
      </c>
      <c r="U132" s="233" t="str">
        <f t="shared" si="85"/>
        <v/>
      </c>
      <c r="V132" s="233" t="str">
        <f t="shared" si="85"/>
        <v/>
      </c>
      <c r="W132" s="233" t="str">
        <f t="shared" si="85"/>
        <v/>
      </c>
      <c r="X132" s="233" t="str">
        <f t="shared" si="85"/>
        <v/>
      </c>
      <c r="Y132" s="233" t="str">
        <f t="shared" si="85"/>
        <v/>
      </c>
      <c r="Z132" s="233" t="str">
        <f t="shared" si="85"/>
        <v/>
      </c>
      <c r="AA132" s="233" t="str">
        <f t="shared" si="85"/>
        <v/>
      </c>
      <c r="AB132" s="233" t="str">
        <f t="shared" si="85"/>
        <v/>
      </c>
    </row>
    <row r="133" spans="1:28" ht="18" customHeight="1" x14ac:dyDescent="0.25">
      <c r="A133" s="11" t="s">
        <v>270</v>
      </c>
      <c r="B133" s="244"/>
      <c r="C133" s="233">
        <f t="shared" si="73"/>
        <v>9.8396469607669335E-3</v>
      </c>
      <c r="D133" s="233">
        <f t="shared" ref="D133:AB133" si="86">IFERROR((12.011*$AD64/$B32)*D64,"")</f>
        <v>9.2619194867726191E-3</v>
      </c>
      <c r="E133" s="233">
        <f t="shared" si="86"/>
        <v>9.7543837837929005E-3</v>
      </c>
      <c r="F133" s="233">
        <f t="shared" si="86"/>
        <v>1.0107365347704463E-2</v>
      </c>
      <c r="G133" s="233">
        <f t="shared" si="86"/>
        <v>1.0234919224797754E-2</v>
      </c>
      <c r="H133" s="233" t="str">
        <f t="shared" si="86"/>
        <v/>
      </c>
      <c r="I133" s="233" t="str">
        <f t="shared" si="86"/>
        <v/>
      </c>
      <c r="J133" s="233" t="str">
        <f t="shared" si="86"/>
        <v/>
      </c>
      <c r="K133" s="233" t="str">
        <f t="shared" si="86"/>
        <v/>
      </c>
      <c r="L133" s="233" t="str">
        <f t="shared" si="86"/>
        <v/>
      </c>
      <c r="M133" s="233" t="str">
        <f t="shared" si="86"/>
        <v/>
      </c>
      <c r="N133" s="233" t="str">
        <f t="shared" si="86"/>
        <v/>
      </c>
      <c r="O133" s="233" t="str">
        <f t="shared" si="86"/>
        <v/>
      </c>
      <c r="P133" s="233" t="str">
        <f t="shared" si="86"/>
        <v/>
      </c>
      <c r="Q133" s="233" t="str">
        <f t="shared" si="86"/>
        <v/>
      </c>
      <c r="R133" s="233" t="str">
        <f t="shared" si="86"/>
        <v/>
      </c>
      <c r="S133" s="233" t="str">
        <f t="shared" si="86"/>
        <v/>
      </c>
      <c r="T133" s="233" t="str">
        <f t="shared" si="86"/>
        <v/>
      </c>
      <c r="U133" s="233" t="str">
        <f t="shared" si="86"/>
        <v/>
      </c>
      <c r="V133" s="233" t="str">
        <f t="shared" si="86"/>
        <v/>
      </c>
      <c r="W133" s="233" t="str">
        <f t="shared" si="86"/>
        <v/>
      </c>
      <c r="X133" s="233" t="str">
        <f t="shared" si="86"/>
        <v/>
      </c>
      <c r="Y133" s="233" t="str">
        <f t="shared" si="86"/>
        <v/>
      </c>
      <c r="Z133" s="233" t="str">
        <f t="shared" si="86"/>
        <v/>
      </c>
      <c r="AA133" s="233" t="str">
        <f t="shared" si="86"/>
        <v/>
      </c>
      <c r="AB133" s="233" t="str">
        <f t="shared" si="86"/>
        <v/>
      </c>
    </row>
    <row r="134" spans="1:28" ht="18" customHeight="1" x14ac:dyDescent="0.25">
      <c r="A134" s="11" t="s">
        <v>271</v>
      </c>
      <c r="B134" s="244"/>
      <c r="C134" s="233">
        <f t="shared" si="73"/>
        <v>0</v>
      </c>
      <c r="D134" s="233">
        <f t="shared" ref="D134:AB134" si="87">IFERROR((12.011*$AD65/$B33)*D65,"")</f>
        <v>0</v>
      </c>
      <c r="E134" s="233">
        <f t="shared" si="87"/>
        <v>0</v>
      </c>
      <c r="F134" s="233">
        <f t="shared" si="87"/>
        <v>0</v>
      </c>
      <c r="G134" s="233">
        <f t="shared" si="87"/>
        <v>0</v>
      </c>
      <c r="H134" s="233" t="str">
        <f t="shared" si="87"/>
        <v/>
      </c>
      <c r="I134" s="233" t="str">
        <f t="shared" si="87"/>
        <v/>
      </c>
      <c r="J134" s="233" t="str">
        <f t="shared" si="87"/>
        <v/>
      </c>
      <c r="K134" s="233" t="str">
        <f t="shared" si="87"/>
        <v/>
      </c>
      <c r="L134" s="233" t="str">
        <f t="shared" si="87"/>
        <v/>
      </c>
      <c r="M134" s="233" t="str">
        <f t="shared" si="87"/>
        <v/>
      </c>
      <c r="N134" s="233" t="str">
        <f t="shared" si="87"/>
        <v/>
      </c>
      <c r="O134" s="233" t="str">
        <f t="shared" si="87"/>
        <v/>
      </c>
      <c r="P134" s="233" t="str">
        <f t="shared" si="87"/>
        <v/>
      </c>
      <c r="Q134" s="233" t="str">
        <f t="shared" si="87"/>
        <v/>
      </c>
      <c r="R134" s="233" t="str">
        <f t="shared" si="87"/>
        <v/>
      </c>
      <c r="S134" s="233" t="str">
        <f t="shared" si="87"/>
        <v/>
      </c>
      <c r="T134" s="233" t="str">
        <f t="shared" si="87"/>
        <v/>
      </c>
      <c r="U134" s="233" t="str">
        <f t="shared" si="87"/>
        <v/>
      </c>
      <c r="V134" s="233" t="str">
        <f t="shared" si="87"/>
        <v/>
      </c>
      <c r="W134" s="233" t="str">
        <f t="shared" si="87"/>
        <v/>
      </c>
      <c r="X134" s="233" t="str">
        <f t="shared" si="87"/>
        <v/>
      </c>
      <c r="Y134" s="233" t="str">
        <f t="shared" si="87"/>
        <v/>
      </c>
      <c r="Z134" s="233" t="str">
        <f t="shared" si="87"/>
        <v/>
      </c>
      <c r="AA134" s="233" t="str">
        <f t="shared" si="87"/>
        <v/>
      </c>
      <c r="AB134" s="233" t="str">
        <f t="shared" si="87"/>
        <v/>
      </c>
    </row>
    <row r="135" spans="1:28" ht="18" customHeight="1" x14ac:dyDescent="0.25">
      <c r="A135" s="11" t="s">
        <v>272</v>
      </c>
      <c r="B135" s="244"/>
      <c r="C135" s="233">
        <f t="shared" si="73"/>
        <v>0</v>
      </c>
      <c r="D135" s="233">
        <f t="shared" ref="D135:AB135" si="88">IFERROR((12.011*$AD66/$B34)*D66,"")</f>
        <v>0</v>
      </c>
      <c r="E135" s="233">
        <f t="shared" si="88"/>
        <v>0</v>
      </c>
      <c r="F135" s="233">
        <f t="shared" si="88"/>
        <v>0</v>
      </c>
      <c r="G135" s="233">
        <f t="shared" si="88"/>
        <v>0</v>
      </c>
      <c r="H135" s="233" t="str">
        <f t="shared" si="88"/>
        <v/>
      </c>
      <c r="I135" s="233" t="str">
        <f t="shared" si="88"/>
        <v/>
      </c>
      <c r="J135" s="233" t="str">
        <f t="shared" si="88"/>
        <v/>
      </c>
      <c r="K135" s="233" t="str">
        <f t="shared" si="88"/>
        <v/>
      </c>
      <c r="L135" s="233" t="str">
        <f t="shared" si="88"/>
        <v/>
      </c>
      <c r="M135" s="233" t="str">
        <f t="shared" si="88"/>
        <v/>
      </c>
      <c r="N135" s="233" t="str">
        <f t="shared" si="88"/>
        <v/>
      </c>
      <c r="O135" s="233" t="str">
        <f t="shared" si="88"/>
        <v/>
      </c>
      <c r="P135" s="233" t="str">
        <f t="shared" si="88"/>
        <v/>
      </c>
      <c r="Q135" s="233" t="str">
        <f t="shared" si="88"/>
        <v/>
      </c>
      <c r="R135" s="233" t="str">
        <f t="shared" si="88"/>
        <v/>
      </c>
      <c r="S135" s="233" t="str">
        <f t="shared" si="88"/>
        <v/>
      </c>
      <c r="T135" s="233" t="str">
        <f t="shared" si="88"/>
        <v/>
      </c>
      <c r="U135" s="233" t="str">
        <f t="shared" si="88"/>
        <v/>
      </c>
      <c r="V135" s="233" t="str">
        <f t="shared" si="88"/>
        <v/>
      </c>
      <c r="W135" s="233" t="str">
        <f t="shared" si="88"/>
        <v/>
      </c>
      <c r="X135" s="233" t="str">
        <f t="shared" si="88"/>
        <v/>
      </c>
      <c r="Y135" s="233" t="str">
        <f t="shared" si="88"/>
        <v/>
      </c>
      <c r="Z135" s="233" t="str">
        <f t="shared" si="88"/>
        <v/>
      </c>
      <c r="AA135" s="233" t="str">
        <f t="shared" si="88"/>
        <v/>
      </c>
      <c r="AB135" s="233" t="str">
        <f t="shared" si="88"/>
        <v/>
      </c>
    </row>
    <row r="136" spans="1:28" ht="18" customHeight="1" x14ac:dyDescent="0.25">
      <c r="A136" s="11" t="s">
        <v>273</v>
      </c>
      <c r="B136" s="244"/>
      <c r="C136" s="233">
        <f t="shared" si="73"/>
        <v>0</v>
      </c>
      <c r="D136" s="233">
        <f t="shared" ref="D136:AB136" si="89">IFERROR((12.011*$AD67/$B35)*D67,"")</f>
        <v>0</v>
      </c>
      <c r="E136" s="233">
        <f t="shared" si="89"/>
        <v>0</v>
      </c>
      <c r="F136" s="233">
        <f t="shared" si="89"/>
        <v>0</v>
      </c>
      <c r="G136" s="233">
        <f t="shared" si="89"/>
        <v>0</v>
      </c>
      <c r="H136" s="233" t="str">
        <f t="shared" si="89"/>
        <v/>
      </c>
      <c r="I136" s="233" t="str">
        <f t="shared" si="89"/>
        <v/>
      </c>
      <c r="J136" s="233" t="str">
        <f t="shared" si="89"/>
        <v/>
      </c>
      <c r="K136" s="233" t="str">
        <f t="shared" si="89"/>
        <v/>
      </c>
      <c r="L136" s="233" t="str">
        <f t="shared" si="89"/>
        <v/>
      </c>
      <c r="M136" s="233" t="str">
        <f t="shared" si="89"/>
        <v/>
      </c>
      <c r="N136" s="233" t="str">
        <f t="shared" si="89"/>
        <v/>
      </c>
      <c r="O136" s="233" t="str">
        <f t="shared" si="89"/>
        <v/>
      </c>
      <c r="P136" s="233" t="str">
        <f t="shared" si="89"/>
        <v/>
      </c>
      <c r="Q136" s="233" t="str">
        <f t="shared" si="89"/>
        <v/>
      </c>
      <c r="R136" s="233" t="str">
        <f t="shared" si="89"/>
        <v/>
      </c>
      <c r="S136" s="233" t="str">
        <f t="shared" si="89"/>
        <v/>
      </c>
      <c r="T136" s="233" t="str">
        <f t="shared" si="89"/>
        <v/>
      </c>
      <c r="U136" s="233" t="str">
        <f t="shared" si="89"/>
        <v/>
      </c>
      <c r="V136" s="233" t="str">
        <f t="shared" si="89"/>
        <v/>
      </c>
      <c r="W136" s="233" t="str">
        <f t="shared" si="89"/>
        <v/>
      </c>
      <c r="X136" s="233" t="str">
        <f t="shared" si="89"/>
        <v/>
      </c>
      <c r="Y136" s="233" t="str">
        <f t="shared" si="89"/>
        <v/>
      </c>
      <c r="Z136" s="233" t="str">
        <f t="shared" si="89"/>
        <v/>
      </c>
      <c r="AA136" s="233" t="str">
        <f t="shared" si="89"/>
        <v/>
      </c>
      <c r="AB136" s="233" t="str">
        <f t="shared" si="89"/>
        <v/>
      </c>
    </row>
    <row r="137" spans="1:28" ht="18" customHeight="1" x14ac:dyDescent="0.25">
      <c r="A137" s="11" t="s">
        <v>274</v>
      </c>
      <c r="B137" s="244"/>
      <c r="C137" s="233">
        <f t="shared" si="73"/>
        <v>0</v>
      </c>
      <c r="D137" s="233">
        <f t="shared" ref="D137:AB137" si="90">IFERROR((12.011*$AD68/$B36)*D68,"")</f>
        <v>0</v>
      </c>
      <c r="E137" s="233">
        <f t="shared" si="90"/>
        <v>0</v>
      </c>
      <c r="F137" s="233">
        <f t="shared" si="90"/>
        <v>0</v>
      </c>
      <c r="G137" s="233">
        <f t="shared" si="90"/>
        <v>0</v>
      </c>
      <c r="H137" s="233" t="str">
        <f t="shared" si="90"/>
        <v/>
      </c>
      <c r="I137" s="233" t="str">
        <f t="shared" si="90"/>
        <v/>
      </c>
      <c r="J137" s="233" t="str">
        <f t="shared" si="90"/>
        <v/>
      </c>
      <c r="K137" s="233" t="str">
        <f t="shared" si="90"/>
        <v/>
      </c>
      <c r="L137" s="233" t="str">
        <f t="shared" si="90"/>
        <v/>
      </c>
      <c r="M137" s="233" t="str">
        <f t="shared" si="90"/>
        <v/>
      </c>
      <c r="N137" s="233" t="str">
        <f t="shared" si="90"/>
        <v/>
      </c>
      <c r="O137" s="233" t="str">
        <f t="shared" si="90"/>
        <v/>
      </c>
      <c r="P137" s="233" t="str">
        <f t="shared" si="90"/>
        <v/>
      </c>
      <c r="Q137" s="233" t="str">
        <f t="shared" si="90"/>
        <v/>
      </c>
      <c r="R137" s="233" t="str">
        <f t="shared" si="90"/>
        <v/>
      </c>
      <c r="S137" s="233" t="str">
        <f t="shared" si="90"/>
        <v/>
      </c>
      <c r="T137" s="233" t="str">
        <f t="shared" si="90"/>
        <v/>
      </c>
      <c r="U137" s="233" t="str">
        <f t="shared" si="90"/>
        <v/>
      </c>
      <c r="V137" s="233" t="str">
        <f t="shared" si="90"/>
        <v/>
      </c>
      <c r="W137" s="233" t="str">
        <f t="shared" si="90"/>
        <v/>
      </c>
      <c r="X137" s="233" t="str">
        <f t="shared" si="90"/>
        <v/>
      </c>
      <c r="Y137" s="233" t="str">
        <f t="shared" si="90"/>
        <v/>
      </c>
      <c r="Z137" s="233" t="str">
        <f t="shared" si="90"/>
        <v/>
      </c>
      <c r="AA137" s="233" t="str">
        <f t="shared" si="90"/>
        <v/>
      </c>
      <c r="AB137" s="233" t="str">
        <f t="shared" si="90"/>
        <v/>
      </c>
    </row>
    <row r="138" spans="1:28" ht="18" customHeight="1" x14ac:dyDescent="0.25">
      <c r="A138" s="11" t="s">
        <v>275</v>
      </c>
      <c r="B138" s="244"/>
      <c r="C138" s="233">
        <f t="shared" si="73"/>
        <v>4.5186334225584616E-4</v>
      </c>
      <c r="D138" s="233">
        <f t="shared" ref="D138:AB138" si="91">IFERROR((12.011*$AD69/$B37)*D69,"")</f>
        <v>6.9300619966961572E-4</v>
      </c>
      <c r="E138" s="233">
        <f t="shared" si="91"/>
        <v>4.9447874572292885E-4</v>
      </c>
      <c r="F138" s="233">
        <f t="shared" si="91"/>
        <v>3.5902309636863403E-4</v>
      </c>
      <c r="G138" s="233">
        <f t="shared" si="91"/>
        <v>2.6094532726220611E-4</v>
      </c>
      <c r="H138" s="233" t="str">
        <f t="shared" si="91"/>
        <v/>
      </c>
      <c r="I138" s="233" t="str">
        <f t="shared" si="91"/>
        <v/>
      </c>
      <c r="J138" s="233" t="str">
        <f t="shared" si="91"/>
        <v/>
      </c>
      <c r="K138" s="233" t="str">
        <f t="shared" si="91"/>
        <v/>
      </c>
      <c r="L138" s="233" t="str">
        <f t="shared" si="91"/>
        <v/>
      </c>
      <c r="M138" s="233" t="str">
        <f t="shared" si="91"/>
        <v/>
      </c>
      <c r="N138" s="233" t="str">
        <f t="shared" si="91"/>
        <v/>
      </c>
      <c r="O138" s="233" t="str">
        <f t="shared" si="91"/>
        <v/>
      </c>
      <c r="P138" s="233" t="str">
        <f t="shared" si="91"/>
        <v/>
      </c>
      <c r="Q138" s="233" t="str">
        <f t="shared" si="91"/>
        <v/>
      </c>
      <c r="R138" s="233" t="str">
        <f t="shared" si="91"/>
        <v/>
      </c>
      <c r="S138" s="233" t="str">
        <f t="shared" si="91"/>
        <v/>
      </c>
      <c r="T138" s="233" t="str">
        <f t="shared" si="91"/>
        <v/>
      </c>
      <c r="U138" s="233" t="str">
        <f t="shared" si="91"/>
        <v/>
      </c>
      <c r="V138" s="233" t="str">
        <f t="shared" si="91"/>
        <v/>
      </c>
      <c r="W138" s="233" t="str">
        <f t="shared" si="91"/>
        <v/>
      </c>
      <c r="X138" s="233" t="str">
        <f t="shared" si="91"/>
        <v/>
      </c>
      <c r="Y138" s="233" t="str">
        <f t="shared" si="91"/>
        <v/>
      </c>
      <c r="Z138" s="233" t="str">
        <f t="shared" si="91"/>
        <v/>
      </c>
      <c r="AA138" s="233" t="str">
        <f t="shared" si="91"/>
        <v/>
      </c>
      <c r="AB138" s="233" t="str">
        <f t="shared" si="91"/>
        <v/>
      </c>
    </row>
    <row r="139" spans="1:28" ht="18" customHeight="1" x14ac:dyDescent="0.25">
      <c r="A139" s="11" t="s">
        <v>276</v>
      </c>
      <c r="B139" s="244"/>
      <c r="C139" s="233">
        <f t="shared" si="73"/>
        <v>0</v>
      </c>
      <c r="D139" s="233">
        <f t="shared" ref="D139:AB139" si="92">IFERROR((12.011*$AD70/$B38)*D70,"")</f>
        <v>0</v>
      </c>
      <c r="E139" s="233">
        <f t="shared" si="92"/>
        <v>0</v>
      </c>
      <c r="F139" s="233">
        <f t="shared" si="92"/>
        <v>0</v>
      </c>
      <c r="G139" s="233">
        <f t="shared" si="92"/>
        <v>0</v>
      </c>
      <c r="H139" s="233" t="str">
        <f t="shared" si="92"/>
        <v/>
      </c>
      <c r="I139" s="233" t="str">
        <f t="shared" si="92"/>
        <v/>
      </c>
      <c r="J139" s="233" t="str">
        <f t="shared" si="92"/>
        <v/>
      </c>
      <c r="K139" s="233" t="str">
        <f t="shared" si="92"/>
        <v/>
      </c>
      <c r="L139" s="233" t="str">
        <f t="shared" si="92"/>
        <v/>
      </c>
      <c r="M139" s="233" t="str">
        <f t="shared" si="92"/>
        <v/>
      </c>
      <c r="N139" s="233" t="str">
        <f t="shared" si="92"/>
        <v/>
      </c>
      <c r="O139" s="233" t="str">
        <f t="shared" si="92"/>
        <v/>
      </c>
      <c r="P139" s="233" t="str">
        <f t="shared" si="92"/>
        <v/>
      </c>
      <c r="Q139" s="233" t="str">
        <f t="shared" si="92"/>
        <v/>
      </c>
      <c r="R139" s="233" t="str">
        <f t="shared" si="92"/>
        <v/>
      </c>
      <c r="S139" s="233" t="str">
        <f t="shared" si="92"/>
        <v/>
      </c>
      <c r="T139" s="233" t="str">
        <f t="shared" si="92"/>
        <v/>
      </c>
      <c r="U139" s="233" t="str">
        <f t="shared" si="92"/>
        <v/>
      </c>
      <c r="V139" s="233" t="str">
        <f t="shared" si="92"/>
        <v/>
      </c>
      <c r="W139" s="233" t="str">
        <f t="shared" si="92"/>
        <v/>
      </c>
      <c r="X139" s="233" t="str">
        <f t="shared" si="92"/>
        <v/>
      </c>
      <c r="Y139" s="233" t="str">
        <f t="shared" si="92"/>
        <v/>
      </c>
      <c r="Z139" s="233" t="str">
        <f t="shared" si="92"/>
        <v/>
      </c>
      <c r="AA139" s="233" t="str">
        <f t="shared" si="92"/>
        <v/>
      </c>
      <c r="AB139" s="233" t="str">
        <f t="shared" si="92"/>
        <v/>
      </c>
    </row>
    <row r="140" spans="1:28" ht="18" customHeight="1" x14ac:dyDescent="0.25">
      <c r="A140" s="11" t="s">
        <v>277</v>
      </c>
      <c r="B140" s="244"/>
      <c r="C140" s="233">
        <f t="shared" si="73"/>
        <v>4.5741474745407053E-2</v>
      </c>
      <c r="D140" s="233">
        <f t="shared" ref="D140:AB140" si="93">IFERROR((12.011*$AD71/$B39)*D71,"")</f>
        <v>4.2571544011245049E-2</v>
      </c>
      <c r="E140" s="233">
        <f t="shared" si="93"/>
        <v>4.3390252157488714E-2</v>
      </c>
      <c r="F140" s="233">
        <f t="shared" si="93"/>
        <v>4.6459571146822351E-2</v>
      </c>
      <c r="G140" s="233">
        <f t="shared" si="93"/>
        <v>5.0544531666072111E-2</v>
      </c>
      <c r="H140" s="233" t="str">
        <f t="shared" si="93"/>
        <v/>
      </c>
      <c r="I140" s="233" t="str">
        <f t="shared" si="93"/>
        <v/>
      </c>
      <c r="J140" s="233" t="str">
        <f t="shared" si="93"/>
        <v/>
      </c>
      <c r="K140" s="233" t="str">
        <f t="shared" si="93"/>
        <v/>
      </c>
      <c r="L140" s="233" t="str">
        <f t="shared" si="93"/>
        <v/>
      </c>
      <c r="M140" s="233" t="str">
        <f t="shared" si="93"/>
        <v/>
      </c>
      <c r="N140" s="233" t="str">
        <f t="shared" si="93"/>
        <v/>
      </c>
      <c r="O140" s="233" t="str">
        <f t="shared" si="93"/>
        <v/>
      </c>
      <c r="P140" s="233" t="str">
        <f t="shared" si="93"/>
        <v/>
      </c>
      <c r="Q140" s="233" t="str">
        <f t="shared" si="93"/>
        <v/>
      </c>
      <c r="R140" s="233" t="str">
        <f t="shared" si="93"/>
        <v/>
      </c>
      <c r="S140" s="233" t="str">
        <f t="shared" si="93"/>
        <v/>
      </c>
      <c r="T140" s="233" t="str">
        <f t="shared" si="93"/>
        <v/>
      </c>
      <c r="U140" s="233" t="str">
        <f t="shared" si="93"/>
        <v/>
      </c>
      <c r="V140" s="233" t="str">
        <f t="shared" si="93"/>
        <v/>
      </c>
      <c r="W140" s="233" t="str">
        <f t="shared" si="93"/>
        <v/>
      </c>
      <c r="X140" s="233" t="str">
        <f t="shared" si="93"/>
        <v/>
      </c>
      <c r="Y140" s="233" t="str">
        <f t="shared" si="93"/>
        <v/>
      </c>
      <c r="Z140" s="233" t="str">
        <f t="shared" si="93"/>
        <v/>
      </c>
      <c r="AA140" s="233" t="str">
        <f t="shared" si="93"/>
        <v/>
      </c>
      <c r="AB140" s="233" t="str">
        <f t="shared" si="93"/>
        <v/>
      </c>
    </row>
    <row r="141" spans="1:28" ht="18" customHeight="1" x14ac:dyDescent="0.25">
      <c r="A141" s="11" t="s">
        <v>278</v>
      </c>
      <c r="B141" s="244"/>
      <c r="C141" s="233">
        <f t="shared" si="73"/>
        <v>0</v>
      </c>
      <c r="D141" s="233">
        <f t="shared" ref="D141:AB141" si="94">IFERROR((12.011*$AD72/$B40)*D72,"")</f>
        <v>0</v>
      </c>
      <c r="E141" s="233">
        <f t="shared" si="94"/>
        <v>0</v>
      </c>
      <c r="F141" s="233">
        <f t="shared" si="94"/>
        <v>0</v>
      </c>
      <c r="G141" s="233">
        <f t="shared" si="94"/>
        <v>0</v>
      </c>
      <c r="H141" s="233" t="str">
        <f t="shared" si="94"/>
        <v/>
      </c>
      <c r="I141" s="233" t="str">
        <f t="shared" si="94"/>
        <v/>
      </c>
      <c r="J141" s="233" t="str">
        <f t="shared" si="94"/>
        <v/>
      </c>
      <c r="K141" s="233" t="str">
        <f t="shared" si="94"/>
        <v/>
      </c>
      <c r="L141" s="233" t="str">
        <f t="shared" si="94"/>
        <v/>
      </c>
      <c r="M141" s="233" t="str">
        <f t="shared" si="94"/>
        <v/>
      </c>
      <c r="N141" s="233" t="str">
        <f t="shared" si="94"/>
        <v/>
      </c>
      <c r="O141" s="233" t="str">
        <f t="shared" si="94"/>
        <v/>
      </c>
      <c r="P141" s="233" t="str">
        <f t="shared" si="94"/>
        <v/>
      </c>
      <c r="Q141" s="233" t="str">
        <f t="shared" si="94"/>
        <v/>
      </c>
      <c r="R141" s="233" t="str">
        <f t="shared" si="94"/>
        <v/>
      </c>
      <c r="S141" s="233" t="str">
        <f t="shared" si="94"/>
        <v/>
      </c>
      <c r="T141" s="233" t="str">
        <f t="shared" si="94"/>
        <v/>
      </c>
      <c r="U141" s="233" t="str">
        <f t="shared" si="94"/>
        <v/>
      </c>
      <c r="V141" s="233" t="str">
        <f t="shared" si="94"/>
        <v/>
      </c>
      <c r="W141" s="233" t="str">
        <f t="shared" si="94"/>
        <v/>
      </c>
      <c r="X141" s="233" t="str">
        <f t="shared" si="94"/>
        <v/>
      </c>
      <c r="Y141" s="233" t="str">
        <f t="shared" si="94"/>
        <v/>
      </c>
      <c r="Z141" s="233" t="str">
        <f t="shared" si="94"/>
        <v/>
      </c>
      <c r="AA141" s="233" t="str">
        <f t="shared" si="94"/>
        <v/>
      </c>
      <c r="AB141" s="233" t="str">
        <f t="shared" si="94"/>
        <v/>
      </c>
    </row>
    <row r="142" spans="1:28" ht="18" customHeight="1" x14ac:dyDescent="0.25">
      <c r="A142" s="11" t="s">
        <v>279</v>
      </c>
      <c r="B142" s="244"/>
      <c r="C142" s="233">
        <f t="shared" si="73"/>
        <v>0</v>
      </c>
      <c r="D142" s="233">
        <f t="shared" ref="D142:AB142" si="95">IFERROR((12.011*$AD73/$B41)*D73,"")</f>
        <v>0</v>
      </c>
      <c r="E142" s="233">
        <f t="shared" si="95"/>
        <v>0</v>
      </c>
      <c r="F142" s="233">
        <f t="shared" si="95"/>
        <v>0</v>
      </c>
      <c r="G142" s="233">
        <f t="shared" si="95"/>
        <v>0</v>
      </c>
      <c r="H142" s="233" t="str">
        <f t="shared" si="95"/>
        <v/>
      </c>
      <c r="I142" s="233" t="str">
        <f t="shared" si="95"/>
        <v/>
      </c>
      <c r="J142" s="233" t="str">
        <f t="shared" si="95"/>
        <v/>
      </c>
      <c r="K142" s="233" t="str">
        <f t="shared" si="95"/>
        <v/>
      </c>
      <c r="L142" s="233" t="str">
        <f t="shared" si="95"/>
        <v/>
      </c>
      <c r="M142" s="233" t="str">
        <f t="shared" si="95"/>
        <v/>
      </c>
      <c r="N142" s="233" t="str">
        <f t="shared" si="95"/>
        <v/>
      </c>
      <c r="O142" s="233" t="str">
        <f t="shared" si="95"/>
        <v/>
      </c>
      <c r="P142" s="233" t="str">
        <f t="shared" si="95"/>
        <v/>
      </c>
      <c r="Q142" s="233" t="str">
        <f t="shared" si="95"/>
        <v/>
      </c>
      <c r="R142" s="233" t="str">
        <f t="shared" si="95"/>
        <v/>
      </c>
      <c r="S142" s="233" t="str">
        <f t="shared" si="95"/>
        <v/>
      </c>
      <c r="T142" s="233" t="str">
        <f t="shared" si="95"/>
        <v/>
      </c>
      <c r="U142" s="233" t="str">
        <f t="shared" si="95"/>
        <v/>
      </c>
      <c r="V142" s="233" t="str">
        <f t="shared" si="95"/>
        <v/>
      </c>
      <c r="W142" s="233" t="str">
        <f t="shared" si="95"/>
        <v/>
      </c>
      <c r="X142" s="233" t="str">
        <f t="shared" si="95"/>
        <v/>
      </c>
      <c r="Y142" s="233" t="str">
        <f t="shared" si="95"/>
        <v/>
      </c>
      <c r="Z142" s="233" t="str">
        <f t="shared" si="95"/>
        <v/>
      </c>
      <c r="AA142" s="233" t="str">
        <f t="shared" si="95"/>
        <v/>
      </c>
      <c r="AB142" s="233" t="str">
        <f t="shared" si="95"/>
        <v/>
      </c>
    </row>
    <row r="143" spans="1:28" ht="18" customHeight="1" x14ac:dyDescent="0.25">
      <c r="A143" s="11" t="s">
        <v>280</v>
      </c>
      <c r="B143" s="244"/>
      <c r="C143" s="233">
        <f t="shared" si="73"/>
        <v>0</v>
      </c>
      <c r="D143" s="233">
        <f t="shared" ref="D143:AB143" si="96">IFERROR((12.011*$AD74/$B42)*D74,"")</f>
        <v>0</v>
      </c>
      <c r="E143" s="233">
        <f t="shared" si="96"/>
        <v>0</v>
      </c>
      <c r="F143" s="233">
        <f t="shared" si="96"/>
        <v>0</v>
      </c>
      <c r="G143" s="233">
        <f t="shared" si="96"/>
        <v>0</v>
      </c>
      <c r="H143" s="233" t="str">
        <f t="shared" si="96"/>
        <v/>
      </c>
      <c r="I143" s="233" t="str">
        <f t="shared" si="96"/>
        <v/>
      </c>
      <c r="J143" s="233" t="str">
        <f t="shared" si="96"/>
        <v/>
      </c>
      <c r="K143" s="233" t="str">
        <f t="shared" si="96"/>
        <v/>
      </c>
      <c r="L143" s="233" t="str">
        <f t="shared" si="96"/>
        <v/>
      </c>
      <c r="M143" s="233" t="str">
        <f t="shared" si="96"/>
        <v/>
      </c>
      <c r="N143" s="233" t="str">
        <f t="shared" si="96"/>
        <v/>
      </c>
      <c r="O143" s="233" t="str">
        <f t="shared" si="96"/>
        <v/>
      </c>
      <c r="P143" s="233" t="str">
        <f t="shared" si="96"/>
        <v/>
      </c>
      <c r="Q143" s="233" t="str">
        <f t="shared" si="96"/>
        <v/>
      </c>
      <c r="R143" s="233" t="str">
        <f t="shared" si="96"/>
        <v/>
      </c>
      <c r="S143" s="233" t="str">
        <f t="shared" si="96"/>
        <v/>
      </c>
      <c r="T143" s="233" t="str">
        <f t="shared" si="96"/>
        <v/>
      </c>
      <c r="U143" s="233" t="str">
        <f t="shared" si="96"/>
        <v/>
      </c>
      <c r="V143" s="233" t="str">
        <f t="shared" si="96"/>
        <v/>
      </c>
      <c r="W143" s="233" t="str">
        <f t="shared" si="96"/>
        <v/>
      </c>
      <c r="X143" s="233" t="str">
        <f t="shared" si="96"/>
        <v/>
      </c>
      <c r="Y143" s="233" t="str">
        <f t="shared" si="96"/>
        <v/>
      </c>
      <c r="Z143" s="233" t="str">
        <f t="shared" si="96"/>
        <v/>
      </c>
      <c r="AA143" s="233" t="str">
        <f t="shared" si="96"/>
        <v/>
      </c>
      <c r="AB143" s="233" t="str">
        <f t="shared" si="96"/>
        <v/>
      </c>
    </row>
    <row r="144" spans="1:28" ht="18" customHeight="1" x14ac:dyDescent="0.25">
      <c r="A144" s="11" t="s">
        <v>281</v>
      </c>
      <c r="B144" s="244"/>
      <c r="C144" s="233">
        <f t="shared" si="73"/>
        <v>0</v>
      </c>
      <c r="D144" s="233">
        <f t="shared" ref="D144:AB144" si="97">IFERROR((12.011*$AD75/$B43)*D75,"")</f>
        <v>0</v>
      </c>
      <c r="E144" s="233">
        <f t="shared" si="97"/>
        <v>0</v>
      </c>
      <c r="F144" s="233">
        <f t="shared" si="97"/>
        <v>0</v>
      </c>
      <c r="G144" s="233">
        <f t="shared" si="97"/>
        <v>0</v>
      </c>
      <c r="H144" s="233" t="str">
        <f t="shared" si="97"/>
        <v/>
      </c>
      <c r="I144" s="233" t="str">
        <f t="shared" si="97"/>
        <v/>
      </c>
      <c r="J144" s="233" t="str">
        <f t="shared" si="97"/>
        <v/>
      </c>
      <c r="K144" s="233" t="str">
        <f t="shared" si="97"/>
        <v/>
      </c>
      <c r="L144" s="233" t="str">
        <f t="shared" si="97"/>
        <v/>
      </c>
      <c r="M144" s="233" t="str">
        <f t="shared" si="97"/>
        <v/>
      </c>
      <c r="N144" s="233" t="str">
        <f t="shared" si="97"/>
        <v/>
      </c>
      <c r="O144" s="233" t="str">
        <f t="shared" si="97"/>
        <v/>
      </c>
      <c r="P144" s="233" t="str">
        <f t="shared" si="97"/>
        <v/>
      </c>
      <c r="Q144" s="233" t="str">
        <f t="shared" si="97"/>
        <v/>
      </c>
      <c r="R144" s="233" t="str">
        <f t="shared" si="97"/>
        <v/>
      </c>
      <c r="S144" s="233" t="str">
        <f t="shared" si="97"/>
        <v/>
      </c>
      <c r="T144" s="233" t="str">
        <f t="shared" si="97"/>
        <v/>
      </c>
      <c r="U144" s="233" t="str">
        <f t="shared" si="97"/>
        <v/>
      </c>
      <c r="V144" s="233" t="str">
        <f t="shared" si="97"/>
        <v/>
      </c>
      <c r="W144" s="233" t="str">
        <f t="shared" si="97"/>
        <v/>
      </c>
      <c r="X144" s="233" t="str">
        <f t="shared" si="97"/>
        <v/>
      </c>
      <c r="Y144" s="233" t="str">
        <f t="shared" si="97"/>
        <v/>
      </c>
      <c r="Z144" s="233" t="str">
        <f t="shared" si="97"/>
        <v/>
      </c>
      <c r="AA144" s="233" t="str">
        <f t="shared" si="97"/>
        <v/>
      </c>
      <c r="AB144" s="233" t="str">
        <f t="shared" si="97"/>
        <v/>
      </c>
    </row>
    <row r="145" spans="1:28" ht="18" customHeight="1" x14ac:dyDescent="0.25">
      <c r="A145" s="11" t="s">
        <v>282</v>
      </c>
      <c r="B145" s="244"/>
      <c r="C145" s="233">
        <f t="shared" si="73"/>
        <v>0</v>
      </c>
      <c r="D145" s="233">
        <f t="shared" ref="D145:AB145" si="98">IFERROR((12.011*$AD76/$B44)*D76,"")</f>
        <v>0</v>
      </c>
      <c r="E145" s="233">
        <f t="shared" si="98"/>
        <v>0</v>
      </c>
      <c r="F145" s="233">
        <f t="shared" si="98"/>
        <v>0</v>
      </c>
      <c r="G145" s="233">
        <f t="shared" si="98"/>
        <v>0</v>
      </c>
      <c r="H145" s="233" t="str">
        <f t="shared" si="98"/>
        <v/>
      </c>
      <c r="I145" s="233" t="str">
        <f t="shared" si="98"/>
        <v/>
      </c>
      <c r="J145" s="233" t="str">
        <f t="shared" si="98"/>
        <v/>
      </c>
      <c r="K145" s="233" t="str">
        <f t="shared" si="98"/>
        <v/>
      </c>
      <c r="L145" s="233" t="str">
        <f t="shared" si="98"/>
        <v/>
      </c>
      <c r="M145" s="233" t="str">
        <f t="shared" si="98"/>
        <v/>
      </c>
      <c r="N145" s="233" t="str">
        <f t="shared" si="98"/>
        <v/>
      </c>
      <c r="O145" s="233" t="str">
        <f t="shared" si="98"/>
        <v/>
      </c>
      <c r="P145" s="233" t="str">
        <f t="shared" si="98"/>
        <v/>
      </c>
      <c r="Q145" s="233" t="str">
        <f t="shared" si="98"/>
        <v/>
      </c>
      <c r="R145" s="233" t="str">
        <f t="shared" si="98"/>
        <v/>
      </c>
      <c r="S145" s="233" t="str">
        <f t="shared" si="98"/>
        <v/>
      </c>
      <c r="T145" s="233" t="str">
        <f t="shared" si="98"/>
        <v/>
      </c>
      <c r="U145" s="233" t="str">
        <f t="shared" si="98"/>
        <v/>
      </c>
      <c r="V145" s="233" t="str">
        <f t="shared" si="98"/>
        <v/>
      </c>
      <c r="W145" s="233" t="str">
        <f t="shared" si="98"/>
        <v/>
      </c>
      <c r="X145" s="233" t="str">
        <f t="shared" si="98"/>
        <v/>
      </c>
      <c r="Y145" s="233" t="str">
        <f t="shared" si="98"/>
        <v/>
      </c>
      <c r="Z145" s="233" t="str">
        <f t="shared" si="98"/>
        <v/>
      </c>
      <c r="AA145" s="233" t="str">
        <f t="shared" si="98"/>
        <v/>
      </c>
      <c r="AB145" s="233" t="str">
        <f t="shared" si="98"/>
        <v/>
      </c>
    </row>
    <row r="146" spans="1:28" ht="18" customHeight="1" x14ac:dyDescent="0.25">
      <c r="A146" s="11" t="s">
        <v>283</v>
      </c>
      <c r="B146" s="244"/>
      <c r="C146" s="233">
        <f t="shared" si="73"/>
        <v>0</v>
      </c>
      <c r="D146" s="233">
        <f t="shared" ref="D146:AB146" si="99">IFERROR((12.011*$AD77/$B45)*D77,"")</f>
        <v>0</v>
      </c>
      <c r="E146" s="233">
        <f t="shared" si="99"/>
        <v>0</v>
      </c>
      <c r="F146" s="233">
        <f t="shared" si="99"/>
        <v>0</v>
      </c>
      <c r="G146" s="233">
        <f t="shared" si="99"/>
        <v>0</v>
      </c>
      <c r="H146" s="233" t="str">
        <f t="shared" si="99"/>
        <v/>
      </c>
      <c r="I146" s="233" t="str">
        <f t="shared" si="99"/>
        <v/>
      </c>
      <c r="J146" s="233" t="str">
        <f t="shared" si="99"/>
        <v/>
      </c>
      <c r="K146" s="233" t="str">
        <f t="shared" si="99"/>
        <v/>
      </c>
      <c r="L146" s="233" t="str">
        <f t="shared" si="99"/>
        <v/>
      </c>
      <c r="M146" s="233" t="str">
        <f t="shared" si="99"/>
        <v/>
      </c>
      <c r="N146" s="233" t="str">
        <f t="shared" si="99"/>
        <v/>
      </c>
      <c r="O146" s="233" t="str">
        <f t="shared" si="99"/>
        <v/>
      </c>
      <c r="P146" s="233" t="str">
        <f t="shared" si="99"/>
        <v/>
      </c>
      <c r="Q146" s="233" t="str">
        <f t="shared" si="99"/>
        <v/>
      </c>
      <c r="R146" s="233" t="str">
        <f t="shared" si="99"/>
        <v/>
      </c>
      <c r="S146" s="233" t="str">
        <f t="shared" si="99"/>
        <v/>
      </c>
      <c r="T146" s="233" t="str">
        <f t="shared" si="99"/>
        <v/>
      </c>
      <c r="U146" s="233" t="str">
        <f t="shared" si="99"/>
        <v/>
      </c>
      <c r="V146" s="233" t="str">
        <f t="shared" si="99"/>
        <v/>
      </c>
      <c r="W146" s="233" t="str">
        <f t="shared" si="99"/>
        <v/>
      </c>
      <c r="X146" s="233" t="str">
        <f t="shared" si="99"/>
        <v/>
      </c>
      <c r="Y146" s="233" t="str">
        <f t="shared" si="99"/>
        <v/>
      </c>
      <c r="Z146" s="233" t="str">
        <f t="shared" si="99"/>
        <v/>
      </c>
      <c r="AA146" s="233" t="str">
        <f t="shared" si="99"/>
        <v/>
      </c>
      <c r="AB146" s="233" t="str">
        <f t="shared" si="99"/>
        <v/>
      </c>
    </row>
    <row r="147" spans="1:28" ht="18" customHeight="1" x14ac:dyDescent="0.25">
      <c r="A147" s="11" t="s">
        <v>284</v>
      </c>
      <c r="B147" s="244"/>
      <c r="C147" s="233">
        <f t="shared" si="73"/>
        <v>2.5335597166861374E-3</v>
      </c>
      <c r="D147" s="233">
        <f t="shared" ref="D147:AB147" si="100">IFERROR((12.011*$AD78/$B46)*D78,"")</f>
        <v>2.5965943446085312E-3</v>
      </c>
      <c r="E147" s="233">
        <f t="shared" si="100"/>
        <v>2.3736927463532207E-3</v>
      </c>
      <c r="F147" s="233">
        <f t="shared" si="100"/>
        <v>2.4114594728481811E-3</v>
      </c>
      <c r="G147" s="233">
        <f t="shared" si="100"/>
        <v>2.7524923029346162E-3</v>
      </c>
      <c r="H147" s="233" t="str">
        <f t="shared" si="100"/>
        <v/>
      </c>
      <c r="I147" s="233" t="str">
        <f t="shared" si="100"/>
        <v/>
      </c>
      <c r="J147" s="233" t="str">
        <f t="shared" si="100"/>
        <v/>
      </c>
      <c r="K147" s="233" t="str">
        <f t="shared" si="100"/>
        <v/>
      </c>
      <c r="L147" s="233" t="str">
        <f t="shared" si="100"/>
        <v/>
      </c>
      <c r="M147" s="233" t="str">
        <f t="shared" si="100"/>
        <v/>
      </c>
      <c r="N147" s="233" t="str">
        <f t="shared" si="100"/>
        <v/>
      </c>
      <c r="O147" s="233" t="str">
        <f t="shared" si="100"/>
        <v/>
      </c>
      <c r="P147" s="233" t="str">
        <f t="shared" si="100"/>
        <v/>
      </c>
      <c r="Q147" s="233" t="str">
        <f t="shared" si="100"/>
        <v/>
      </c>
      <c r="R147" s="233" t="str">
        <f t="shared" si="100"/>
        <v/>
      </c>
      <c r="S147" s="233" t="str">
        <f t="shared" si="100"/>
        <v/>
      </c>
      <c r="T147" s="233" t="str">
        <f t="shared" si="100"/>
        <v/>
      </c>
      <c r="U147" s="233" t="str">
        <f t="shared" si="100"/>
        <v/>
      </c>
      <c r="V147" s="233" t="str">
        <f t="shared" si="100"/>
        <v/>
      </c>
      <c r="W147" s="233" t="str">
        <f t="shared" si="100"/>
        <v/>
      </c>
      <c r="X147" s="233" t="str">
        <f t="shared" si="100"/>
        <v/>
      </c>
      <c r="Y147" s="233" t="str">
        <f t="shared" si="100"/>
        <v/>
      </c>
      <c r="Z147" s="233" t="str">
        <f t="shared" si="100"/>
        <v/>
      </c>
      <c r="AA147" s="233" t="str">
        <f t="shared" si="100"/>
        <v/>
      </c>
      <c r="AB147" s="233" t="str">
        <f t="shared" si="100"/>
        <v/>
      </c>
    </row>
    <row r="148" spans="1:28" ht="18" customHeight="1" x14ac:dyDescent="0.25">
      <c r="A148" s="11" t="s">
        <v>285</v>
      </c>
      <c r="B148" s="244"/>
      <c r="C148" s="233">
        <f t="shared" si="73"/>
        <v>8.9879796291752637E-6</v>
      </c>
      <c r="D148" s="233">
        <f t="shared" ref="D148:AB148" si="101">IFERROR((12.011*$AD79/$B47)*D79,"")</f>
        <v>3.5951918516701055E-5</v>
      </c>
      <c r="E148" s="233">
        <f t="shared" si="101"/>
        <v>0</v>
      </c>
      <c r="F148" s="233">
        <f t="shared" si="101"/>
        <v>0</v>
      </c>
      <c r="G148" s="233">
        <f t="shared" si="101"/>
        <v>0</v>
      </c>
      <c r="H148" s="233" t="str">
        <f t="shared" si="101"/>
        <v/>
      </c>
      <c r="I148" s="233" t="str">
        <f t="shared" si="101"/>
        <v/>
      </c>
      <c r="J148" s="233" t="str">
        <f t="shared" si="101"/>
        <v/>
      </c>
      <c r="K148" s="233" t="str">
        <f t="shared" si="101"/>
        <v/>
      </c>
      <c r="L148" s="233" t="str">
        <f t="shared" si="101"/>
        <v/>
      </c>
      <c r="M148" s="233" t="str">
        <f t="shared" si="101"/>
        <v/>
      </c>
      <c r="N148" s="233" t="str">
        <f t="shared" si="101"/>
        <v/>
      </c>
      <c r="O148" s="233" t="str">
        <f t="shared" si="101"/>
        <v/>
      </c>
      <c r="P148" s="233" t="str">
        <f t="shared" si="101"/>
        <v/>
      </c>
      <c r="Q148" s="233" t="str">
        <f t="shared" si="101"/>
        <v/>
      </c>
      <c r="R148" s="233" t="str">
        <f t="shared" si="101"/>
        <v/>
      </c>
      <c r="S148" s="233" t="str">
        <f t="shared" si="101"/>
        <v/>
      </c>
      <c r="T148" s="233" t="str">
        <f t="shared" si="101"/>
        <v/>
      </c>
      <c r="U148" s="233" t="str">
        <f t="shared" si="101"/>
        <v/>
      </c>
      <c r="V148" s="233" t="str">
        <f t="shared" si="101"/>
        <v/>
      </c>
      <c r="W148" s="233" t="str">
        <f t="shared" si="101"/>
        <v/>
      </c>
      <c r="X148" s="233" t="str">
        <f t="shared" si="101"/>
        <v/>
      </c>
      <c r="Y148" s="233" t="str">
        <f t="shared" si="101"/>
        <v/>
      </c>
      <c r="Z148" s="233" t="str">
        <f t="shared" si="101"/>
        <v/>
      </c>
      <c r="AA148" s="233" t="str">
        <f t="shared" si="101"/>
        <v/>
      </c>
      <c r="AB148" s="233" t="str">
        <f t="shared" si="101"/>
        <v/>
      </c>
    </row>
    <row r="149" spans="1:28" ht="18" customHeight="1" x14ac:dyDescent="0.25">
      <c r="A149" s="11" t="s">
        <v>286</v>
      </c>
      <c r="B149" s="244"/>
      <c r="C149" s="233">
        <f t="shared" si="73"/>
        <v>0</v>
      </c>
      <c r="D149" s="233">
        <f t="shared" ref="D149:AB149" si="102">IFERROR((12.011*$AD80/$B48)*D80,"")</f>
        <v>0</v>
      </c>
      <c r="E149" s="233">
        <f t="shared" si="102"/>
        <v>0</v>
      </c>
      <c r="F149" s="233">
        <f t="shared" si="102"/>
        <v>0</v>
      </c>
      <c r="G149" s="233">
        <f t="shared" si="102"/>
        <v>0</v>
      </c>
      <c r="H149" s="233" t="str">
        <f t="shared" si="102"/>
        <v/>
      </c>
      <c r="I149" s="233" t="str">
        <f t="shared" si="102"/>
        <v/>
      </c>
      <c r="J149" s="233" t="str">
        <f t="shared" si="102"/>
        <v/>
      </c>
      <c r="K149" s="233" t="str">
        <f t="shared" si="102"/>
        <v/>
      </c>
      <c r="L149" s="233" t="str">
        <f t="shared" si="102"/>
        <v/>
      </c>
      <c r="M149" s="233" t="str">
        <f t="shared" si="102"/>
        <v/>
      </c>
      <c r="N149" s="233" t="str">
        <f t="shared" si="102"/>
        <v/>
      </c>
      <c r="O149" s="233" t="str">
        <f t="shared" si="102"/>
        <v/>
      </c>
      <c r="P149" s="233" t="str">
        <f t="shared" si="102"/>
        <v/>
      </c>
      <c r="Q149" s="233" t="str">
        <f t="shared" si="102"/>
        <v/>
      </c>
      <c r="R149" s="233" t="str">
        <f t="shared" si="102"/>
        <v/>
      </c>
      <c r="S149" s="233" t="str">
        <f t="shared" si="102"/>
        <v/>
      </c>
      <c r="T149" s="233" t="str">
        <f t="shared" si="102"/>
        <v/>
      </c>
      <c r="U149" s="233" t="str">
        <f t="shared" si="102"/>
        <v/>
      </c>
      <c r="V149" s="233" t="str">
        <f t="shared" si="102"/>
        <v/>
      </c>
      <c r="W149" s="233" t="str">
        <f t="shared" si="102"/>
        <v/>
      </c>
      <c r="X149" s="233" t="str">
        <f t="shared" si="102"/>
        <v/>
      </c>
      <c r="Y149" s="233" t="str">
        <f t="shared" si="102"/>
        <v/>
      </c>
      <c r="Z149" s="233" t="str">
        <f t="shared" si="102"/>
        <v/>
      </c>
      <c r="AA149" s="233" t="str">
        <f t="shared" si="102"/>
        <v/>
      </c>
      <c r="AB149" s="233" t="str">
        <f t="shared" si="102"/>
        <v/>
      </c>
    </row>
    <row r="150" spans="1:28" ht="18" customHeight="1" x14ac:dyDescent="0.25">
      <c r="A150" s="252" t="s">
        <v>44</v>
      </c>
      <c r="B150" s="244"/>
      <c r="C150" s="253">
        <f>SUM(C121:C149)</f>
        <v>0.28395406384405836</v>
      </c>
      <c r="D150" s="253">
        <f t="shared" ref="D150:AB150" si="103">IF(SUM(D121:D149)=0,"",SUM(D121:D149))</f>
        <v>0.28216489107054005</v>
      </c>
      <c r="E150" s="253">
        <f t="shared" si="103"/>
        <v>0.28019871273805785</v>
      </c>
      <c r="F150" s="253">
        <f t="shared" si="103"/>
        <v>0.28210364418173178</v>
      </c>
      <c r="G150" s="253">
        <f t="shared" si="103"/>
        <v>0.29134900738590347</v>
      </c>
      <c r="H150" s="253" t="str">
        <f t="shared" si="103"/>
        <v/>
      </c>
      <c r="I150" s="253" t="str">
        <f t="shared" si="103"/>
        <v/>
      </c>
      <c r="J150" s="253" t="str">
        <f t="shared" si="103"/>
        <v/>
      </c>
      <c r="K150" s="253" t="str">
        <f t="shared" si="103"/>
        <v/>
      </c>
      <c r="L150" s="253" t="str">
        <f t="shared" si="103"/>
        <v/>
      </c>
      <c r="M150" s="253" t="str">
        <f t="shared" si="103"/>
        <v/>
      </c>
      <c r="N150" s="253" t="str">
        <f t="shared" si="103"/>
        <v/>
      </c>
      <c r="O150" s="253" t="str">
        <f t="shared" si="103"/>
        <v/>
      </c>
      <c r="P150" s="253" t="str">
        <f t="shared" si="103"/>
        <v/>
      </c>
      <c r="Q150" s="253" t="str">
        <f t="shared" si="103"/>
        <v/>
      </c>
      <c r="R150" s="253" t="str">
        <f t="shared" si="103"/>
        <v/>
      </c>
      <c r="S150" s="253" t="str">
        <f t="shared" si="103"/>
        <v/>
      </c>
      <c r="T150" s="253" t="str">
        <f t="shared" si="103"/>
        <v/>
      </c>
      <c r="U150" s="253" t="str">
        <f t="shared" si="103"/>
        <v/>
      </c>
      <c r="V150" s="253" t="str">
        <f t="shared" si="103"/>
        <v/>
      </c>
      <c r="W150" s="253" t="str">
        <f t="shared" si="103"/>
        <v/>
      </c>
      <c r="X150" s="253" t="str">
        <f t="shared" si="103"/>
        <v/>
      </c>
      <c r="Y150" s="253" t="str">
        <f t="shared" si="103"/>
        <v/>
      </c>
      <c r="Z150" s="253" t="str">
        <f t="shared" si="103"/>
        <v/>
      </c>
      <c r="AA150" s="253" t="str">
        <f t="shared" si="103"/>
        <v/>
      </c>
      <c r="AB150" s="253" t="str">
        <f t="shared" si="103"/>
        <v/>
      </c>
    </row>
  </sheetData>
  <sheetProtection sheet="1" objects="1" scenarios="1"/>
  <mergeCells count="1">
    <mergeCell ref="H5:K5"/>
  </mergeCells>
  <conditionalFormatting sqref="B52:AB84">
    <cfRule type="expression" dxfId="58" priority="3">
      <formula>NOT(B52="")</formula>
    </cfRule>
  </conditionalFormatting>
  <conditionalFormatting sqref="B88:AB118">
    <cfRule type="expression" dxfId="57" priority="6">
      <formula>NOT(B88="")</formula>
    </cfRule>
  </conditionalFormatting>
  <conditionalFormatting sqref="C121:C149">
    <cfRule type="expression" dxfId="56" priority="2">
      <formula>NOT(C121="")</formula>
    </cfRule>
  </conditionalFormatting>
  <conditionalFormatting sqref="D15:AB16">
    <cfRule type="expression" dxfId="55" priority="19">
      <formula>NOT(D15="")</formula>
    </cfRule>
  </conditionalFormatting>
  <conditionalFormatting sqref="D16:AB16">
    <cfRule type="expression" dxfId="54" priority="22">
      <formula>OR(D16&lt;$C$5, D16&gt;$C$6)</formula>
    </cfRule>
  </conditionalFormatting>
  <conditionalFormatting sqref="D17:AB18">
    <cfRule type="containsText" dxfId="53" priority="21" operator="containsText" text="ERROR">
      <formula>NOT(ISERROR(SEARCH("ERROR",D17)))</formula>
    </cfRule>
  </conditionalFormatting>
  <conditionalFormatting sqref="D20:AB49 B20:B49">
    <cfRule type="expression" dxfId="52" priority="18">
      <formula>NOT(B20="")</formula>
    </cfRule>
  </conditionalFormatting>
  <conditionalFormatting sqref="D20:AB49">
    <cfRule type="expression" dxfId="51" priority="11">
      <formula>D20&gt;$AE20</formula>
    </cfRule>
  </conditionalFormatting>
  <conditionalFormatting sqref="D120:AB149">
    <cfRule type="expression" dxfId="50" priority="1">
      <formula>NOT(D120="")</formula>
    </cfRule>
  </conditionalFormatting>
  <conditionalFormatting sqref="K6">
    <cfRule type="containsText" dxfId="49" priority="12" operator="containsText" text="Pass">
      <formula>NOT(ISERROR(SEARCH("Pass",K6)))</formula>
    </cfRule>
    <cfRule type="containsText" dxfId="48" priority="13" operator="containsText" text="Fail">
      <formula>NOT(ISERROR(SEARCH("Fail",K6)))</formula>
    </cfRule>
  </conditionalFormatting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B1:AG36"/>
  <sheetViews>
    <sheetView showGridLines="0" workbookViewId="0">
      <selection activeCell="J4" sqref="J4"/>
    </sheetView>
  </sheetViews>
  <sheetFormatPr defaultRowHeight="15" x14ac:dyDescent="0.25"/>
  <cols>
    <col min="2" max="2" width="40.140625" bestFit="1" customWidth="1"/>
    <col min="13" max="13" width="36" bestFit="1" customWidth="1"/>
    <col min="23" max="23" width="37.42578125" bestFit="1" customWidth="1"/>
    <col min="24" max="24" width="12" bestFit="1" customWidth="1"/>
    <col min="28" max="28" width="12" bestFit="1" customWidth="1"/>
  </cols>
  <sheetData>
    <row r="1" spans="2:33" x14ac:dyDescent="0.25">
      <c r="W1" s="210" t="s">
        <v>287</v>
      </c>
      <c r="X1" s="211">
        <v>2.016</v>
      </c>
      <c r="Y1" s="211">
        <v>28.05</v>
      </c>
      <c r="Z1" s="211">
        <v>16.04</v>
      </c>
      <c r="AA1" s="211">
        <v>30.07</v>
      </c>
      <c r="AB1" s="211">
        <v>28.013400000000001</v>
      </c>
      <c r="AC1" s="211">
        <v>44.01</v>
      </c>
      <c r="AD1" s="211">
        <v>28.01</v>
      </c>
      <c r="AE1" s="211">
        <v>39.94</v>
      </c>
    </row>
    <row r="2" spans="2:33" x14ac:dyDescent="0.25">
      <c r="C2" s="12" t="s">
        <v>8</v>
      </c>
      <c r="D2" s="12" t="s">
        <v>11</v>
      </c>
      <c r="E2" s="12" t="s">
        <v>12</v>
      </c>
      <c r="F2" s="12" t="s">
        <v>13</v>
      </c>
      <c r="G2" s="12" t="s">
        <v>22</v>
      </c>
      <c r="H2" s="12" t="s">
        <v>23</v>
      </c>
      <c r="I2" s="12" t="s">
        <v>24</v>
      </c>
      <c r="J2" s="12" t="s">
        <v>25</v>
      </c>
      <c r="N2" s="12" t="s">
        <v>8</v>
      </c>
      <c r="O2" s="12" t="s">
        <v>11</v>
      </c>
      <c r="P2" s="12" t="s">
        <v>12</v>
      </c>
      <c r="Q2" s="12" t="s">
        <v>13</v>
      </c>
      <c r="R2" s="12" t="s">
        <v>22</v>
      </c>
      <c r="S2" s="12" t="s">
        <v>23</v>
      </c>
      <c r="T2" s="12" t="s">
        <v>24</v>
      </c>
      <c r="U2" s="12" t="s">
        <v>25</v>
      </c>
      <c r="W2" s="198"/>
      <c r="X2" s="203" t="str">
        <f>IF(Run_Plan!B$34="","",Run_Plan!B$34)</f>
        <v>Hydrogen</v>
      </c>
      <c r="Y2" s="203" t="str">
        <f>IF(Run_Plan!C$34="","",Run_Plan!C$34)</f>
        <v>Ethylene</v>
      </c>
      <c r="Z2" s="203" t="str">
        <f>IF(Run_Plan!D$34="","",Run_Plan!D$34)</f>
        <v>Methane</v>
      </c>
      <c r="AA2" s="203" t="str">
        <f>IF(Run_Plan!E$34="","",Run_Plan!E$34)</f>
        <v>Ethane</v>
      </c>
      <c r="AB2" s="203" t="str">
        <f>IF(Run_Plan!F$34="","",Run_Plan!F$34)</f>
        <v>Nitrogen</v>
      </c>
      <c r="AC2" s="203" t="s">
        <v>288</v>
      </c>
      <c r="AD2" s="203" t="str">
        <f>IF(Run_Plan!H$34="","",Run_Plan!H$34)</f>
        <v>CO</v>
      </c>
      <c r="AE2" s="203" t="s">
        <v>39</v>
      </c>
    </row>
    <row r="3" spans="2:33" x14ac:dyDescent="0.25">
      <c r="B3" s="11" t="s">
        <v>289</v>
      </c>
      <c r="C3" s="196">
        <f>IFERROR(Liq!B13*Run_Plan!$B$58%,"")</f>
        <v>0</v>
      </c>
      <c r="D3" s="196">
        <f>IFERROR(Liq!C13*Run_Plan!$B$58%,"")</f>
        <v>0</v>
      </c>
      <c r="E3" s="196" t="str">
        <f>IFERROR(Liq!D13*Run_Plan!$B$58%,"")</f>
        <v/>
      </c>
      <c r="F3" s="196">
        <f>IFERROR(Liq!E13*Run_Plan!$B$58%,"")</f>
        <v>0</v>
      </c>
      <c r="G3" s="196">
        <f>IFERROR(Liq!F13*Run_Plan!$B$58%,"")</f>
        <v>0</v>
      </c>
      <c r="H3" s="196">
        <f>IFERROR(Liq!G13*Run_Plan!$B$58%,"")</f>
        <v>0</v>
      </c>
      <c r="I3" s="196">
        <f>IFERROR(Liq!H13*Run_Plan!$B$58%,"")</f>
        <v>0</v>
      </c>
      <c r="J3" s="196">
        <f>IFERROR(Liq!I13*Run_Plan!$B$58%,"")</f>
        <v>0</v>
      </c>
      <c r="M3" s="11" t="s">
        <v>290</v>
      </c>
      <c r="N3" s="196">
        <f>Run_Plan!$I$36</f>
        <v>10.148279655953468</v>
      </c>
      <c r="O3" s="196">
        <f>Run_Plan!$I$36</f>
        <v>10.148279655953468</v>
      </c>
      <c r="P3" s="196">
        <f>Run_Plan!$I$36</f>
        <v>10.148279655953468</v>
      </c>
      <c r="Q3" s="196">
        <f>Run_Plan!$I$36</f>
        <v>10.148279655953468</v>
      </c>
      <c r="R3" s="196">
        <f>Run_Plan!$I$36</f>
        <v>10.148279655953468</v>
      </c>
      <c r="S3" s="196">
        <f>Run_Plan!$I$36</f>
        <v>10.148279655953468</v>
      </c>
      <c r="T3" s="196">
        <f>Run_Plan!$I$36</f>
        <v>10.148279655953468</v>
      </c>
      <c r="U3" s="196">
        <f>Run_Plan!$I$36</f>
        <v>10.148279655953468</v>
      </c>
      <c r="W3" s="203" t="s">
        <v>291</v>
      </c>
      <c r="X3" s="198">
        <f>Run_Plan!$B$35*$AG$3</f>
        <v>21.586829159417253</v>
      </c>
      <c r="Y3" s="198">
        <f>Run_Plan!$C$35*$AG$3</f>
        <v>1.6653853636214921</v>
      </c>
      <c r="Z3" s="198">
        <f>Run_Plan!$D$35*$AG$3</f>
        <v>2.6182726136079548</v>
      </c>
      <c r="AA3" s="198">
        <f>Run_Plan!$E$35*$AG$3</f>
        <v>1.7786347472546311E-3</v>
      </c>
      <c r="AB3" s="198">
        <f>Run_Plan!$F$35*$AG$3</f>
        <v>61.750224378024193</v>
      </c>
      <c r="AC3" s="198">
        <f>Run_Plan!$I$35*$AG$3</f>
        <v>8.077509850581853</v>
      </c>
      <c r="AD3" s="198">
        <f>Run_Plan!H$25*Gas!$J$35</f>
        <v>0</v>
      </c>
      <c r="AE3" s="198">
        <f>Gas!$I$35</f>
        <v>4.3</v>
      </c>
      <c r="AF3" s="245">
        <f>Run_Plan!$L$35</f>
        <v>92.6742718</v>
      </c>
      <c r="AG3" s="211">
        <f>(100-$AE$3)/$AF$3</f>
        <v>1.0326490636638592</v>
      </c>
    </row>
    <row r="4" spans="2:33" x14ac:dyDescent="0.25">
      <c r="B4" s="11" t="s">
        <v>292</v>
      </c>
      <c r="C4" s="196">
        <f t="shared" ref="C4:J4" si="0">IFERROR(N7+N17+N24+N31,"")</f>
        <v>0.32739776138704535</v>
      </c>
      <c r="D4" s="196">
        <f t="shared" si="0"/>
        <v>0.32739776138704535</v>
      </c>
      <c r="E4" s="196">
        <f t="shared" si="0"/>
        <v>0</v>
      </c>
      <c r="F4" s="196">
        <f t="shared" si="0"/>
        <v>0.32739776138704535</v>
      </c>
      <c r="G4" s="196">
        <f t="shared" si="0"/>
        <v>0.32739776138704535</v>
      </c>
      <c r="H4" s="196">
        <f t="shared" si="0"/>
        <v>0.32739776138704535</v>
      </c>
      <c r="I4" s="196">
        <f t="shared" si="0"/>
        <v>0.32739776138704535</v>
      </c>
      <c r="J4" s="196">
        <f t="shared" si="0"/>
        <v>0.32739776138704535</v>
      </c>
      <c r="M4" s="11" t="s">
        <v>293</v>
      </c>
      <c r="N4" s="196">
        <f>IF(N$3="","",N$3*Gas!$J$37%)</f>
        <v>9.3143697343781735</v>
      </c>
      <c r="O4" s="196">
        <f>IF(O$3="","",O$3*Gas!$J$37%)</f>
        <v>9.3143697343781735</v>
      </c>
      <c r="P4" s="196">
        <f>IF(P$3="","",P$3*Gas!$J$37%)</f>
        <v>9.3143697343781735</v>
      </c>
      <c r="Q4" s="196">
        <f>IF(Q$3="","",Q$3*Gas!$J$37%)</f>
        <v>9.3143697343781735</v>
      </c>
      <c r="R4" s="196">
        <f>IF(R$3="","",R$3*Gas!$J$37%)</f>
        <v>9.3143697343781735</v>
      </c>
      <c r="S4" s="196">
        <f>IF(S$3="","",S$3*Gas!$J$37%)</f>
        <v>9.3143697343781735</v>
      </c>
      <c r="T4" s="196">
        <f>IF(T$3="","",T$3*Gas!$J$37%)</f>
        <v>9.3143697343781735</v>
      </c>
      <c r="U4" s="196">
        <f>IF(U$3="","",U$3*Gas!$J$37%)</f>
        <v>9.3143697343781735</v>
      </c>
      <c r="W4" s="203" t="s">
        <v>294</v>
      </c>
      <c r="X4" s="198">
        <f>IF(AF5=0,"",(1*$AF$5)/(0.0821*(0+273)))</f>
        <v>1.0660414251446861</v>
      </c>
    </row>
    <row r="5" spans="2:33" x14ac:dyDescent="0.25">
      <c r="B5" s="11"/>
      <c r="C5" s="196"/>
      <c r="D5" s="196"/>
      <c r="E5" s="196"/>
      <c r="F5" s="196"/>
      <c r="G5" s="196"/>
      <c r="H5" s="196"/>
      <c r="I5" s="196"/>
      <c r="J5" s="196"/>
      <c r="M5" s="11" t="s">
        <v>295</v>
      </c>
      <c r="N5" s="196">
        <f t="shared" ref="N5:U5" si="1">24/26.038</f>
        <v>0.92172977955296109</v>
      </c>
      <c r="O5" s="196">
        <f t="shared" si="1"/>
        <v>0.92172977955296109</v>
      </c>
      <c r="P5" s="196">
        <f t="shared" si="1"/>
        <v>0.92172977955296109</v>
      </c>
      <c r="Q5" s="196">
        <f t="shared" si="1"/>
        <v>0.92172977955296109</v>
      </c>
      <c r="R5" s="196">
        <f t="shared" si="1"/>
        <v>0.92172977955296109</v>
      </c>
      <c r="S5" s="196">
        <f t="shared" si="1"/>
        <v>0.92172977955296109</v>
      </c>
      <c r="T5" s="196">
        <f t="shared" si="1"/>
        <v>0.92172977955296109</v>
      </c>
      <c r="U5" s="196">
        <f t="shared" si="1"/>
        <v>0.92172977955296109</v>
      </c>
      <c r="W5" s="210" t="s">
        <v>296</v>
      </c>
      <c r="X5" s="211">
        <f t="shared" ref="X5:AE5" si="2">X$1*X$3%</f>
        <v>0.43519047585385184</v>
      </c>
      <c r="Y5" s="211">
        <f t="shared" si="2"/>
        <v>0.46714059449582856</v>
      </c>
      <c r="Z5" s="211">
        <f t="shared" si="2"/>
        <v>0.4199709272227159</v>
      </c>
      <c r="AA5" s="211">
        <f t="shared" si="2"/>
        <v>5.3483546849946752E-4</v>
      </c>
      <c r="AB5" s="211">
        <f t="shared" si="2"/>
        <v>17.298337355913429</v>
      </c>
      <c r="AC5" s="211">
        <f t="shared" si="2"/>
        <v>3.5549120852410732</v>
      </c>
      <c r="AD5" s="211">
        <f t="shared" si="2"/>
        <v>0</v>
      </c>
      <c r="AE5" s="211">
        <f t="shared" si="2"/>
        <v>1.7174199999999997</v>
      </c>
      <c r="AF5" s="211">
        <f>SUM(X5:AE5)</f>
        <v>23.893506274195399</v>
      </c>
    </row>
    <row r="6" spans="2:33" x14ac:dyDescent="0.25">
      <c r="B6" s="11" t="s">
        <v>297</v>
      </c>
      <c r="C6" s="196">
        <f t="shared" ref="C6:J6" si="3">N$36</f>
        <v>0</v>
      </c>
      <c r="D6" s="196">
        <f t="shared" si="3"/>
        <v>0</v>
      </c>
      <c r="E6" s="196">
        <f t="shared" si="3"/>
        <v>0</v>
      </c>
      <c r="F6" s="196">
        <f t="shared" si="3"/>
        <v>0</v>
      </c>
      <c r="G6" s="196">
        <f t="shared" si="3"/>
        <v>0</v>
      </c>
      <c r="H6" s="196">
        <f t="shared" si="3"/>
        <v>0</v>
      </c>
      <c r="I6" s="196">
        <f t="shared" si="3"/>
        <v>0</v>
      </c>
      <c r="J6" s="196">
        <f t="shared" si="3"/>
        <v>0</v>
      </c>
      <c r="M6" s="11" t="s">
        <v>298</v>
      </c>
      <c r="N6" s="196">
        <f t="shared" ref="N6:U6" si="4">IF(N$4="","",N$4*N5)</f>
        <v>8.5853319619431669</v>
      </c>
      <c r="O6" s="196">
        <f t="shared" si="4"/>
        <v>8.5853319619431669</v>
      </c>
      <c r="P6" s="196">
        <f t="shared" si="4"/>
        <v>8.5853319619431669</v>
      </c>
      <c r="Q6" s="196">
        <f t="shared" si="4"/>
        <v>8.5853319619431669</v>
      </c>
      <c r="R6" s="196">
        <f t="shared" si="4"/>
        <v>8.5853319619431669</v>
      </c>
      <c r="S6" s="196">
        <f t="shared" si="4"/>
        <v>8.5853319619431669</v>
      </c>
      <c r="T6" s="196">
        <f t="shared" si="4"/>
        <v>8.5853319619431669</v>
      </c>
      <c r="U6" s="196">
        <f t="shared" si="4"/>
        <v>8.5853319619431669</v>
      </c>
    </row>
    <row r="7" spans="2:33" x14ac:dyDescent="0.25">
      <c r="B7" s="11" t="s">
        <v>299</v>
      </c>
      <c r="C7" s="196">
        <f>IFERROR(SUM('R1_MB'!$AC$52:$AC$80),"")</f>
        <v>0.35150818691539937</v>
      </c>
      <c r="D7" s="196">
        <f>IFERROR(SUM('R2_MB'!$AC$52:$AC$80),"")</f>
        <v>0.35612386913721028</v>
      </c>
      <c r="E7" s="196" t="str">
        <f>IFERROR(SUM('R3_MB'!$AC$52:$AC$80),"")</f>
        <v/>
      </c>
      <c r="F7" s="196">
        <f>IFERROR(SUM('R4_MB'!$AC$52:$AC$80),"")</f>
        <v>0.32809113656371303</v>
      </c>
      <c r="G7" s="196">
        <f>IFERROR(SUM('R5_MB'!$AC$52:$AC$80),"")</f>
        <v>0.36515306900946276</v>
      </c>
      <c r="H7" s="196">
        <f>IFERROR(SUM('R6_MB'!$AC$52:$AC$80),"")</f>
        <v>0.36355400690568368</v>
      </c>
      <c r="I7" s="196">
        <f>IFERROR(SUM('R7_MB'!$AC$52:$AC$80),"")</f>
        <v>0.38005293890462988</v>
      </c>
      <c r="J7" s="196">
        <f>IFERROR(SUM('R8_MB'!$AC$52:$AC$80),"")</f>
        <v>0.28395406384405836</v>
      </c>
      <c r="M7" s="11" t="s">
        <v>300</v>
      </c>
      <c r="N7" s="196">
        <f>IF(Gas!B$12="","",Gas!B$12*N$6%)</f>
        <v>0.23916281893984537</v>
      </c>
      <c r="O7" s="196">
        <f>IF(Gas!C$12="","",Gas!C$12*O$6%)</f>
        <v>0.23916281893984537</v>
      </c>
      <c r="P7" s="196">
        <f>IF(Gas!D$12="","",Gas!D$12*P$6%)</f>
        <v>0</v>
      </c>
      <c r="Q7" s="196">
        <f>IF(Gas!E$12="","",Gas!E$12*Q$6%)</f>
        <v>0.23916281893984537</v>
      </c>
      <c r="R7" s="196">
        <f>IF(Gas!F$12="","",Gas!F$12*R$6%)</f>
        <v>0.23916281893984537</v>
      </c>
      <c r="S7" s="196">
        <f>IF(Gas!G$12="","",Gas!G$12*S$6%)</f>
        <v>0.23916281893984537</v>
      </c>
      <c r="T7" s="196">
        <f>IF(Gas!H$12="","",Gas!H$12*T$6%)</f>
        <v>0.23916281893984537</v>
      </c>
      <c r="U7" s="196">
        <f>IF(Gas!I$12="","",Gas!I$12*U$6%)</f>
        <v>0.23916281893984537</v>
      </c>
    </row>
    <row r="8" spans="2:33" x14ac:dyDescent="0.25">
      <c r="B8" s="11"/>
      <c r="C8" s="196"/>
      <c r="D8" s="196"/>
      <c r="E8" s="196"/>
      <c r="F8" s="196"/>
      <c r="G8" s="196"/>
      <c r="H8" s="196"/>
      <c r="I8" s="196"/>
      <c r="J8" s="196"/>
      <c r="M8" s="11" t="s">
        <v>301</v>
      </c>
      <c r="N8" s="196">
        <v>0.1027312578908938</v>
      </c>
      <c r="O8" s="196">
        <v>0.1027312578908938</v>
      </c>
      <c r="P8" s="196">
        <v>0</v>
      </c>
      <c r="Q8" s="196">
        <v>0.1027312578908938</v>
      </c>
      <c r="R8" s="196">
        <v>0.1027312578908938</v>
      </c>
      <c r="S8" s="196">
        <v>0.1027312578908938</v>
      </c>
      <c r="T8" s="196">
        <v>0.1027312578908938</v>
      </c>
      <c r="U8" s="196">
        <v>0.1027312578908938</v>
      </c>
    </row>
    <row r="9" spans="2:33" x14ac:dyDescent="0.25">
      <c r="B9" s="11" t="s">
        <v>302</v>
      </c>
      <c r="C9" s="197">
        <f t="shared" ref="C9:J9" si="5">IFERROR((C$6+C$7)/(C$3+C$4)*100,"")</f>
        <v>107.36426096079839</v>
      </c>
      <c r="D9" s="197">
        <f t="shared" si="5"/>
        <v>108.77406969078365</v>
      </c>
      <c r="E9" s="197" t="str">
        <f t="shared" si="5"/>
        <v/>
      </c>
      <c r="F9" s="197">
        <f t="shared" si="5"/>
        <v>100.21178372562174</v>
      </c>
      <c r="G9" s="197">
        <f t="shared" si="5"/>
        <v>111.5319382339281</v>
      </c>
      <c r="H9" s="197">
        <f t="shared" si="5"/>
        <v>111.04352252301899</v>
      </c>
      <c r="I9" s="197">
        <f t="shared" si="5"/>
        <v>116.08293755415642</v>
      </c>
      <c r="J9" s="197">
        <f t="shared" si="5"/>
        <v>86.730606416203187</v>
      </c>
      <c r="M9" s="11"/>
      <c r="N9" s="196"/>
      <c r="O9" s="196"/>
      <c r="P9" s="196"/>
      <c r="Q9" s="196"/>
      <c r="R9" s="196"/>
      <c r="S9" s="196"/>
      <c r="T9" s="196"/>
      <c r="U9" s="196"/>
    </row>
    <row r="11" spans="2:33" x14ac:dyDescent="0.25">
      <c r="B11" s="11" t="s">
        <v>303</v>
      </c>
      <c r="C11" s="196">
        <f>Liq!B$13</f>
        <v>0.50000000002910383</v>
      </c>
      <c r="D11" s="196">
        <f>Liq!C$13</f>
        <v>0.50000000002910383</v>
      </c>
      <c r="E11" s="196" t="str">
        <f>Liq!D$13</f>
        <v/>
      </c>
      <c r="F11" s="196">
        <f>Liq!E$13</f>
        <v>0.50000000002910383</v>
      </c>
      <c r="G11" s="196">
        <f>Liq!F$13</f>
        <v>0.50000000002910383</v>
      </c>
      <c r="H11" s="196">
        <f>Liq!G$13</f>
        <v>0.50000000002910383</v>
      </c>
      <c r="I11" s="196">
        <f>Liq!H$13</f>
        <v>0.50000000002910383</v>
      </c>
      <c r="J11" s="196">
        <f>Liq!I$13</f>
        <v>0.50000000002910383</v>
      </c>
    </row>
    <row r="12" spans="2:33" x14ac:dyDescent="0.25">
      <c r="B12" s="11" t="s">
        <v>304</v>
      </c>
      <c r="C12" s="196" t="str">
        <f>IF(Liq!B$17="","",Liq!B$17/Liq!B$8)</f>
        <v/>
      </c>
      <c r="D12" s="196" t="str">
        <f>IF(Liq!C$17="","",Liq!C$17/Liq!C$8)</f>
        <v/>
      </c>
      <c r="E12" s="196" t="str">
        <f>IF(Liq!D$17="","",Liq!D$17/Liq!D$8)</f>
        <v/>
      </c>
      <c r="F12" s="196" t="str">
        <f>IF(Liq!E$17="","",Liq!E$17/Liq!E$8)</f>
        <v/>
      </c>
      <c r="G12" s="196" t="str">
        <f>IF(Liq!F$17="","",Liq!F$17/Liq!F$8)</f>
        <v/>
      </c>
      <c r="H12" s="196" t="str">
        <f>IF(Liq!G$17="","",Liq!G$17/Liq!G$8)</f>
        <v/>
      </c>
      <c r="I12" s="196" t="str">
        <f>IF(Liq!H$17="","",Liq!H$17/Liq!H$8)</f>
        <v/>
      </c>
      <c r="J12" s="196" t="str">
        <f>IF(Liq!I$17="","",Liq!I$17/Liq!I$8)</f>
        <v/>
      </c>
    </row>
    <row r="13" spans="2:33" x14ac:dyDescent="0.25">
      <c r="B13" s="11" t="s">
        <v>305</v>
      </c>
      <c r="C13" s="198">
        <v>0</v>
      </c>
      <c r="D13" s="198">
        <v>0</v>
      </c>
      <c r="E13" s="198">
        <v>0</v>
      </c>
      <c r="F13" s="198">
        <v>0</v>
      </c>
      <c r="G13" s="198">
        <v>0</v>
      </c>
      <c r="H13" s="198">
        <v>0</v>
      </c>
      <c r="I13" s="198">
        <v>0</v>
      </c>
      <c r="J13" s="198">
        <v>0</v>
      </c>
      <c r="M13" s="11" t="s">
        <v>306</v>
      </c>
      <c r="N13" s="196">
        <f>Run_Plan!$D$36</f>
        <v>2.0267853395976245</v>
      </c>
      <c r="O13" s="196">
        <f>Run_Plan!$D$36</f>
        <v>2.0267853395976245</v>
      </c>
      <c r="P13" s="196">
        <f>Run_Plan!$D$36</f>
        <v>2.0267853395976245</v>
      </c>
      <c r="Q13" s="196">
        <f>Run_Plan!$D$36</f>
        <v>2.0267853395976245</v>
      </c>
      <c r="R13" s="196">
        <f>Run_Plan!$D$36</f>
        <v>2.0267853395976245</v>
      </c>
      <c r="S13" s="196">
        <f>Run_Plan!$D$36</f>
        <v>2.0267853395976245</v>
      </c>
      <c r="T13" s="196">
        <f>Run_Plan!$D$36</f>
        <v>2.0267853395976245</v>
      </c>
      <c r="U13" s="196">
        <f>Run_Plan!$D$36</f>
        <v>2.0267853395976245</v>
      </c>
    </row>
    <row r="14" spans="2:33" x14ac:dyDescent="0.25">
      <c r="B14" s="11" t="s">
        <v>307</v>
      </c>
      <c r="C14" s="199">
        <f>SUM('R1_MB'!$C$57:$C$73,'R1_MB'!$C$79)</f>
        <v>2.79614050969263E-3</v>
      </c>
      <c r="D14" s="199">
        <f>SUM('R2_MB'!$C$57:$C$73,'R2_MB'!$C$79)</f>
        <v>2.820460619690024E-3</v>
      </c>
      <c r="E14" s="199">
        <f>SUM('R3_MB'!$C$57:$C$73,'R3_MB'!$C$79)</f>
        <v>0</v>
      </c>
      <c r="F14" s="199">
        <f>SUM('R4_MB'!$C$57:$C$73,'R4_MB'!$C$79)</f>
        <v>6.9627671724325324E-2</v>
      </c>
      <c r="G14" s="199">
        <f>SUM('R5_MB'!$C$57:$C$73,'R5_MB'!$C$79)</f>
        <v>1.3751808137805702E-2</v>
      </c>
      <c r="H14" s="199">
        <f>SUM('R6_MB'!$C$57:$C$73,'R6_MB'!$C$79)</f>
        <v>1.4454385416106769E-2</v>
      </c>
      <c r="I14" s="199">
        <f>SUM('R7_MB'!$C$57:$C$73,'R7_MB'!$C$79)</f>
        <v>2.2512022732386776E-2</v>
      </c>
      <c r="J14" s="199">
        <f>SUM('R8_MB'!$C$57:$C$73,'R8_MB'!$C$79)</f>
        <v>0.10709052619949695</v>
      </c>
      <c r="M14" s="11" t="s">
        <v>308</v>
      </c>
      <c r="N14" s="196">
        <f>IF(N$13="","",N$13*Gas!$J$37%)</f>
        <v>1.8602392390866593</v>
      </c>
      <c r="O14" s="196">
        <f>IF(O$13="","",O$13*Gas!$J$37%)</f>
        <v>1.8602392390866593</v>
      </c>
      <c r="P14" s="196">
        <f>IF(P$13="","",P$13*Gas!$J$37%)</f>
        <v>1.8602392390866593</v>
      </c>
      <c r="Q14" s="196">
        <f>IF(Q$13="","",Q$13*Gas!$J$37%)</f>
        <v>1.8602392390866593</v>
      </c>
      <c r="R14" s="196">
        <f>IF(R$13="","",R$13*Gas!$J$37%)</f>
        <v>1.8602392390866593</v>
      </c>
      <c r="S14" s="196">
        <f>IF(S$13="","",S$13*Gas!$J$37%)</f>
        <v>1.8602392390866593</v>
      </c>
      <c r="T14" s="196">
        <f>IF(T$13="","",T$13*Gas!$J$37%)</f>
        <v>1.8602392390866593</v>
      </c>
      <c r="U14" s="196">
        <f>IF(U$13="","",U$13*Gas!$J$37%)</f>
        <v>1.8602392390866593</v>
      </c>
    </row>
    <row r="15" spans="2:33" x14ac:dyDescent="0.25">
      <c r="B15" s="11" t="s">
        <v>309</v>
      </c>
      <c r="C15" s="196" t="str">
        <f t="shared" ref="C15:J15" si="6">IF(C$12="","",((C$12+C$14)-(C$13+C$11))/(C$13+C$11)*100)</f>
        <v/>
      </c>
      <c r="D15" s="196" t="str">
        <f t="shared" si="6"/>
        <v/>
      </c>
      <c r="E15" s="196" t="str">
        <f t="shared" si="6"/>
        <v/>
      </c>
      <c r="F15" s="196" t="str">
        <f t="shared" si="6"/>
        <v/>
      </c>
      <c r="G15" s="196" t="str">
        <f t="shared" si="6"/>
        <v/>
      </c>
      <c r="H15" s="196" t="str">
        <f t="shared" si="6"/>
        <v/>
      </c>
      <c r="I15" s="196" t="str">
        <f t="shared" si="6"/>
        <v/>
      </c>
      <c r="J15" s="196" t="str">
        <f t="shared" si="6"/>
        <v/>
      </c>
      <c r="M15" s="11" t="s">
        <v>310</v>
      </c>
      <c r="N15" s="196">
        <f t="shared" ref="N15:U15" si="7">12/16</f>
        <v>0.75</v>
      </c>
      <c r="O15" s="196">
        <f t="shared" si="7"/>
        <v>0.75</v>
      </c>
      <c r="P15" s="196">
        <f t="shared" si="7"/>
        <v>0.75</v>
      </c>
      <c r="Q15" s="196">
        <f t="shared" si="7"/>
        <v>0.75</v>
      </c>
      <c r="R15" s="196">
        <f t="shared" si="7"/>
        <v>0.75</v>
      </c>
      <c r="S15" s="196">
        <f t="shared" si="7"/>
        <v>0.75</v>
      </c>
      <c r="T15" s="196">
        <f t="shared" si="7"/>
        <v>0.75</v>
      </c>
      <c r="U15" s="196">
        <f t="shared" si="7"/>
        <v>0.75</v>
      </c>
    </row>
    <row r="16" spans="2:33" x14ac:dyDescent="0.25">
      <c r="M16" s="11" t="s">
        <v>311</v>
      </c>
      <c r="N16" s="196">
        <f t="shared" ref="N16:U16" si="8">IF(N$14="","",N$14*N$15)</f>
        <v>1.3951794293149944</v>
      </c>
      <c r="O16" s="196">
        <f t="shared" si="8"/>
        <v>1.3951794293149944</v>
      </c>
      <c r="P16" s="196">
        <f t="shared" si="8"/>
        <v>1.3951794293149944</v>
      </c>
      <c r="Q16" s="196">
        <f t="shared" si="8"/>
        <v>1.3951794293149944</v>
      </c>
      <c r="R16" s="196">
        <f t="shared" si="8"/>
        <v>1.3951794293149944</v>
      </c>
      <c r="S16" s="196">
        <f t="shared" si="8"/>
        <v>1.3951794293149944</v>
      </c>
      <c r="T16" s="196">
        <f t="shared" si="8"/>
        <v>1.3951794293149944</v>
      </c>
      <c r="U16" s="196">
        <f t="shared" si="8"/>
        <v>1.3951794293149944</v>
      </c>
    </row>
    <row r="17" spans="2:21" x14ac:dyDescent="0.25">
      <c r="B17" s="200" t="s">
        <v>312</v>
      </c>
      <c r="C17" s="196">
        <f>IF(Gas!B$12="","",Gas!B$12*N$4%)</f>
        <v>0.25947172831482052</v>
      </c>
      <c r="D17" s="196">
        <f>IF(Gas!C$12="","",Gas!C$12*O$4%)</f>
        <v>0.25947172831482052</v>
      </c>
      <c r="E17" s="196">
        <f>IF(Gas!D$12="","",Gas!D$12*P$4%)</f>
        <v>0</v>
      </c>
      <c r="F17" s="196">
        <f>IF(Gas!E$12="","",Gas!E$12*Q$4%)</f>
        <v>0.25947172831482052</v>
      </c>
      <c r="G17" s="196">
        <f>IF(Gas!F$12="","",Gas!F$12*R$4%)</f>
        <v>0.25947172831482052</v>
      </c>
      <c r="H17" s="196">
        <f>IF(Gas!G$12="","",Gas!G$12*S$4%)</f>
        <v>0.25947172831482052</v>
      </c>
      <c r="I17" s="196">
        <f>IF(Gas!H$12="","",Gas!H$12*T$4%)</f>
        <v>0.25947172831482052</v>
      </c>
      <c r="J17" s="196">
        <f>IF(Gas!I$12="","",Gas!I$12*U$4%)</f>
        <v>0.25947172831482052</v>
      </c>
      <c r="M17" s="11" t="s">
        <v>313</v>
      </c>
      <c r="N17" s="196">
        <f>IF(N$16="","",Gas!B$12*N$16%)</f>
        <v>3.8865712673774838E-2</v>
      </c>
      <c r="O17" s="196">
        <f>IF(O$16="","",Gas!C$12*O$16%)</f>
        <v>3.8865712673774838E-2</v>
      </c>
      <c r="P17" s="196">
        <f>IF(P$16="","",Gas!D$12*P$16%)</f>
        <v>0</v>
      </c>
      <c r="Q17" s="196">
        <f>IF(Q$16="","",Gas!E$12*Q$16%)</f>
        <v>3.8865712673774838E-2</v>
      </c>
      <c r="R17" s="196">
        <f>IF(R$16="","",Gas!F$12*R$16%)</f>
        <v>3.8865712673774838E-2</v>
      </c>
      <c r="S17" s="196">
        <f>IF(S$16="","",Gas!G$12*S$16%)</f>
        <v>3.8865712673774838E-2</v>
      </c>
      <c r="T17" s="196">
        <f>IF(T$16="","",Gas!H$12*T$16%)</f>
        <v>3.8865712673774838E-2</v>
      </c>
      <c r="U17" s="196">
        <f>IF(U$16="","",Gas!I$12*U$16%)</f>
        <v>3.8865712673774838E-2</v>
      </c>
    </row>
    <row r="18" spans="2:21" x14ac:dyDescent="0.25">
      <c r="B18" s="200" t="s">
        <v>314</v>
      </c>
      <c r="C18" s="196">
        <f>'R1_MB'!$C$78</f>
        <v>0.27892707220018681</v>
      </c>
      <c r="D18" s="196">
        <f>'R2_MB'!$C$78</f>
        <v>0.28229275219036004</v>
      </c>
      <c r="E18" s="196" t="str">
        <f>'R3_MB'!$C$78</f>
        <v/>
      </c>
      <c r="F18" s="196">
        <f>'R4_MB'!$C$78</f>
        <v>0.13310528654835277</v>
      </c>
      <c r="G18" s="196">
        <f>'R5_MB'!$C$78</f>
        <v>0.27624976189313838</v>
      </c>
      <c r="H18" s="196">
        <f>'R6_MB'!$C$78</f>
        <v>0.27350976308715297</v>
      </c>
      <c r="I18" s="196">
        <f>'R7_MB'!$C$78</f>
        <v>0.28079413966034616</v>
      </c>
      <c r="J18" s="196">
        <f>'R8_MB'!$C$78</f>
        <v>2.7463947640707278E-3</v>
      </c>
      <c r="M18" s="11" t="s">
        <v>315</v>
      </c>
      <c r="N18" s="196">
        <f>IF(N14="","",N14*Gas!B$12%)</f>
        <v>5.1820950231699789E-2</v>
      </c>
      <c r="O18" s="196">
        <f>IF(O14="","",O14*Gas!C$12%)</f>
        <v>5.1820950231699789E-2</v>
      </c>
      <c r="P18" s="196">
        <f>IF(P14="","",P14*Gas!D$12%)</f>
        <v>0</v>
      </c>
      <c r="Q18" s="196">
        <f>IF(Q14="","",Q14*Gas!E$12%)</f>
        <v>5.1820950231699789E-2</v>
      </c>
      <c r="R18" s="196">
        <f>IF(R14="","",R14*Gas!F$12%)</f>
        <v>5.1820950231699789E-2</v>
      </c>
      <c r="S18" s="196">
        <f>IF(S14="","",S14*Gas!G$12%)</f>
        <v>5.1820950231699789E-2</v>
      </c>
      <c r="T18" s="196">
        <f>IF(T14="","",T14*Gas!H$12%)</f>
        <v>5.1820950231699789E-2</v>
      </c>
      <c r="U18" s="196">
        <f>IF(U14="","",U14*Gas!I$12%)</f>
        <v>5.1820950231699789E-2</v>
      </c>
    </row>
    <row r="19" spans="2:21" x14ac:dyDescent="0.25">
      <c r="B19" s="200" t="s">
        <v>316</v>
      </c>
      <c r="C19" s="196">
        <f t="shared" ref="C19:J19" si="9">IF(C$18="","",(C$17-C$18)/C$17*100)</f>
        <v>-7.4980592343227723</v>
      </c>
      <c r="D19" s="196">
        <f t="shared" si="9"/>
        <v>-8.7951870609388596</v>
      </c>
      <c r="E19" s="196" t="str">
        <f t="shared" si="9"/>
        <v/>
      </c>
      <c r="F19" s="196">
        <f t="shared" si="9"/>
        <v>48.701429857955716</v>
      </c>
      <c r="G19" s="196">
        <f t="shared" si="9"/>
        <v>-6.4662280115392186</v>
      </c>
      <c r="H19" s="196">
        <f t="shared" si="9"/>
        <v>-5.4102367388943113</v>
      </c>
      <c r="I19" s="196">
        <f t="shared" si="9"/>
        <v>-8.2176241257601994</v>
      </c>
      <c r="J19" s="196">
        <f t="shared" si="9"/>
        <v>98.941543735069857</v>
      </c>
    </row>
    <row r="20" spans="2:21" x14ac:dyDescent="0.25">
      <c r="B20" s="200" t="s">
        <v>317</v>
      </c>
      <c r="C20" s="201">
        <f>IFERROR(('R1_MB'!$C$54-N$32)/('R1_MB'!$C$53-N$25),"")</f>
        <v>60.230050818304463</v>
      </c>
      <c r="D20" s="201">
        <f>IFERROR(('R2_MB'!$C$54-O$32)/('R2_MB'!$C$53-O$25),"")</f>
        <v>64.530643224666917</v>
      </c>
      <c r="E20" s="201" t="str">
        <f>IFERROR(('R3_MB'!$C$54-P$32)/('R3_MB'!$C$53-P$25),"")</f>
        <v/>
      </c>
      <c r="F20" s="201">
        <f>IFERROR(('R4_MB'!$C$54-Q$32)/('R4_MB'!$C$53-Q$25),"")</f>
        <v>18.601916399157314</v>
      </c>
      <c r="G20" s="201">
        <f>IFERROR(('R5_MB'!$C$54-R$32)/('R5_MB'!$C$53-R$25),"")</f>
        <v>21.310246610769518</v>
      </c>
      <c r="H20" s="201">
        <f>IFERROR(('R6_MB'!$C$54-S$32)/('R6_MB'!$C$53-S$25),"")</f>
        <v>18.370299495667595</v>
      </c>
      <c r="I20" s="201">
        <f>IFERROR(('R7_MB'!$C$54-T$32)/('R7_MB'!$C$53-T$25),"")</f>
        <v>18.027289284824676</v>
      </c>
      <c r="J20" s="201">
        <f>IFERROR(('R8_MB'!$C$54-U$32)/('R8_MB'!$C$53-U$25),"")</f>
        <v>1.7303260080303762</v>
      </c>
      <c r="M20" s="11" t="s">
        <v>318</v>
      </c>
      <c r="N20" s="196">
        <f>Run_Plan!$E$36</f>
        <v>2.5806404962567578E-3</v>
      </c>
      <c r="O20" s="196">
        <f>Run_Plan!$E$36</f>
        <v>2.5806404962567578E-3</v>
      </c>
      <c r="P20" s="196">
        <f>Run_Plan!$E$36</f>
        <v>2.5806404962567578E-3</v>
      </c>
      <c r="Q20" s="196">
        <f>Run_Plan!$E$36</f>
        <v>2.5806404962567578E-3</v>
      </c>
      <c r="R20" s="196">
        <f>Run_Plan!$E$36</f>
        <v>2.5806404962567578E-3</v>
      </c>
      <c r="S20" s="196">
        <f>Run_Plan!$E$36</f>
        <v>2.5806404962567578E-3</v>
      </c>
      <c r="T20" s="196">
        <f>Run_Plan!$E$36</f>
        <v>2.5806404962567578E-3</v>
      </c>
      <c r="U20" s="196">
        <f>Run_Plan!$E$36</f>
        <v>2.5806404962567578E-3</v>
      </c>
    </row>
    <row r="21" spans="2:21" x14ac:dyDescent="0.25">
      <c r="B21" s="200" t="s">
        <v>319</v>
      </c>
      <c r="C21" s="201">
        <f>IF('R1_MB'!$C$90="","",'R1_MB'!$C$90/('R1_MB'!$C$90+'R1_MB'!$C$89+'R1_MB'!$C$91*1.5+'R1_MB'!$C$93*2+'R1_MB'!$C$97*2+'R1_MB'!$C$99*3+'R1_MB'!$C$100*3+'R1_MB'!$C$108*4)*100)</f>
        <v>96.752237018286451</v>
      </c>
      <c r="D21" s="201">
        <f>IF('R2_MB'!$C$90="","",'R2_MB'!$C$90/('R2_MB'!$C$90+'R2_MB'!$C$89+'R2_MB'!$C$91*1.5+'R2_MB'!$C$93*2+'R2_MB'!$C$97*2+'R2_MB'!$C$99*3+'R2_MB'!$C$100*3+'R2_MB'!$C$108*4)*100)</f>
        <v>96.853246193825953</v>
      </c>
      <c r="E21" s="201" t="str">
        <f>IF('R3_MB'!$C$90="","",'R3_MB'!$C$90/('R3_MB'!$C$90+'R3_MB'!$C$89+'R3_MB'!$C$91*1.5+'R3_MB'!$C$93*2+'R3_MB'!$C$97*2+'R3_MB'!$C$99*3+'R3_MB'!$C$100*3+'R3_MB'!$C$108*4)*100)</f>
        <v/>
      </c>
      <c r="F21" s="201">
        <f>IF('R4_MB'!$C$90="","",'R4_MB'!$C$90/('R4_MB'!$C$90+'R4_MB'!$C$89+'R4_MB'!$C$91*1.5+'R4_MB'!$C$93*2+'R4_MB'!$C$97*2+'R4_MB'!$C$99*3+'R4_MB'!$C$100*3+'R4_MB'!$C$108*4)*100)</f>
        <v>78.272078960145706</v>
      </c>
      <c r="G21" s="201">
        <f>IF('R5_MB'!$C$90="","",'R5_MB'!$C$90/('R5_MB'!$C$90+'R5_MB'!$C$89+'R5_MB'!$C$91*1.5+'R5_MB'!$C$93*2+'R5_MB'!$C$97*2+'R5_MB'!$C$99*3+'R5_MB'!$C$100*3+'R5_MB'!$C$108*4)*100)</f>
        <v>89.988150167800711</v>
      </c>
      <c r="H21" s="201">
        <f>IF('R6_MB'!$C$90="","",'R6_MB'!$C$90/('R6_MB'!$C$90+'R6_MB'!$C$89+'R6_MB'!$C$91*1.5+'R6_MB'!$C$93*2+'R6_MB'!$C$97*2+'R6_MB'!$C$99*3+'R6_MB'!$C$100*3+'R6_MB'!$C$108*4)*100)</f>
        <v>91.879356920772068</v>
      </c>
      <c r="I21" s="201">
        <f>IF('R7_MB'!$C$90="","",'R7_MB'!$C$90/('R7_MB'!$C$90+'R7_MB'!$C$89+'R7_MB'!$C$91*1.5+'R7_MB'!$C$93*2+'R7_MB'!$C$97*2+'R7_MB'!$C$99*3+'R7_MB'!$C$100*3+'R7_MB'!$C$108*4)*100)</f>
        <v>91.964844268595996</v>
      </c>
      <c r="J21" s="201">
        <f>IF('R8_MB'!$C$90="","",'R8_MB'!$C$90/('R8_MB'!$C$90+'R8_MB'!$C$89+'R8_MB'!$C$91*1.5+'R8_MB'!$C$93*2+'R8_MB'!$C$97*2+'R8_MB'!$C$99*3+'R8_MB'!$C$100*3+'R8_MB'!$C$108*4)*100)</f>
        <v>59.773759465034779</v>
      </c>
      <c r="M21" s="11" t="s">
        <v>320</v>
      </c>
      <c r="N21" s="196">
        <f>IF(N$20="","",N$20*Gas!$J$37%)</f>
        <v>2.3685827104245531E-3</v>
      </c>
      <c r="O21" s="196">
        <f>IF(O$20="","",O$20*Gas!$J$37%)</f>
        <v>2.3685827104245531E-3</v>
      </c>
      <c r="P21" s="196">
        <f>IF(P$20="","",P$20*Gas!$J$37%)</f>
        <v>2.3685827104245531E-3</v>
      </c>
      <c r="Q21" s="196">
        <f>IF(Q$20="","",Q$20*Gas!$J$37%)</f>
        <v>2.3685827104245531E-3</v>
      </c>
      <c r="R21" s="196">
        <f>IF(R$20="","",R$20*Gas!$J$37%)</f>
        <v>2.3685827104245531E-3</v>
      </c>
      <c r="S21" s="196">
        <f>IF(S$20="","",S$20*Gas!$J$37%)</f>
        <v>2.3685827104245531E-3</v>
      </c>
      <c r="T21" s="196">
        <f>IF(T$20="","",T$20*Gas!$J$37%)</f>
        <v>2.3685827104245531E-3</v>
      </c>
      <c r="U21" s="196">
        <f>IF(U$20="","",U$20*Gas!$J$37%)</f>
        <v>2.3685827104245531E-3</v>
      </c>
    </row>
    <row r="22" spans="2:21" x14ac:dyDescent="0.25">
      <c r="M22" s="11" t="s">
        <v>321</v>
      </c>
      <c r="N22" s="196">
        <f t="shared" ref="N22:U22" si="10">24/30.07</f>
        <v>0.7981376787495843</v>
      </c>
      <c r="O22" s="196">
        <f t="shared" si="10"/>
        <v>0.7981376787495843</v>
      </c>
      <c r="P22" s="196">
        <f t="shared" si="10"/>
        <v>0.7981376787495843</v>
      </c>
      <c r="Q22" s="196">
        <f t="shared" si="10"/>
        <v>0.7981376787495843</v>
      </c>
      <c r="R22" s="196">
        <f t="shared" si="10"/>
        <v>0.7981376787495843</v>
      </c>
      <c r="S22" s="196">
        <f t="shared" si="10"/>
        <v>0.7981376787495843</v>
      </c>
      <c r="T22" s="196">
        <f t="shared" si="10"/>
        <v>0.7981376787495843</v>
      </c>
      <c r="U22" s="196">
        <f t="shared" si="10"/>
        <v>0.7981376787495843</v>
      </c>
    </row>
    <row r="23" spans="2:21" x14ac:dyDescent="0.25">
      <c r="M23" s="11" t="s">
        <v>322</v>
      </c>
      <c r="N23" s="196">
        <f t="shared" ref="N23:U23" si="11">IF(N21="","",N22*N21)</f>
        <v>1.8904551064246517E-3</v>
      </c>
      <c r="O23" s="196">
        <f t="shared" si="11"/>
        <v>1.8904551064246517E-3</v>
      </c>
      <c r="P23" s="196">
        <f t="shared" si="11"/>
        <v>1.8904551064246517E-3</v>
      </c>
      <c r="Q23" s="196">
        <f t="shared" si="11"/>
        <v>1.8904551064246517E-3</v>
      </c>
      <c r="R23" s="196">
        <f t="shared" si="11"/>
        <v>1.8904551064246517E-3</v>
      </c>
      <c r="S23" s="196">
        <f t="shared" si="11"/>
        <v>1.8904551064246517E-3</v>
      </c>
      <c r="T23" s="196">
        <f t="shared" si="11"/>
        <v>1.8904551064246517E-3</v>
      </c>
      <c r="U23" s="196">
        <f t="shared" si="11"/>
        <v>1.8904551064246517E-3</v>
      </c>
    </row>
    <row r="24" spans="2:21" x14ac:dyDescent="0.25">
      <c r="M24" s="11" t="s">
        <v>323</v>
      </c>
      <c r="N24" s="196">
        <f>IF(N23="","",N23*Gas!B$12%)</f>
        <v>5.2662677964686722E-5</v>
      </c>
      <c r="O24" s="196">
        <f>IF(O23="","",O23*Gas!C$12%)</f>
        <v>5.2662677964686722E-5</v>
      </c>
      <c r="P24" s="196">
        <f>IF(P23="","",P23*Gas!D$12%)</f>
        <v>0</v>
      </c>
      <c r="Q24" s="196">
        <f>IF(Q23="","",Q23*Gas!E$12%)</f>
        <v>5.2662677964686722E-5</v>
      </c>
      <c r="R24" s="196">
        <f>IF(R23="","",R23*Gas!F$12%)</f>
        <v>5.2662677964686722E-5</v>
      </c>
      <c r="S24" s="196">
        <f>IF(S23="","",S23*Gas!G$12%)</f>
        <v>5.2662677964686722E-5</v>
      </c>
      <c r="T24" s="196">
        <f>IF(T23="","",T23*Gas!H$12%)</f>
        <v>5.2662677964686722E-5</v>
      </c>
      <c r="U24" s="196">
        <f>IF(U23="","",U23*Gas!I$12%)</f>
        <v>5.2662677964686722E-5</v>
      </c>
    </row>
    <row r="25" spans="2:21" x14ac:dyDescent="0.25">
      <c r="M25" s="200" t="s">
        <v>324</v>
      </c>
      <c r="N25" s="202">
        <f>IF(N21="","",N21*Gas!B$12%)</f>
        <v>6.5981946933255404E-5</v>
      </c>
      <c r="O25" s="202">
        <f>IF(O21="","",O21*Gas!C$12%)</f>
        <v>6.5981946933255404E-5</v>
      </c>
      <c r="P25" s="202">
        <f>IF(P21="","",P21*Gas!D$12%)</f>
        <v>0</v>
      </c>
      <c r="Q25" s="202">
        <f>IF(Q21="","",Q21*Gas!E$12%)</f>
        <v>6.5981946933255404E-5</v>
      </c>
      <c r="R25" s="202">
        <f>IF(R21="","",R21*Gas!F$12%)</f>
        <v>6.5981946933255404E-5</v>
      </c>
      <c r="S25" s="202">
        <f>IF(S21="","",S21*Gas!G$12%)</f>
        <v>6.5981946933255404E-5</v>
      </c>
      <c r="T25" s="202">
        <f>IF(T21="","",T21*Gas!H$12%)</f>
        <v>6.5981946933255404E-5</v>
      </c>
      <c r="U25" s="202">
        <f>IF(U21="","",U21*Gas!I$12%)</f>
        <v>6.5981946933255404E-5</v>
      </c>
    </row>
    <row r="26" spans="2:21" x14ac:dyDescent="0.25">
      <c r="N26" s="196"/>
      <c r="O26" s="196"/>
      <c r="P26" s="196"/>
      <c r="Q26" s="196"/>
      <c r="R26" s="196"/>
      <c r="S26" s="196"/>
      <c r="T26" s="196"/>
      <c r="U26" s="196"/>
    </row>
    <row r="27" spans="2:21" x14ac:dyDescent="0.25">
      <c r="M27" s="11" t="s">
        <v>325</v>
      </c>
      <c r="N27" s="196">
        <f>Run_Plan!$C$36</f>
        <v>2.2543266425851143</v>
      </c>
      <c r="O27" s="196">
        <f>Run_Plan!$C$36</f>
        <v>2.2543266425851143</v>
      </c>
      <c r="P27" s="196">
        <f>Run_Plan!$C$36</f>
        <v>2.2543266425851143</v>
      </c>
      <c r="Q27" s="196">
        <f>Run_Plan!$C$36</f>
        <v>2.2543266425851143</v>
      </c>
      <c r="R27" s="196">
        <f>Run_Plan!$C$36</f>
        <v>2.2543266425851143</v>
      </c>
      <c r="S27" s="196">
        <f>Run_Plan!$C$36</f>
        <v>2.2543266425851143</v>
      </c>
      <c r="T27" s="196">
        <f>Run_Plan!$C$36</f>
        <v>2.2543266425851143</v>
      </c>
      <c r="U27" s="196">
        <f>Run_Plan!$C$36</f>
        <v>2.2543266425851143</v>
      </c>
    </row>
    <row r="28" spans="2:21" x14ac:dyDescent="0.25">
      <c r="M28" s="11" t="s">
        <v>326</v>
      </c>
      <c r="N28" s="196">
        <f>IF(N27="","",N27*Gas!$J$37%)</f>
        <v>2.0690828951268538</v>
      </c>
      <c r="O28" s="196">
        <f>IF(O27="","",O27*Gas!$J$37%)</f>
        <v>2.0690828951268538</v>
      </c>
      <c r="P28" s="196">
        <f>IF(P27="","",P27*Gas!$J$37%)</f>
        <v>2.0690828951268538</v>
      </c>
      <c r="Q28" s="196">
        <f>IF(Q27="","",Q27*Gas!$J$37%)</f>
        <v>2.0690828951268538</v>
      </c>
      <c r="R28" s="196">
        <f>IF(R27="","",R27*Gas!$J$37%)</f>
        <v>2.0690828951268538</v>
      </c>
      <c r="S28" s="196">
        <f>IF(S27="","",S27*Gas!$J$37%)</f>
        <v>2.0690828951268538</v>
      </c>
      <c r="T28" s="196">
        <f>IF(T27="","",T27*Gas!$J$37%)</f>
        <v>2.0690828951268538</v>
      </c>
      <c r="U28" s="196">
        <f>IF(U27="","",U27*Gas!$J$37%)</f>
        <v>2.0690828951268538</v>
      </c>
    </row>
    <row r="29" spans="2:21" x14ac:dyDescent="0.25">
      <c r="M29" s="11" t="s">
        <v>327</v>
      </c>
      <c r="N29" s="196">
        <f t="shared" ref="N29:U29" si="12">24/28.05</f>
        <v>0.85561497326203206</v>
      </c>
      <c r="O29" s="196">
        <f t="shared" si="12"/>
        <v>0.85561497326203206</v>
      </c>
      <c r="P29" s="196">
        <f t="shared" si="12"/>
        <v>0.85561497326203206</v>
      </c>
      <c r="Q29" s="196">
        <f t="shared" si="12"/>
        <v>0.85561497326203206</v>
      </c>
      <c r="R29" s="196">
        <f t="shared" si="12"/>
        <v>0.85561497326203206</v>
      </c>
      <c r="S29" s="196">
        <f t="shared" si="12"/>
        <v>0.85561497326203206</v>
      </c>
      <c r="T29" s="196">
        <f t="shared" si="12"/>
        <v>0.85561497326203206</v>
      </c>
      <c r="U29" s="196">
        <f t="shared" si="12"/>
        <v>0.85561497326203206</v>
      </c>
    </row>
    <row r="30" spans="2:21" x14ac:dyDescent="0.25">
      <c r="M30" s="11" t="s">
        <v>328</v>
      </c>
      <c r="N30" s="196">
        <f t="shared" ref="N30:U30" si="13">IF(N28="","",N29*N28)</f>
        <v>1.770338305990891</v>
      </c>
      <c r="O30" s="196">
        <f t="shared" si="13"/>
        <v>1.770338305990891</v>
      </c>
      <c r="P30" s="196">
        <f t="shared" si="13"/>
        <v>1.770338305990891</v>
      </c>
      <c r="Q30" s="196">
        <f t="shared" si="13"/>
        <v>1.770338305990891</v>
      </c>
      <c r="R30" s="196">
        <f t="shared" si="13"/>
        <v>1.770338305990891</v>
      </c>
      <c r="S30" s="196">
        <f t="shared" si="13"/>
        <v>1.770338305990891</v>
      </c>
      <c r="T30" s="196">
        <f t="shared" si="13"/>
        <v>1.770338305990891</v>
      </c>
      <c r="U30" s="196">
        <f t="shared" si="13"/>
        <v>1.770338305990891</v>
      </c>
    </row>
    <row r="31" spans="2:21" x14ac:dyDescent="0.25">
      <c r="M31" s="11" t="s">
        <v>329</v>
      </c>
      <c r="N31" s="196">
        <f>IF(N30="","",N30*Gas!B$12%)</f>
        <v>4.9316567095460534E-2</v>
      </c>
      <c r="O31" s="196">
        <f>IF(O30="","",O30*Gas!C$12%)</f>
        <v>4.9316567095460534E-2</v>
      </c>
      <c r="P31" s="196">
        <f>IF(P30="","",P30*Gas!D$12%)</f>
        <v>0</v>
      </c>
      <c r="Q31" s="196">
        <f>IF(Q30="","",Q30*Gas!E$12%)</f>
        <v>4.9316567095460534E-2</v>
      </c>
      <c r="R31" s="196">
        <f>IF(R30="","",R30*Gas!F$12%)</f>
        <v>4.9316567095460534E-2</v>
      </c>
      <c r="S31" s="196">
        <f>IF(S30="","",S30*Gas!G$12%)</f>
        <v>4.9316567095460534E-2</v>
      </c>
      <c r="T31" s="196">
        <f>IF(T30="","",T30*Gas!H$12%)</f>
        <v>4.9316567095460534E-2</v>
      </c>
      <c r="U31" s="196">
        <f>IF(U30="","",U30*Gas!I$12%)</f>
        <v>4.9316567095460534E-2</v>
      </c>
    </row>
    <row r="32" spans="2:21" x14ac:dyDescent="0.25">
      <c r="M32" s="200" t="s">
        <v>330</v>
      </c>
      <c r="N32" s="196">
        <f>IF(N28="","",N28*Gas!B$12%)</f>
        <v>5.7638737792819493E-2</v>
      </c>
      <c r="O32" s="196">
        <f>IF(O28="","",O28*Gas!C$12%)</f>
        <v>5.7638737792819493E-2</v>
      </c>
      <c r="P32" s="196">
        <f>IF(P28="","",P28*Gas!D$12%)</f>
        <v>0</v>
      </c>
      <c r="Q32" s="196">
        <f>IF(Q28="","",Q28*Gas!E$12%)</f>
        <v>5.7638737792819493E-2</v>
      </c>
      <c r="R32" s="196">
        <f>IF(R28="","",R28*Gas!F$12%)</f>
        <v>5.7638737792819493E-2</v>
      </c>
      <c r="S32" s="196">
        <f>IF(S28="","",S28*Gas!G$12%)</f>
        <v>5.7638737792819493E-2</v>
      </c>
      <c r="T32" s="196">
        <f>IF(T28="","",T28*Gas!H$12%)</f>
        <v>5.7638737792819493E-2</v>
      </c>
      <c r="U32" s="196">
        <f>IF(U28="","",U28*Gas!I$12%)</f>
        <v>5.7638737792819493E-2</v>
      </c>
    </row>
    <row r="33" spans="13:23" x14ac:dyDescent="0.25">
      <c r="N33" s="196"/>
      <c r="O33" s="196"/>
      <c r="P33" s="196"/>
      <c r="Q33" s="196"/>
      <c r="R33" s="196"/>
      <c r="S33" s="196"/>
      <c r="T33" s="196"/>
      <c r="U33" s="196"/>
    </row>
    <row r="34" spans="13:23" x14ac:dyDescent="0.25">
      <c r="M34" s="11" t="s">
        <v>331</v>
      </c>
      <c r="N34" s="209">
        <v>84.864999999999995</v>
      </c>
      <c r="O34" s="209">
        <v>84.864999999999995</v>
      </c>
      <c r="P34" s="209">
        <v>84.864999999999995</v>
      </c>
      <c r="Q34" s="209">
        <v>84.864999999999995</v>
      </c>
      <c r="R34" s="209">
        <v>84.864999999999995</v>
      </c>
      <c r="S34" s="209">
        <v>84.864999999999995</v>
      </c>
      <c r="T34" s="209">
        <v>84.864999999999995</v>
      </c>
      <c r="U34" s="209">
        <v>84.864999999999995</v>
      </c>
      <c r="V34" s="248" t="s">
        <v>332</v>
      </c>
      <c r="W34" s="248"/>
    </row>
    <row r="35" spans="13:23" x14ac:dyDescent="0.25">
      <c r="M35" s="11" t="s">
        <v>333</v>
      </c>
      <c r="N35" s="196">
        <f>Liq!B$17*N$34%</f>
        <v>0</v>
      </c>
      <c r="O35" s="196">
        <f>Liq!C$17*O$34%</f>
        <v>0</v>
      </c>
      <c r="P35" s="196">
        <f>Liq!D$17*P$34%</f>
        <v>0</v>
      </c>
      <c r="Q35" s="196">
        <f>Liq!E$17*Q$34%</f>
        <v>0</v>
      </c>
      <c r="R35" s="196">
        <f>Liq!F$17*R$34%</f>
        <v>0</v>
      </c>
      <c r="S35" s="196">
        <f>Liq!G$17*S$34%</f>
        <v>0</v>
      </c>
      <c r="T35" s="196">
        <f>Liq!H$17*T$34%</f>
        <v>0</v>
      </c>
      <c r="U35" s="196">
        <f>Liq!I$17*U$34%</f>
        <v>0</v>
      </c>
    </row>
    <row r="36" spans="13:23" x14ac:dyDescent="0.25">
      <c r="M36" s="11" t="s">
        <v>334</v>
      </c>
      <c r="N36" s="196">
        <f>IF(Liq!B$8="","",N$35/Liq!B$8)</f>
        <v>0</v>
      </c>
      <c r="O36" s="196">
        <f>IF(Liq!C$8="","",O$35/Liq!C$8)</f>
        <v>0</v>
      </c>
      <c r="P36" s="196">
        <f>IF(Liq!D$8="","",P$35/Liq!D$8)</f>
        <v>0</v>
      </c>
      <c r="Q36" s="196">
        <f>IF(Liq!E$8="","",Q$35/Liq!E$8)</f>
        <v>0</v>
      </c>
      <c r="R36" s="196">
        <f>IF(Liq!F$8="","",R$35/Liq!F$8)</f>
        <v>0</v>
      </c>
      <c r="S36" s="196">
        <f>IF(Liq!G$8="","",S$35/Liq!G$8)</f>
        <v>0</v>
      </c>
      <c r="T36" s="196">
        <f>IF(Liq!H$8="","",T$35/Liq!H$8)</f>
        <v>0</v>
      </c>
      <c r="U36" s="196">
        <f>IF(Liq!I$8="","",U$35/Liq!I$8)</f>
        <v>0</v>
      </c>
    </row>
  </sheetData>
  <conditionalFormatting sqref="C15:J15">
    <cfRule type="cellIs" dxfId="47" priority="4" operator="lessThan">
      <formula>0</formula>
    </cfRule>
  </conditionalFormatting>
  <conditionalFormatting sqref="C19:J19">
    <cfRule type="cellIs" dxfId="46" priority="3" operator="lessThan">
      <formula>0</formula>
    </cfRule>
  </conditionalFormatting>
  <conditionalFormatting sqref="N34:U34">
    <cfRule type="expression" dxfId="45" priority="1">
      <formula>(N$34="")</formula>
    </cfRule>
  </conditionalFormatting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J167"/>
  <sheetViews>
    <sheetView showGridLines="0" workbookViewId="0">
      <selection activeCell="D13" sqref="D13"/>
    </sheetView>
  </sheetViews>
  <sheetFormatPr defaultRowHeight="15" x14ac:dyDescent="0.25"/>
  <cols>
    <col min="1" max="1" width="38.5703125" bestFit="1" customWidth="1"/>
    <col min="2" max="9" width="16.85546875" bestFit="1" customWidth="1"/>
    <col min="10" max="10" width="14.42578125" bestFit="1" customWidth="1"/>
    <col min="11" max="11" width="29.7109375" bestFit="1" customWidth="1"/>
    <col min="12" max="14" width="14.42578125" bestFit="1" customWidth="1"/>
    <col min="15" max="16" width="13.42578125" bestFit="1" customWidth="1"/>
    <col min="17" max="20" width="14.42578125" bestFit="1" customWidth="1"/>
    <col min="21" max="21" width="29.7109375" bestFit="1" customWidth="1"/>
    <col min="22" max="24" width="13.42578125" bestFit="1" customWidth="1"/>
    <col min="25" max="28" width="12.28515625" bestFit="1" customWidth="1"/>
    <col min="29" max="29" width="8.42578125" bestFit="1" customWidth="1"/>
  </cols>
  <sheetData>
    <row r="1" spans="1:36" x14ac:dyDescent="0.25">
      <c r="A1" s="268" t="s">
        <v>335</v>
      </c>
      <c r="B1" s="258"/>
      <c r="C1" s="258"/>
      <c r="D1" s="258"/>
      <c r="E1" s="258"/>
      <c r="F1" s="258"/>
      <c r="G1" s="258"/>
      <c r="H1" s="258"/>
      <c r="I1" s="259"/>
      <c r="K1" s="268" t="s">
        <v>336</v>
      </c>
      <c r="L1" s="258"/>
      <c r="M1" s="258"/>
      <c r="N1" s="258"/>
      <c r="O1" s="258"/>
      <c r="P1" s="258"/>
      <c r="Q1" s="258"/>
      <c r="R1" s="258"/>
      <c r="S1" s="259"/>
      <c r="U1" s="268" t="s">
        <v>337</v>
      </c>
      <c r="V1" s="258"/>
      <c r="W1" s="258"/>
      <c r="X1" s="258"/>
      <c r="Y1" s="258"/>
      <c r="Z1" s="258"/>
      <c r="AA1" s="258"/>
      <c r="AB1" s="258"/>
      <c r="AC1" s="259"/>
    </row>
    <row r="2" spans="1:36" x14ac:dyDescent="0.25">
      <c r="A2" s="9" t="s">
        <v>338</v>
      </c>
      <c r="B2" s="183"/>
      <c r="C2" s="42"/>
      <c r="D2" s="42"/>
      <c r="E2" s="2"/>
      <c r="F2" s="2"/>
      <c r="G2" s="2"/>
      <c r="H2" s="2"/>
      <c r="I2" s="2"/>
      <c r="K2" s="9" t="s">
        <v>338</v>
      </c>
      <c r="L2" s="183"/>
      <c r="M2" s="42"/>
      <c r="N2" s="42"/>
      <c r="O2" s="2"/>
      <c r="P2" s="2"/>
      <c r="Q2" s="2"/>
      <c r="R2" s="2"/>
      <c r="S2" s="2"/>
      <c r="U2" s="9" t="s">
        <v>338</v>
      </c>
      <c r="V2" s="183"/>
      <c r="W2" s="42"/>
      <c r="X2" s="42"/>
      <c r="Y2" s="2"/>
      <c r="Z2" s="2"/>
      <c r="AA2" s="2"/>
      <c r="AB2" s="2"/>
      <c r="AC2" s="2"/>
    </row>
    <row r="3" spans="1:36" x14ac:dyDescent="0.25">
      <c r="A3" s="9" t="s">
        <v>123</v>
      </c>
      <c r="B3" s="214" t="str">
        <f>Liq!$B$4</f>
        <v>C1-S1</v>
      </c>
      <c r="C3" s="42"/>
      <c r="D3" s="42"/>
      <c r="E3" s="2"/>
      <c r="F3" s="2"/>
      <c r="G3" s="2"/>
      <c r="H3" s="2"/>
      <c r="I3" s="2"/>
      <c r="K3" s="9" t="s">
        <v>123</v>
      </c>
      <c r="L3" s="214" t="str">
        <f>Liq!$B$4</f>
        <v>C1-S1</v>
      </c>
      <c r="M3" s="42"/>
      <c r="N3" s="42"/>
      <c r="O3" s="2"/>
      <c r="P3" s="2"/>
      <c r="Q3" s="2"/>
      <c r="R3" s="2"/>
      <c r="S3" s="2"/>
      <c r="U3" s="9" t="s">
        <v>123</v>
      </c>
      <c r="V3" s="214" t="str">
        <f>Liq!$B$4</f>
        <v>C1-S1</v>
      </c>
      <c r="W3" s="42"/>
      <c r="X3" s="42"/>
      <c r="Y3" s="2"/>
      <c r="Z3" s="2"/>
      <c r="AA3" s="2"/>
      <c r="AB3" s="2"/>
      <c r="AC3" s="2"/>
    </row>
    <row r="4" spans="1:36" x14ac:dyDescent="0.25">
      <c r="A4" s="9" t="s">
        <v>124</v>
      </c>
      <c r="B4" s="184">
        <v>45424.583333333336</v>
      </c>
      <c r="C4" s="184">
        <v>45424.583333333336</v>
      </c>
      <c r="D4" s="184"/>
      <c r="E4" s="184">
        <v>45424.583333333336</v>
      </c>
      <c r="F4" s="184">
        <v>45424.583333333336</v>
      </c>
      <c r="G4" s="184">
        <v>45424.583333333336</v>
      </c>
      <c r="H4" s="184">
        <v>45424.583333333336</v>
      </c>
      <c r="I4" s="184">
        <v>45424.583333333336</v>
      </c>
      <c r="K4" s="9" t="s">
        <v>124</v>
      </c>
      <c r="L4" s="184"/>
      <c r="M4" s="184"/>
      <c r="N4" s="184"/>
      <c r="O4" s="184"/>
      <c r="P4" s="184"/>
      <c r="Q4" s="184"/>
      <c r="R4" s="184"/>
      <c r="S4" s="184"/>
      <c r="U4" s="9" t="s">
        <v>124</v>
      </c>
      <c r="V4" s="184"/>
      <c r="W4" s="184"/>
      <c r="X4" s="184"/>
      <c r="Y4" s="184"/>
      <c r="Z4" s="184"/>
      <c r="AA4" s="184"/>
      <c r="AB4" s="184"/>
      <c r="AC4" s="184"/>
    </row>
    <row r="5" spans="1:36" x14ac:dyDescent="0.25">
      <c r="A5" s="9" t="s">
        <v>125</v>
      </c>
      <c r="B5" s="184">
        <v>45424.625</v>
      </c>
      <c r="C5" s="184">
        <v>45424.625</v>
      </c>
      <c r="D5" s="184"/>
      <c r="E5" s="184">
        <v>45424.625</v>
      </c>
      <c r="F5" s="184">
        <v>45424.625</v>
      </c>
      <c r="G5" s="184">
        <v>45424.625</v>
      </c>
      <c r="H5" s="184">
        <v>45424.625</v>
      </c>
      <c r="I5" s="184">
        <v>45424.625</v>
      </c>
      <c r="K5" s="9" t="s">
        <v>125</v>
      </c>
      <c r="L5" s="184"/>
      <c r="M5" s="184"/>
      <c r="N5" s="184"/>
      <c r="O5" s="184"/>
      <c r="P5" s="184"/>
      <c r="Q5" s="184"/>
      <c r="R5" s="184"/>
      <c r="S5" s="184"/>
      <c r="U5" s="9" t="s">
        <v>125</v>
      </c>
      <c r="V5" s="184"/>
      <c r="W5" s="184"/>
      <c r="X5" s="184"/>
      <c r="Y5" s="184"/>
      <c r="Z5" s="184"/>
      <c r="AA5" s="184"/>
      <c r="AB5" s="184"/>
      <c r="AC5" s="184"/>
    </row>
    <row r="6" spans="1:36" x14ac:dyDescent="0.25">
      <c r="A6" s="9" t="s">
        <v>126</v>
      </c>
      <c r="B6" s="41">
        <f t="shared" ref="B6:I6" si="0">IF(OR(B$4="", B$5=""), "", (B$5-B$4)*1440)</f>
        <v>59.99999999650754</v>
      </c>
      <c r="C6" s="41">
        <f t="shared" si="0"/>
        <v>59.99999999650754</v>
      </c>
      <c r="D6" s="41" t="str">
        <f t="shared" si="0"/>
        <v/>
      </c>
      <c r="E6" s="41">
        <f t="shared" si="0"/>
        <v>59.99999999650754</v>
      </c>
      <c r="F6" s="41">
        <f t="shared" si="0"/>
        <v>59.99999999650754</v>
      </c>
      <c r="G6" s="41">
        <f t="shared" si="0"/>
        <v>59.99999999650754</v>
      </c>
      <c r="H6" s="41">
        <f t="shared" si="0"/>
        <v>59.99999999650754</v>
      </c>
      <c r="I6" s="41">
        <f t="shared" si="0"/>
        <v>59.99999999650754</v>
      </c>
      <c r="K6" s="9" t="s">
        <v>126</v>
      </c>
      <c r="L6" s="41" t="str">
        <f t="shared" ref="L6:S6" si="1">IF(OR(L$4="", L$5=""), "", (L$5-L$4)*1440)</f>
        <v/>
      </c>
      <c r="M6" s="41" t="str">
        <f t="shared" si="1"/>
        <v/>
      </c>
      <c r="N6" s="41" t="str">
        <f t="shared" si="1"/>
        <v/>
      </c>
      <c r="O6" s="41" t="str">
        <f t="shared" si="1"/>
        <v/>
      </c>
      <c r="P6" s="41" t="str">
        <f t="shared" si="1"/>
        <v/>
      </c>
      <c r="Q6" s="41" t="str">
        <f t="shared" si="1"/>
        <v/>
      </c>
      <c r="R6" s="41" t="str">
        <f t="shared" si="1"/>
        <v/>
      </c>
      <c r="S6" s="41" t="str">
        <f t="shared" si="1"/>
        <v/>
      </c>
      <c r="U6" s="9" t="s">
        <v>126</v>
      </c>
      <c r="V6" s="41" t="str">
        <f t="shared" ref="V6:AC6" si="2">IF(OR(V$4="", V$5=""), "", (V$5-V$4)*1440)</f>
        <v/>
      </c>
      <c r="W6" s="41" t="str">
        <f t="shared" si="2"/>
        <v/>
      </c>
      <c r="X6" s="41" t="str">
        <f t="shared" si="2"/>
        <v/>
      </c>
      <c r="Y6" s="41" t="str">
        <f t="shared" si="2"/>
        <v/>
      </c>
      <c r="Z6" s="41" t="str">
        <f t="shared" si="2"/>
        <v/>
      </c>
      <c r="AA6" s="41" t="str">
        <f t="shared" si="2"/>
        <v/>
      </c>
      <c r="AB6" s="41" t="str">
        <f t="shared" si="2"/>
        <v/>
      </c>
      <c r="AC6" s="41" t="str">
        <f t="shared" si="2"/>
        <v/>
      </c>
    </row>
    <row r="7" spans="1:36" x14ac:dyDescent="0.25">
      <c r="A7" s="9" t="s">
        <v>127</v>
      </c>
      <c r="B7" s="177">
        <f t="shared" ref="B7:I7" si="3">B6/60</f>
        <v>0.99999999994179234</v>
      </c>
      <c r="C7" s="177">
        <f t="shared" si="3"/>
        <v>0.99999999994179234</v>
      </c>
      <c r="D7" s="177" t="e">
        <f t="shared" si="3"/>
        <v>#VALUE!</v>
      </c>
      <c r="E7" s="177">
        <f t="shared" si="3"/>
        <v>0.99999999994179234</v>
      </c>
      <c r="F7" s="177">
        <f t="shared" si="3"/>
        <v>0.99999999994179234</v>
      </c>
      <c r="G7" s="177">
        <f t="shared" si="3"/>
        <v>0.99999999994179234</v>
      </c>
      <c r="H7" s="177">
        <f t="shared" si="3"/>
        <v>0.99999999994179234</v>
      </c>
      <c r="I7" s="177">
        <f t="shared" si="3"/>
        <v>0.99999999994179234</v>
      </c>
      <c r="K7" s="9" t="s">
        <v>127</v>
      </c>
      <c r="L7" s="177"/>
      <c r="M7" s="177"/>
      <c r="N7" s="177"/>
      <c r="O7" s="177"/>
      <c r="P7" s="177"/>
      <c r="Q7" s="177"/>
      <c r="R7" s="177"/>
      <c r="S7" s="177"/>
      <c r="U7" s="9" t="s">
        <v>127</v>
      </c>
      <c r="V7" s="177"/>
      <c r="W7" s="177"/>
      <c r="X7" s="177"/>
      <c r="Y7" s="177"/>
      <c r="Z7" s="177"/>
      <c r="AA7" s="177"/>
      <c r="AB7" s="177"/>
      <c r="AC7" s="177"/>
    </row>
    <row r="9" spans="1:36" x14ac:dyDescent="0.25">
      <c r="A9" s="32"/>
      <c r="B9" s="10" t="s">
        <v>8</v>
      </c>
      <c r="C9" s="10" t="s">
        <v>11</v>
      </c>
      <c r="D9" s="10" t="s">
        <v>12</v>
      </c>
      <c r="E9" s="10" t="s">
        <v>13</v>
      </c>
      <c r="F9" s="10" t="s">
        <v>22</v>
      </c>
      <c r="G9" s="10" t="s">
        <v>23</v>
      </c>
      <c r="H9" s="10" t="s">
        <v>24</v>
      </c>
      <c r="I9" s="10" t="s">
        <v>25</v>
      </c>
      <c r="K9" s="32"/>
      <c r="L9" s="10" t="s">
        <v>8</v>
      </c>
      <c r="M9" s="10" t="s">
        <v>11</v>
      </c>
      <c r="N9" s="10" t="s">
        <v>12</v>
      </c>
      <c r="O9" s="10" t="s">
        <v>13</v>
      </c>
      <c r="P9" s="10" t="s">
        <v>22</v>
      </c>
      <c r="Q9" s="10" t="s">
        <v>23</v>
      </c>
      <c r="R9" s="10" t="s">
        <v>24</v>
      </c>
      <c r="S9" s="10" t="s">
        <v>25</v>
      </c>
      <c r="U9" s="32"/>
      <c r="V9" s="10" t="s">
        <v>8</v>
      </c>
      <c r="W9" s="10" t="s">
        <v>11</v>
      </c>
      <c r="X9" s="10" t="s">
        <v>12</v>
      </c>
      <c r="Y9" s="10" t="s">
        <v>13</v>
      </c>
      <c r="Z9" s="10" t="s">
        <v>22</v>
      </c>
      <c r="AA9" s="10" t="s">
        <v>23</v>
      </c>
      <c r="AB9" s="10" t="s">
        <v>24</v>
      </c>
      <c r="AC9" s="10" t="s">
        <v>25</v>
      </c>
    </row>
    <row r="10" spans="1:36" x14ac:dyDescent="0.25">
      <c r="A10" s="9" t="s">
        <v>339</v>
      </c>
      <c r="B10" s="119">
        <v>0.5</v>
      </c>
      <c r="C10" s="119">
        <v>0.5</v>
      </c>
      <c r="D10" s="119"/>
      <c r="E10" s="119">
        <v>0.5</v>
      </c>
      <c r="F10" s="119">
        <v>0.5</v>
      </c>
      <c r="G10" s="119">
        <v>0.5</v>
      </c>
      <c r="H10" s="119">
        <v>0.5</v>
      </c>
      <c r="I10" s="119">
        <v>0.5</v>
      </c>
      <c r="K10" s="9" t="s">
        <v>339</v>
      </c>
      <c r="L10" s="119"/>
      <c r="M10" s="119"/>
      <c r="N10" s="119"/>
      <c r="O10" s="119"/>
      <c r="P10" s="119"/>
      <c r="Q10" s="119"/>
      <c r="R10" s="119"/>
      <c r="S10" s="119"/>
      <c r="U10" s="9" t="s">
        <v>339</v>
      </c>
      <c r="V10" s="119"/>
      <c r="W10" s="119"/>
      <c r="X10" s="119"/>
      <c r="Y10" s="119"/>
      <c r="Z10" s="119"/>
      <c r="AA10" s="119"/>
      <c r="AB10" s="119"/>
      <c r="AC10" s="119"/>
    </row>
    <row r="11" spans="1:36" x14ac:dyDescent="0.25">
      <c r="A11" s="9" t="s">
        <v>340</v>
      </c>
      <c r="B11" s="103">
        <f t="shared" ref="B11:I11" si="4">IF(B$10="","",(B$10/B$7))</f>
        <v>0.50000000002910383</v>
      </c>
      <c r="C11" s="103">
        <f t="shared" si="4"/>
        <v>0.50000000002910383</v>
      </c>
      <c r="D11" s="103" t="str">
        <f t="shared" si="4"/>
        <v/>
      </c>
      <c r="E11" s="103">
        <f t="shared" si="4"/>
        <v>0.50000000002910383</v>
      </c>
      <c r="F11" s="103">
        <f t="shared" si="4"/>
        <v>0.50000000002910383</v>
      </c>
      <c r="G11" s="103">
        <f t="shared" si="4"/>
        <v>0.50000000002910383</v>
      </c>
      <c r="H11" s="103">
        <f t="shared" si="4"/>
        <v>0.50000000002910383</v>
      </c>
      <c r="I11" s="103">
        <f t="shared" si="4"/>
        <v>0.50000000002910383</v>
      </c>
      <c r="K11" s="9" t="s">
        <v>340</v>
      </c>
      <c r="L11" s="103" t="str">
        <f t="shared" ref="L11:S11" si="5">IF(L$10="","",(L$10/L$7))</f>
        <v/>
      </c>
      <c r="M11" s="103" t="str">
        <f t="shared" si="5"/>
        <v/>
      </c>
      <c r="N11" s="103" t="str">
        <f t="shared" si="5"/>
        <v/>
      </c>
      <c r="O11" s="103" t="str">
        <f t="shared" si="5"/>
        <v/>
      </c>
      <c r="P11" s="103" t="str">
        <f t="shared" si="5"/>
        <v/>
      </c>
      <c r="Q11" s="103" t="str">
        <f t="shared" si="5"/>
        <v/>
      </c>
      <c r="R11" s="103" t="str">
        <f t="shared" si="5"/>
        <v/>
      </c>
      <c r="S11" s="103" t="str">
        <f t="shared" si="5"/>
        <v/>
      </c>
      <c r="U11" s="9" t="s">
        <v>340</v>
      </c>
      <c r="V11" s="103" t="str">
        <f t="shared" ref="V11:AC11" si="6">IF(V$10="","",(V$10/V$7))</f>
        <v/>
      </c>
      <c r="W11" s="103" t="str">
        <f t="shared" si="6"/>
        <v/>
      </c>
      <c r="X11" s="103" t="str">
        <f t="shared" si="6"/>
        <v/>
      </c>
      <c r="Y11" s="103" t="str">
        <f t="shared" si="6"/>
        <v/>
      </c>
      <c r="Z11" s="103" t="str">
        <f t="shared" si="6"/>
        <v/>
      </c>
      <c r="AA11" s="103" t="str">
        <f t="shared" si="6"/>
        <v/>
      </c>
      <c r="AB11" s="103" t="str">
        <f t="shared" si="6"/>
        <v/>
      </c>
      <c r="AC11" s="103" t="str">
        <f t="shared" si="6"/>
        <v/>
      </c>
    </row>
    <row r="13" spans="1:36" x14ac:dyDescent="0.25">
      <c r="A13" s="9" t="s">
        <v>341</v>
      </c>
      <c r="B13" s="103">
        <f t="shared" ref="B13:I13" si="7">IF(AND(B$11="",L$11="",V$11=""),"",AVERAGE(B$11,L$11,V$11))</f>
        <v>0.50000000002910383</v>
      </c>
      <c r="C13" s="103">
        <f t="shared" si="7"/>
        <v>0.50000000002910383</v>
      </c>
      <c r="D13" s="103" t="str">
        <f t="shared" si="7"/>
        <v/>
      </c>
      <c r="E13" s="103">
        <f t="shared" si="7"/>
        <v>0.50000000002910383</v>
      </c>
      <c r="F13" s="103">
        <f t="shared" si="7"/>
        <v>0.50000000002910383</v>
      </c>
      <c r="G13" s="103">
        <f t="shared" si="7"/>
        <v>0.50000000002910383</v>
      </c>
      <c r="H13" s="103">
        <f t="shared" si="7"/>
        <v>0.50000000002910383</v>
      </c>
      <c r="I13" s="103">
        <f t="shared" si="7"/>
        <v>0.50000000002910383</v>
      </c>
    </row>
    <row r="15" spans="1:36" ht="15.75" customHeight="1" thickBot="1" x14ac:dyDescent="0.3">
      <c r="A15" s="215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</row>
    <row r="17" spans="1:29" x14ac:dyDescent="0.25">
      <c r="A17" s="9" t="s">
        <v>342</v>
      </c>
      <c r="B17" s="143"/>
      <c r="C17" s="151"/>
      <c r="D17" s="130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</row>
    <row r="18" spans="1:29" x14ac:dyDescent="0.25">
      <c r="A18" s="139" t="s">
        <v>222</v>
      </c>
      <c r="B18" s="144"/>
      <c r="C18" s="152"/>
      <c r="D18" s="163"/>
      <c r="E18" s="163"/>
      <c r="F18" s="164"/>
      <c r="G18" s="164"/>
      <c r="H18" s="164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 spans="1:29" x14ac:dyDescent="0.25">
      <c r="A19" s="9" t="s">
        <v>223</v>
      </c>
      <c r="B19" s="145"/>
      <c r="C19" s="153"/>
      <c r="D19" s="148" t="str">
        <f t="shared" ref="D19:AB19" si="8">IF(D17="", "", (D18-$D$16)*1440)</f>
        <v/>
      </c>
      <c r="E19" s="140" t="str">
        <f t="shared" si="8"/>
        <v/>
      </c>
      <c r="F19" s="140" t="str">
        <f t="shared" si="8"/>
        <v/>
      </c>
      <c r="G19" s="140" t="str">
        <f t="shared" si="8"/>
        <v/>
      </c>
      <c r="H19" s="140" t="str">
        <f t="shared" si="8"/>
        <v/>
      </c>
      <c r="I19" s="140" t="str">
        <f t="shared" si="8"/>
        <v/>
      </c>
      <c r="J19" s="140" t="str">
        <f t="shared" si="8"/>
        <v/>
      </c>
      <c r="K19" s="140" t="str">
        <f t="shared" si="8"/>
        <v/>
      </c>
      <c r="L19" s="140" t="str">
        <f t="shared" si="8"/>
        <v/>
      </c>
      <c r="M19" s="140" t="str">
        <f t="shared" si="8"/>
        <v/>
      </c>
      <c r="N19" s="140" t="str">
        <f t="shared" si="8"/>
        <v/>
      </c>
      <c r="O19" s="140" t="str">
        <f t="shared" si="8"/>
        <v/>
      </c>
      <c r="P19" s="140" t="str">
        <f t="shared" si="8"/>
        <v/>
      </c>
      <c r="Q19" s="140" t="str">
        <f t="shared" si="8"/>
        <v/>
      </c>
      <c r="R19" s="140" t="str">
        <f t="shared" si="8"/>
        <v/>
      </c>
      <c r="S19" s="140" t="str">
        <f t="shared" si="8"/>
        <v/>
      </c>
      <c r="T19" s="140" t="str">
        <f t="shared" si="8"/>
        <v/>
      </c>
      <c r="U19" s="140" t="str">
        <f t="shared" si="8"/>
        <v/>
      </c>
      <c r="V19" s="140" t="str">
        <f t="shared" si="8"/>
        <v/>
      </c>
      <c r="W19" s="140" t="str">
        <f t="shared" si="8"/>
        <v/>
      </c>
      <c r="X19" s="140" t="str">
        <f t="shared" si="8"/>
        <v/>
      </c>
      <c r="Y19" s="140" t="str">
        <f t="shared" si="8"/>
        <v/>
      </c>
      <c r="Z19" s="140" t="str">
        <f t="shared" si="8"/>
        <v/>
      </c>
      <c r="AA19" s="140" t="str">
        <f t="shared" si="8"/>
        <v/>
      </c>
      <c r="AB19" s="140" t="str">
        <f t="shared" si="8"/>
        <v/>
      </c>
    </row>
    <row r="20" spans="1:29" x14ac:dyDescent="0.25">
      <c r="A20" s="9" t="s">
        <v>224</v>
      </c>
      <c r="B20" s="146"/>
      <c r="C20" s="154"/>
      <c r="D20" s="149"/>
      <c r="E20" s="140" t="str">
        <f>IF(E19="", "", E19-D19)</f>
        <v/>
      </c>
      <c r="F20" s="140" t="str">
        <f>IF(F19="", "", F19-E19)</f>
        <v/>
      </c>
      <c r="G20" s="140" t="str">
        <f>IF(G19="", "", G19-F19)</f>
        <v/>
      </c>
      <c r="H20" s="140"/>
      <c r="I20" s="140" t="str">
        <f t="shared" ref="I20:AB20" si="9">IF(I19="", "", I19-H19)</f>
        <v/>
      </c>
      <c r="J20" s="140" t="str">
        <f t="shared" si="9"/>
        <v/>
      </c>
      <c r="K20" s="140" t="str">
        <f t="shared" si="9"/>
        <v/>
      </c>
      <c r="L20" s="140" t="str">
        <f t="shared" si="9"/>
        <v/>
      </c>
      <c r="M20" s="140" t="str">
        <f t="shared" si="9"/>
        <v/>
      </c>
      <c r="N20" s="140" t="str">
        <f t="shared" si="9"/>
        <v/>
      </c>
      <c r="O20" s="140" t="str">
        <f t="shared" si="9"/>
        <v/>
      </c>
      <c r="P20" s="140" t="str">
        <f t="shared" si="9"/>
        <v/>
      </c>
      <c r="Q20" s="140" t="str">
        <f t="shared" si="9"/>
        <v/>
      </c>
      <c r="R20" s="140" t="str">
        <f t="shared" si="9"/>
        <v/>
      </c>
      <c r="S20" s="140" t="str">
        <f t="shared" si="9"/>
        <v/>
      </c>
      <c r="T20" s="140" t="str">
        <f t="shared" si="9"/>
        <v/>
      </c>
      <c r="U20" s="140" t="str">
        <f t="shared" si="9"/>
        <v/>
      </c>
      <c r="V20" s="140" t="str">
        <f t="shared" si="9"/>
        <v/>
      </c>
      <c r="W20" s="140" t="str">
        <f t="shared" si="9"/>
        <v/>
      </c>
      <c r="X20" s="140" t="str">
        <f t="shared" si="9"/>
        <v/>
      </c>
      <c r="Y20" s="140" t="str">
        <f t="shared" si="9"/>
        <v/>
      </c>
      <c r="Z20" s="140" t="str">
        <f t="shared" si="9"/>
        <v/>
      </c>
      <c r="AA20" s="140" t="str">
        <f t="shared" si="9"/>
        <v/>
      </c>
      <c r="AB20" s="140" t="str">
        <f t="shared" si="9"/>
        <v/>
      </c>
    </row>
    <row r="21" spans="1:29" x14ac:dyDescent="0.25">
      <c r="A21" s="9" t="s">
        <v>225</v>
      </c>
      <c r="B21" s="213" t="s">
        <v>343</v>
      </c>
      <c r="C21" s="213" t="s">
        <v>344</v>
      </c>
      <c r="D21" s="16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</row>
    <row r="22" spans="1:29" x14ac:dyDescent="0.25">
      <c r="A22" s="11" t="s">
        <v>32</v>
      </c>
      <c r="B22" s="201">
        <f t="shared" ref="B22:B31" si="10">IFERROR(AVERAGE(D22:AB22),"")</f>
        <v>20.9043226</v>
      </c>
      <c r="C22" s="256">
        <f t="shared" ref="C22:C31" si="11">100*$AC22/$AC$32</f>
        <v>2.0999196250014238</v>
      </c>
      <c r="D22" s="166">
        <v>19.764187</v>
      </c>
      <c r="E22" s="167">
        <v>21.198515</v>
      </c>
      <c r="F22" s="167">
        <v>21.144860000000001</v>
      </c>
      <c r="G22" s="167">
        <v>21.116446</v>
      </c>
      <c r="H22" s="110">
        <v>21.297605000000001</v>
      </c>
      <c r="I22" s="110"/>
      <c r="J22" s="110"/>
      <c r="K22" s="110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>
        <f>$B22*2.016</f>
        <v>42.143114361599999</v>
      </c>
    </row>
    <row r="23" spans="1:29" x14ac:dyDescent="0.25">
      <c r="A23" s="11" t="s">
        <v>33</v>
      </c>
      <c r="B23" s="201">
        <f t="shared" si="10"/>
        <v>1.6127312</v>
      </c>
      <c r="C23" s="256">
        <f t="shared" si="11"/>
        <v>2.2540881670077111</v>
      </c>
      <c r="D23" s="166">
        <v>1.42381</v>
      </c>
      <c r="E23" s="167">
        <v>1.661815</v>
      </c>
      <c r="F23" s="167">
        <v>1.6638470000000001</v>
      </c>
      <c r="G23" s="167">
        <v>1.654336</v>
      </c>
      <c r="H23" s="110">
        <v>1.659848</v>
      </c>
      <c r="I23" s="110"/>
      <c r="J23" s="110"/>
      <c r="K23" s="110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>
        <f>$B23*28.05</f>
        <v>45.23711016</v>
      </c>
    </row>
    <row r="24" spans="1:29" x14ac:dyDescent="0.25">
      <c r="A24" s="11" t="s">
        <v>34</v>
      </c>
      <c r="B24" s="201">
        <f t="shared" si="10"/>
        <v>2.5354912000000001</v>
      </c>
      <c r="C24" s="256">
        <f t="shared" si="11"/>
        <v>2.0264809110877517</v>
      </c>
      <c r="D24" s="166">
        <v>2.2990910000000002</v>
      </c>
      <c r="E24" s="167">
        <v>2.5933899999999999</v>
      </c>
      <c r="F24" s="167">
        <v>2.592406</v>
      </c>
      <c r="G24" s="167">
        <v>2.589048</v>
      </c>
      <c r="H24" s="110">
        <v>2.6035210000000002</v>
      </c>
      <c r="I24" s="110"/>
      <c r="J24" s="110"/>
      <c r="K24" s="110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>
        <f>$B24*16.04</f>
        <v>40.669278847999998</v>
      </c>
    </row>
    <row r="25" spans="1:29" x14ac:dyDescent="0.25">
      <c r="A25" s="11" t="s">
        <v>35</v>
      </c>
      <c r="B25" s="201">
        <f t="shared" si="10"/>
        <v>1.7224E-3</v>
      </c>
      <c r="C25" s="256">
        <f t="shared" si="11"/>
        <v>2.5806496439180009E-3</v>
      </c>
      <c r="D25" s="166">
        <v>1.5759999999999999E-3</v>
      </c>
      <c r="E25" s="167">
        <v>1.753E-3</v>
      </c>
      <c r="F25" s="167">
        <v>1.758E-3</v>
      </c>
      <c r="G25" s="167">
        <v>1.702E-3</v>
      </c>
      <c r="H25" s="110">
        <v>1.823E-3</v>
      </c>
      <c r="I25" s="110"/>
      <c r="J25" s="110"/>
      <c r="K25" s="110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>
        <f>$B25*30.069</f>
        <v>5.1790845599999996E-2</v>
      </c>
    </row>
    <row r="26" spans="1:29" x14ac:dyDescent="0.25">
      <c r="A26" s="11" t="s">
        <v>36</v>
      </c>
      <c r="B26" s="201">
        <f t="shared" si="10"/>
        <v>59.797879600000002</v>
      </c>
      <c r="C26" s="256">
        <f t="shared" si="11"/>
        <v>83.468277517508241</v>
      </c>
      <c r="D26" s="166">
        <v>62.441814000000001</v>
      </c>
      <c r="E26" s="167">
        <v>59.086042999999997</v>
      </c>
      <c r="F26" s="167">
        <v>59.187258999999997</v>
      </c>
      <c r="G26" s="167">
        <v>59.030296</v>
      </c>
      <c r="H26" s="110">
        <v>59.243986</v>
      </c>
      <c r="I26" s="110"/>
      <c r="J26" s="110"/>
      <c r="K26" s="110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>
        <f>$B26*28.013</f>
        <v>1675.1180012348002</v>
      </c>
    </row>
    <row r="27" spans="1:29" x14ac:dyDescent="0.25">
      <c r="A27" s="11" t="s">
        <v>37</v>
      </c>
      <c r="B27" s="201">
        <f t="shared" si="10"/>
        <v>0</v>
      </c>
      <c r="C27" s="256">
        <f t="shared" si="11"/>
        <v>0</v>
      </c>
      <c r="D27" s="166">
        <v>0</v>
      </c>
      <c r="E27" s="167">
        <v>0</v>
      </c>
      <c r="F27" s="167">
        <v>0</v>
      </c>
      <c r="G27" s="167">
        <v>0</v>
      </c>
      <c r="H27" s="110">
        <v>0</v>
      </c>
      <c r="I27" s="110"/>
      <c r="J27" s="110"/>
      <c r="K27" s="110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>
        <f>$B27*44.01</f>
        <v>0</v>
      </c>
    </row>
    <row r="28" spans="1:29" x14ac:dyDescent="0.25">
      <c r="A28" s="11" t="s">
        <v>38</v>
      </c>
      <c r="B28" s="201">
        <f t="shared" si="10"/>
        <v>0</v>
      </c>
      <c r="C28" s="256">
        <f t="shared" si="11"/>
        <v>0</v>
      </c>
      <c r="D28" s="166">
        <v>0</v>
      </c>
      <c r="E28" s="167">
        <v>0</v>
      </c>
      <c r="F28" s="167">
        <v>0</v>
      </c>
      <c r="G28" s="167">
        <v>0</v>
      </c>
      <c r="H28" s="110">
        <v>0</v>
      </c>
      <c r="I28" s="110"/>
      <c r="J28" s="110"/>
      <c r="K28" s="110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>
        <f>$B28*28.01</f>
        <v>0</v>
      </c>
    </row>
    <row r="29" spans="1:29" x14ac:dyDescent="0.25">
      <c r="A29" s="11" t="s">
        <v>55</v>
      </c>
      <c r="B29" s="201">
        <f t="shared" si="10"/>
        <v>7.8221248000000001</v>
      </c>
      <c r="C29" s="256">
        <f t="shared" si="11"/>
        <v>10.148653129750961</v>
      </c>
      <c r="D29" s="166">
        <v>6.812271</v>
      </c>
      <c r="E29" s="167">
        <v>8.0972449999999991</v>
      </c>
      <c r="F29" s="167">
        <v>8.1020620000000001</v>
      </c>
      <c r="G29" s="167">
        <v>8.0404719999999994</v>
      </c>
      <c r="H29" s="110">
        <v>8.0585740000000001</v>
      </c>
      <c r="I29" s="110"/>
      <c r="J29" s="110"/>
      <c r="K29" s="110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>
        <f>$B29*26.038</f>
        <v>203.67248554240001</v>
      </c>
    </row>
    <row r="30" spans="1:29" x14ac:dyDescent="0.25">
      <c r="A30" s="11" t="s">
        <v>56</v>
      </c>
      <c r="B30" s="201">
        <f t="shared" si="10"/>
        <v>0</v>
      </c>
      <c r="C30" s="256">
        <f t="shared" si="11"/>
        <v>0</v>
      </c>
      <c r="D30" s="166">
        <v>0</v>
      </c>
      <c r="E30" s="167">
        <v>0</v>
      </c>
      <c r="F30" s="167">
        <v>0</v>
      </c>
      <c r="G30" s="167">
        <v>0</v>
      </c>
      <c r="H30" s="110">
        <v>0</v>
      </c>
      <c r="I30" s="110"/>
      <c r="J30" s="110"/>
      <c r="K30" s="110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>
        <f>$B30*42.081</f>
        <v>0</v>
      </c>
    </row>
    <row r="31" spans="1:29" x14ac:dyDescent="0.25">
      <c r="A31" s="11" t="s">
        <v>57</v>
      </c>
      <c r="B31" s="201">
        <f t="shared" si="10"/>
        <v>0</v>
      </c>
      <c r="C31" s="256">
        <f t="shared" si="11"/>
        <v>0</v>
      </c>
      <c r="D31" s="166">
        <v>0</v>
      </c>
      <c r="E31" s="167">
        <v>0</v>
      </c>
      <c r="F31" s="166">
        <v>0</v>
      </c>
      <c r="G31" s="167">
        <v>0</v>
      </c>
      <c r="H31" s="110">
        <v>0</v>
      </c>
      <c r="I31" s="110"/>
      <c r="J31" s="110"/>
      <c r="K31" s="110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>
        <f>$B31*44.097</f>
        <v>0</v>
      </c>
    </row>
    <row r="32" spans="1:29" x14ac:dyDescent="0.25">
      <c r="AC32">
        <f>SUM(AC22:AC31)</f>
        <v>2006.8917809924001</v>
      </c>
    </row>
    <row r="34" spans="1:29" x14ac:dyDescent="0.25">
      <c r="A34" s="9" t="s">
        <v>345</v>
      </c>
      <c r="B34" s="143"/>
      <c r="C34" s="151"/>
      <c r="D34" s="130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</row>
    <row r="35" spans="1:29" x14ac:dyDescent="0.25">
      <c r="A35" s="139" t="s">
        <v>222</v>
      </c>
      <c r="B35" s="144"/>
      <c r="C35" s="152"/>
      <c r="D35" s="163"/>
      <c r="E35" s="163"/>
      <c r="F35" s="164"/>
      <c r="G35" s="164"/>
      <c r="H35" s="164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</row>
    <row r="36" spans="1:29" x14ac:dyDescent="0.25">
      <c r="A36" s="9" t="s">
        <v>223</v>
      </c>
      <c r="B36" s="145"/>
      <c r="C36" s="153"/>
      <c r="D36" s="148" t="str">
        <f t="shared" ref="D36:AB36" si="12">IF(D34="", "", (D35-$D$16)*1440)</f>
        <v/>
      </c>
      <c r="E36" s="140" t="str">
        <f t="shared" si="12"/>
        <v/>
      </c>
      <c r="F36" s="140" t="str">
        <f t="shared" si="12"/>
        <v/>
      </c>
      <c r="G36" s="140" t="str">
        <f t="shared" si="12"/>
        <v/>
      </c>
      <c r="H36" s="140" t="str">
        <f t="shared" si="12"/>
        <v/>
      </c>
      <c r="I36" s="140" t="str">
        <f t="shared" si="12"/>
        <v/>
      </c>
      <c r="J36" s="140" t="str">
        <f t="shared" si="12"/>
        <v/>
      </c>
      <c r="K36" s="140" t="str">
        <f t="shared" si="12"/>
        <v/>
      </c>
      <c r="L36" s="140" t="str">
        <f t="shared" si="12"/>
        <v/>
      </c>
      <c r="M36" s="140" t="str">
        <f t="shared" si="12"/>
        <v/>
      </c>
      <c r="N36" s="140" t="str">
        <f t="shared" si="12"/>
        <v/>
      </c>
      <c r="O36" s="140" t="str">
        <f t="shared" si="12"/>
        <v/>
      </c>
      <c r="P36" s="140" t="str">
        <f t="shared" si="12"/>
        <v/>
      </c>
      <c r="Q36" s="140" t="str">
        <f t="shared" si="12"/>
        <v/>
      </c>
      <c r="R36" s="140" t="str">
        <f t="shared" si="12"/>
        <v/>
      </c>
      <c r="S36" s="140" t="str">
        <f t="shared" si="12"/>
        <v/>
      </c>
      <c r="T36" s="140" t="str">
        <f t="shared" si="12"/>
        <v/>
      </c>
      <c r="U36" s="140" t="str">
        <f t="shared" si="12"/>
        <v/>
      </c>
      <c r="V36" s="140" t="str">
        <f t="shared" si="12"/>
        <v/>
      </c>
      <c r="W36" s="140" t="str">
        <f t="shared" si="12"/>
        <v/>
      </c>
      <c r="X36" s="140" t="str">
        <f t="shared" si="12"/>
        <v/>
      </c>
      <c r="Y36" s="140" t="str">
        <f t="shared" si="12"/>
        <v/>
      </c>
      <c r="Z36" s="140" t="str">
        <f t="shared" si="12"/>
        <v/>
      </c>
      <c r="AA36" s="140" t="str">
        <f t="shared" si="12"/>
        <v/>
      </c>
      <c r="AB36" s="140" t="str">
        <f t="shared" si="12"/>
        <v/>
      </c>
    </row>
    <row r="37" spans="1:29" x14ac:dyDescent="0.25">
      <c r="A37" s="9" t="s">
        <v>224</v>
      </c>
      <c r="B37" s="146"/>
      <c r="C37" s="154"/>
      <c r="D37" s="149"/>
      <c r="E37" s="140" t="str">
        <f>IF(E36="", "", E36-D36)</f>
        <v/>
      </c>
      <c r="F37" s="140" t="str">
        <f>IF(F36="", "", F36-E36)</f>
        <v/>
      </c>
      <c r="G37" s="140" t="str">
        <f>IF(G36="", "", G36-F36)</f>
        <v/>
      </c>
      <c r="H37" s="140"/>
      <c r="I37" s="140" t="str">
        <f t="shared" ref="I37:AB37" si="13">IF(I36="", "", I36-H36)</f>
        <v/>
      </c>
      <c r="J37" s="140" t="str">
        <f t="shared" si="13"/>
        <v/>
      </c>
      <c r="K37" s="140" t="str">
        <f t="shared" si="13"/>
        <v/>
      </c>
      <c r="L37" s="140" t="str">
        <f t="shared" si="13"/>
        <v/>
      </c>
      <c r="M37" s="140" t="str">
        <f t="shared" si="13"/>
        <v/>
      </c>
      <c r="N37" s="140" t="str">
        <f t="shared" si="13"/>
        <v/>
      </c>
      <c r="O37" s="140" t="str">
        <f t="shared" si="13"/>
        <v/>
      </c>
      <c r="P37" s="140" t="str">
        <f t="shared" si="13"/>
        <v/>
      </c>
      <c r="Q37" s="140" t="str">
        <f t="shared" si="13"/>
        <v/>
      </c>
      <c r="R37" s="140" t="str">
        <f t="shared" si="13"/>
        <v/>
      </c>
      <c r="S37" s="140" t="str">
        <f t="shared" si="13"/>
        <v/>
      </c>
      <c r="T37" s="140" t="str">
        <f t="shared" si="13"/>
        <v/>
      </c>
      <c r="U37" s="140" t="str">
        <f t="shared" si="13"/>
        <v/>
      </c>
      <c r="V37" s="140" t="str">
        <f t="shared" si="13"/>
        <v/>
      </c>
      <c r="W37" s="140" t="str">
        <f t="shared" si="13"/>
        <v/>
      </c>
      <c r="X37" s="140" t="str">
        <f t="shared" si="13"/>
        <v/>
      </c>
      <c r="Y37" s="140" t="str">
        <f t="shared" si="13"/>
        <v/>
      </c>
      <c r="Z37" s="140" t="str">
        <f t="shared" si="13"/>
        <v/>
      </c>
      <c r="AA37" s="140" t="str">
        <f t="shared" si="13"/>
        <v/>
      </c>
      <c r="AB37" s="140" t="str">
        <f t="shared" si="13"/>
        <v/>
      </c>
    </row>
    <row r="38" spans="1:29" x14ac:dyDescent="0.25">
      <c r="A38" s="9" t="s">
        <v>225</v>
      </c>
      <c r="B38" s="213" t="s">
        <v>343</v>
      </c>
      <c r="C38" s="213" t="s">
        <v>344</v>
      </c>
      <c r="D38" s="16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</row>
    <row r="39" spans="1:29" x14ac:dyDescent="0.25">
      <c r="A39" s="11" t="s">
        <v>32</v>
      </c>
      <c r="B39" s="201">
        <f t="shared" ref="B39:B48" si="14">IFERROR(AVERAGE(D39:AB39),"")</f>
        <v>21.158811799999995</v>
      </c>
      <c r="C39" s="256">
        <f t="shared" ref="C39:C48" si="15">100*$AC39/$AC$49</f>
        <v>2.134800070054772</v>
      </c>
      <c r="D39" s="166">
        <v>20.907115999999998</v>
      </c>
      <c r="E39" s="167">
        <v>21.200842999999999</v>
      </c>
      <c r="F39" s="167">
        <v>21.204719999999998</v>
      </c>
      <c r="G39" s="167">
        <v>21.110052</v>
      </c>
      <c r="H39" s="110">
        <v>21.371327999999998</v>
      </c>
      <c r="I39" s="110"/>
      <c r="J39" s="110"/>
      <c r="K39" s="110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>
        <f>$B39*2.016</f>
        <v>42.656164588799989</v>
      </c>
    </row>
    <row r="40" spans="1:29" x14ac:dyDescent="0.25">
      <c r="A40" s="11" t="s">
        <v>33</v>
      </c>
      <c r="B40" s="201">
        <f t="shared" si="14"/>
        <v>1.6497184</v>
      </c>
      <c r="C40" s="256">
        <f t="shared" si="15"/>
        <v>2.3158908604424928</v>
      </c>
      <c r="D40" s="166">
        <v>1.606087</v>
      </c>
      <c r="E40" s="167">
        <v>1.6659250000000001</v>
      </c>
      <c r="F40" s="167">
        <v>1.6688639999999999</v>
      </c>
      <c r="G40" s="167">
        <v>1.657303</v>
      </c>
      <c r="H40" s="110">
        <v>1.6504129999999999</v>
      </c>
      <c r="I40" s="110"/>
      <c r="J40" s="110"/>
      <c r="K40" s="110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>
        <f>$B40*28.05</f>
        <v>46.27460112</v>
      </c>
    </row>
    <row r="41" spans="1:29" x14ac:dyDescent="0.25">
      <c r="A41" s="11" t="s">
        <v>34</v>
      </c>
      <c r="B41" s="201">
        <f t="shared" si="14"/>
        <v>2.5775706</v>
      </c>
      <c r="C41" s="256">
        <f t="shared" si="15"/>
        <v>2.0691422008037352</v>
      </c>
      <c r="D41" s="166">
        <v>2.5032730000000001</v>
      </c>
      <c r="E41" s="167">
        <v>2.5989439999999999</v>
      </c>
      <c r="F41" s="167">
        <v>2.5997509999999999</v>
      </c>
      <c r="G41" s="167">
        <v>2.5933030000000001</v>
      </c>
      <c r="H41" s="110">
        <v>2.5925820000000002</v>
      </c>
      <c r="I41" s="110"/>
      <c r="J41" s="110"/>
      <c r="K41" s="110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>
        <f>$B41*16.04</f>
        <v>41.344232423999998</v>
      </c>
    </row>
    <row r="42" spans="1:29" x14ac:dyDescent="0.25">
      <c r="A42" s="11" t="s">
        <v>35</v>
      </c>
      <c r="B42" s="201">
        <f t="shared" si="14"/>
        <v>3.0817999999999996E-3</v>
      </c>
      <c r="C42" s="256">
        <f t="shared" si="15"/>
        <v>4.6376593028676187E-3</v>
      </c>
      <c r="D42" s="166">
        <v>8.1989999999999997E-3</v>
      </c>
      <c r="E42" s="167">
        <v>1.833E-3</v>
      </c>
      <c r="F42" s="167">
        <v>1.859E-3</v>
      </c>
      <c r="G42" s="167">
        <v>1.805E-3</v>
      </c>
      <c r="H42" s="110">
        <v>1.7129999999999999E-3</v>
      </c>
      <c r="I42" s="110"/>
      <c r="J42" s="110"/>
      <c r="K42" s="110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>
        <f>$B42*30.069</f>
        <v>9.2666644199999981E-2</v>
      </c>
    </row>
    <row r="43" spans="1:29" x14ac:dyDescent="0.25">
      <c r="A43" s="11" t="s">
        <v>36</v>
      </c>
      <c r="B43" s="201">
        <f t="shared" si="14"/>
        <v>59.254192599999996</v>
      </c>
      <c r="C43" s="256">
        <f t="shared" si="15"/>
        <v>83.071893749622589</v>
      </c>
      <c r="D43" s="166">
        <v>59.951188000000002</v>
      </c>
      <c r="E43" s="167">
        <v>58.974798999999997</v>
      </c>
      <c r="F43" s="167">
        <v>59.170569999999998</v>
      </c>
      <c r="G43" s="167">
        <v>58.970258000000001</v>
      </c>
      <c r="H43" s="110">
        <v>59.204148000000004</v>
      </c>
      <c r="I43" s="110"/>
      <c r="J43" s="110"/>
      <c r="K43" s="110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>
        <f>$B43*28.013</f>
        <v>1659.8876973038</v>
      </c>
    </row>
    <row r="44" spans="1:29" x14ac:dyDescent="0.25">
      <c r="A44" s="11" t="s">
        <v>37</v>
      </c>
      <c r="B44" s="201">
        <f t="shared" si="14"/>
        <v>0</v>
      </c>
      <c r="C44" s="256">
        <f t="shared" si="15"/>
        <v>0</v>
      </c>
      <c r="D44" s="166">
        <v>0</v>
      </c>
      <c r="E44" s="167">
        <v>0</v>
      </c>
      <c r="F44" s="167">
        <v>0</v>
      </c>
      <c r="G44" s="167">
        <v>0</v>
      </c>
      <c r="H44" s="110">
        <v>0</v>
      </c>
      <c r="I44" s="110"/>
      <c r="J44" s="110"/>
      <c r="K44" s="110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>
        <f>$B44*44.01</f>
        <v>0</v>
      </c>
    </row>
    <row r="45" spans="1:29" x14ac:dyDescent="0.25">
      <c r="A45" s="11" t="s">
        <v>38</v>
      </c>
      <c r="B45" s="201">
        <f t="shared" si="14"/>
        <v>0</v>
      </c>
      <c r="C45" s="256">
        <f t="shared" si="15"/>
        <v>0</v>
      </c>
      <c r="D45" s="166">
        <v>0</v>
      </c>
      <c r="E45" s="167">
        <v>0</v>
      </c>
      <c r="F45" s="167">
        <v>0</v>
      </c>
      <c r="G45" s="167">
        <v>0</v>
      </c>
      <c r="H45" s="110">
        <v>0</v>
      </c>
      <c r="I45" s="110"/>
      <c r="J45" s="110"/>
      <c r="K45" s="110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>
        <f>$B45*28.01</f>
        <v>0</v>
      </c>
    </row>
    <row r="46" spans="1:29" x14ac:dyDescent="0.25">
      <c r="A46" s="11" t="s">
        <v>55</v>
      </c>
      <c r="B46" s="201">
        <f t="shared" si="14"/>
        <v>7.9836612000000002</v>
      </c>
      <c r="C46" s="256">
        <f t="shared" si="15"/>
        <v>10.403635459773557</v>
      </c>
      <c r="D46" s="166">
        <v>7.618582</v>
      </c>
      <c r="E46" s="167">
        <v>8.1196920000000006</v>
      </c>
      <c r="F46" s="167">
        <v>8.1232410000000002</v>
      </c>
      <c r="G46" s="167">
        <v>8.0534199999999991</v>
      </c>
      <c r="H46" s="110">
        <v>8.0033709999999996</v>
      </c>
      <c r="I46" s="110"/>
      <c r="J46" s="110"/>
      <c r="K46" s="110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>
        <f>$B46*26.038</f>
        <v>207.87857032560001</v>
      </c>
    </row>
    <row r="47" spans="1:29" x14ac:dyDescent="0.25">
      <c r="A47" s="11" t="s">
        <v>56</v>
      </c>
      <c r="B47" s="201">
        <f t="shared" si="14"/>
        <v>0</v>
      </c>
      <c r="C47" s="256">
        <f t="shared" si="15"/>
        <v>0</v>
      </c>
      <c r="D47" s="166">
        <v>0</v>
      </c>
      <c r="E47" s="167">
        <v>0</v>
      </c>
      <c r="F47" s="167">
        <v>0</v>
      </c>
      <c r="G47" s="167">
        <v>0</v>
      </c>
      <c r="H47" s="110">
        <v>0</v>
      </c>
      <c r="I47" s="110"/>
      <c r="J47" s="110"/>
      <c r="K47" s="110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>
        <f>$B47*42.081</f>
        <v>0</v>
      </c>
    </row>
    <row r="48" spans="1:29" x14ac:dyDescent="0.25">
      <c r="A48" s="11" t="s">
        <v>57</v>
      </c>
      <c r="B48" s="201">
        <f t="shared" si="14"/>
        <v>0</v>
      </c>
      <c r="C48" s="256">
        <f t="shared" si="15"/>
        <v>0</v>
      </c>
      <c r="D48" s="166">
        <v>0</v>
      </c>
      <c r="E48" s="167">
        <v>0</v>
      </c>
      <c r="F48" s="166">
        <v>0</v>
      </c>
      <c r="G48" s="167">
        <v>0</v>
      </c>
      <c r="H48" s="110">
        <v>0</v>
      </c>
      <c r="I48" s="110"/>
      <c r="J48" s="110"/>
      <c r="K48" s="110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>
        <f>$B48*44.097</f>
        <v>0</v>
      </c>
    </row>
    <row r="49" spans="1:29" x14ac:dyDescent="0.25">
      <c r="AC49">
        <f>SUM(AC39:AC48)</f>
        <v>1998.1339324063999</v>
      </c>
    </row>
    <row r="51" spans="1:29" x14ac:dyDescent="0.25">
      <c r="A51" s="9" t="s">
        <v>346</v>
      </c>
      <c r="B51" s="143"/>
      <c r="C51" s="151"/>
      <c r="D51" s="130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</row>
    <row r="52" spans="1:29" x14ac:dyDescent="0.25">
      <c r="A52" s="139" t="s">
        <v>222</v>
      </c>
      <c r="B52" s="144"/>
      <c r="C52" s="152"/>
      <c r="D52" s="163"/>
      <c r="E52" s="163"/>
      <c r="F52" s="164"/>
      <c r="G52" s="164"/>
      <c r="H52" s="164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</row>
    <row r="53" spans="1:29" x14ac:dyDescent="0.25">
      <c r="A53" s="9" t="s">
        <v>223</v>
      </c>
      <c r="B53" s="145"/>
      <c r="C53" s="153"/>
      <c r="D53" s="148" t="str">
        <f t="shared" ref="D53:AB53" si="16">IF(D51="", "", (D52-$D$16)*1440)</f>
        <v/>
      </c>
      <c r="E53" s="140" t="str">
        <f t="shared" si="16"/>
        <v/>
      </c>
      <c r="F53" s="140" t="str">
        <f t="shared" si="16"/>
        <v/>
      </c>
      <c r="G53" s="140" t="str">
        <f t="shared" si="16"/>
        <v/>
      </c>
      <c r="H53" s="140" t="str">
        <f t="shared" si="16"/>
        <v/>
      </c>
      <c r="I53" s="140" t="str">
        <f t="shared" si="16"/>
        <v/>
      </c>
      <c r="J53" s="140" t="str">
        <f t="shared" si="16"/>
        <v/>
      </c>
      <c r="K53" s="140" t="str">
        <f t="shared" si="16"/>
        <v/>
      </c>
      <c r="L53" s="140" t="str">
        <f t="shared" si="16"/>
        <v/>
      </c>
      <c r="M53" s="140" t="str">
        <f t="shared" si="16"/>
        <v/>
      </c>
      <c r="N53" s="140" t="str">
        <f t="shared" si="16"/>
        <v/>
      </c>
      <c r="O53" s="140" t="str">
        <f t="shared" si="16"/>
        <v/>
      </c>
      <c r="P53" s="140" t="str">
        <f t="shared" si="16"/>
        <v/>
      </c>
      <c r="Q53" s="140" t="str">
        <f t="shared" si="16"/>
        <v/>
      </c>
      <c r="R53" s="140" t="str">
        <f t="shared" si="16"/>
        <v/>
      </c>
      <c r="S53" s="140" t="str">
        <f t="shared" si="16"/>
        <v/>
      </c>
      <c r="T53" s="140" t="str">
        <f t="shared" si="16"/>
        <v/>
      </c>
      <c r="U53" s="140" t="str">
        <f t="shared" si="16"/>
        <v/>
      </c>
      <c r="V53" s="140" t="str">
        <f t="shared" si="16"/>
        <v/>
      </c>
      <c r="W53" s="140" t="str">
        <f t="shared" si="16"/>
        <v/>
      </c>
      <c r="X53" s="140" t="str">
        <f t="shared" si="16"/>
        <v/>
      </c>
      <c r="Y53" s="140" t="str">
        <f t="shared" si="16"/>
        <v/>
      </c>
      <c r="Z53" s="140" t="str">
        <f t="shared" si="16"/>
        <v/>
      </c>
      <c r="AA53" s="140" t="str">
        <f t="shared" si="16"/>
        <v/>
      </c>
      <c r="AB53" s="140" t="str">
        <f t="shared" si="16"/>
        <v/>
      </c>
    </row>
    <row r="54" spans="1:29" x14ac:dyDescent="0.25">
      <c r="A54" s="9" t="s">
        <v>224</v>
      </c>
      <c r="B54" s="146"/>
      <c r="C54" s="154"/>
      <c r="D54" s="149"/>
      <c r="E54" s="140" t="str">
        <f>IF(E53="", "", E53-D53)</f>
        <v/>
      </c>
      <c r="F54" s="140" t="str">
        <f>IF(F53="", "", F53-E53)</f>
        <v/>
      </c>
      <c r="G54" s="140" t="str">
        <f>IF(G53="", "", G53-F53)</f>
        <v/>
      </c>
      <c r="H54" s="140"/>
      <c r="I54" s="140" t="str">
        <f t="shared" ref="I54:AB54" si="17">IF(I53="", "", I53-H53)</f>
        <v/>
      </c>
      <c r="J54" s="140" t="str">
        <f t="shared" si="17"/>
        <v/>
      </c>
      <c r="K54" s="140" t="str">
        <f t="shared" si="17"/>
        <v/>
      </c>
      <c r="L54" s="140" t="str">
        <f t="shared" si="17"/>
        <v/>
      </c>
      <c r="M54" s="140" t="str">
        <f t="shared" si="17"/>
        <v/>
      </c>
      <c r="N54" s="140" t="str">
        <f t="shared" si="17"/>
        <v/>
      </c>
      <c r="O54" s="140" t="str">
        <f t="shared" si="17"/>
        <v/>
      </c>
      <c r="P54" s="140" t="str">
        <f t="shared" si="17"/>
        <v/>
      </c>
      <c r="Q54" s="140" t="str">
        <f t="shared" si="17"/>
        <v/>
      </c>
      <c r="R54" s="140" t="str">
        <f t="shared" si="17"/>
        <v/>
      </c>
      <c r="S54" s="140" t="str">
        <f t="shared" si="17"/>
        <v/>
      </c>
      <c r="T54" s="140" t="str">
        <f t="shared" si="17"/>
        <v/>
      </c>
      <c r="U54" s="140" t="str">
        <f t="shared" si="17"/>
        <v/>
      </c>
      <c r="V54" s="140" t="str">
        <f t="shared" si="17"/>
        <v/>
      </c>
      <c r="W54" s="140" t="str">
        <f t="shared" si="17"/>
        <v/>
      </c>
      <c r="X54" s="140" t="str">
        <f t="shared" si="17"/>
        <v/>
      </c>
      <c r="Y54" s="140" t="str">
        <f t="shared" si="17"/>
        <v/>
      </c>
      <c r="Z54" s="140" t="str">
        <f t="shared" si="17"/>
        <v/>
      </c>
      <c r="AA54" s="140" t="str">
        <f t="shared" si="17"/>
        <v/>
      </c>
      <c r="AB54" s="140" t="str">
        <f t="shared" si="17"/>
        <v/>
      </c>
    </row>
    <row r="55" spans="1:29" x14ac:dyDescent="0.25">
      <c r="A55" s="9" t="s">
        <v>225</v>
      </c>
      <c r="B55" s="213" t="s">
        <v>343</v>
      </c>
      <c r="C55" s="213" t="s">
        <v>344</v>
      </c>
      <c r="D55" s="16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</row>
    <row r="56" spans="1:29" x14ac:dyDescent="0.25">
      <c r="A56" s="11" t="s">
        <v>32</v>
      </c>
      <c r="B56" s="201">
        <f t="shared" ref="B56:B65" si="18">IFERROR(AVERAGE(D56:AB56),"")</f>
        <v>21.211590749999999</v>
      </c>
      <c r="C56" s="256">
        <f t="shared" ref="C56:C65" si="19">100*$AC56/$AC$66</f>
        <v>2.1422969964943301</v>
      </c>
      <c r="D56" s="166">
        <v>21.170103000000001</v>
      </c>
      <c r="E56" s="167">
        <v>21.267075999999999</v>
      </c>
      <c r="F56" s="167">
        <v>21.254263000000002</v>
      </c>
      <c r="G56" s="167">
        <v>21.154921000000002</v>
      </c>
      <c r="H56" s="110"/>
      <c r="I56" s="110"/>
      <c r="J56" s="110"/>
      <c r="K56" s="110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>
        <f>$B56*2.016</f>
        <v>42.762566952</v>
      </c>
    </row>
    <row r="57" spans="1:29" x14ac:dyDescent="0.25">
      <c r="A57" s="11" t="s">
        <v>33</v>
      </c>
      <c r="B57" s="201">
        <f t="shared" si="18"/>
        <v>1.6487704999999999</v>
      </c>
      <c r="C57" s="256">
        <f t="shared" si="19"/>
        <v>2.3169090489200825</v>
      </c>
      <c r="D57" s="166">
        <v>1.6310960000000001</v>
      </c>
      <c r="E57" s="167">
        <v>1.648685</v>
      </c>
      <c r="F57" s="167">
        <v>1.6544239999999999</v>
      </c>
      <c r="G57" s="167">
        <v>1.6608769999999999</v>
      </c>
      <c r="H57" s="110"/>
      <c r="I57" s="110"/>
      <c r="J57" s="110"/>
      <c r="K57" s="110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>
        <f>$B57*28.05</f>
        <v>46.248012525</v>
      </c>
    </row>
    <row r="58" spans="1:29" x14ac:dyDescent="0.25">
      <c r="A58" s="11" t="s">
        <v>34</v>
      </c>
      <c r="B58" s="201">
        <f t="shared" si="18"/>
        <v>2.5863595000000004</v>
      </c>
      <c r="C58" s="256">
        <f t="shared" si="19"/>
        <v>2.0783044461895854</v>
      </c>
      <c r="D58" s="166">
        <v>2.5618820000000002</v>
      </c>
      <c r="E58" s="167">
        <v>2.5884360000000002</v>
      </c>
      <c r="F58" s="167">
        <v>2.593172</v>
      </c>
      <c r="G58" s="167">
        <v>2.6019480000000001</v>
      </c>
      <c r="H58" s="110"/>
      <c r="I58" s="110"/>
      <c r="J58" s="110"/>
      <c r="K58" s="110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>
        <f>$B58*16.04</f>
        <v>41.485206380000001</v>
      </c>
    </row>
    <row r="59" spans="1:29" x14ac:dyDescent="0.25">
      <c r="A59" s="11" t="s">
        <v>35</v>
      </c>
      <c r="B59" s="201">
        <f t="shared" si="18"/>
        <v>2.637E-3</v>
      </c>
      <c r="C59" s="256">
        <f t="shared" si="19"/>
        <v>3.9723273148859683E-3</v>
      </c>
      <c r="D59" s="166">
        <v>5.306E-3</v>
      </c>
      <c r="E59" s="167">
        <v>1.7420000000000001E-3</v>
      </c>
      <c r="F59" s="167">
        <v>1.7589999999999999E-3</v>
      </c>
      <c r="G59" s="167">
        <v>1.7409999999999999E-3</v>
      </c>
      <c r="H59" s="110"/>
      <c r="I59" s="110"/>
      <c r="J59" s="110"/>
      <c r="K59" s="110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>
        <f>$B59*30.069</f>
        <v>7.9291952999999998E-2</v>
      </c>
    </row>
    <row r="60" spans="1:29" x14ac:dyDescent="0.25">
      <c r="A60" s="11" t="s">
        <v>36</v>
      </c>
      <c r="B60" s="201">
        <f t="shared" si="18"/>
        <v>59.166367000000001</v>
      </c>
      <c r="C60" s="256">
        <f t="shared" si="19"/>
        <v>83.032943929020576</v>
      </c>
      <c r="D60" s="166">
        <v>59.332782999999999</v>
      </c>
      <c r="E60" s="167">
        <v>59.105375000000002</v>
      </c>
      <c r="F60" s="167">
        <v>59.185344999999998</v>
      </c>
      <c r="G60" s="167">
        <v>59.041964999999998</v>
      </c>
      <c r="H60" s="110"/>
      <c r="I60" s="110"/>
      <c r="J60" s="110"/>
      <c r="K60" s="110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>
        <f>$B60*28.013</f>
        <v>1657.4274387710002</v>
      </c>
    </row>
    <row r="61" spans="1:29" x14ac:dyDescent="0.25">
      <c r="A61" s="11" t="s">
        <v>37</v>
      </c>
      <c r="B61" s="201">
        <f t="shared" si="18"/>
        <v>0</v>
      </c>
      <c r="C61" s="256">
        <f t="shared" si="19"/>
        <v>0</v>
      </c>
      <c r="D61" s="166">
        <v>0</v>
      </c>
      <c r="E61" s="167">
        <v>0</v>
      </c>
      <c r="F61" s="167">
        <v>0</v>
      </c>
      <c r="G61" s="167">
        <v>0</v>
      </c>
      <c r="H61" s="110"/>
      <c r="I61" s="110"/>
      <c r="J61" s="110"/>
      <c r="K61" s="110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>
        <f>$B61*44.01</f>
        <v>0</v>
      </c>
    </row>
    <row r="62" spans="1:29" x14ac:dyDescent="0.25">
      <c r="A62" s="11" t="s">
        <v>38</v>
      </c>
      <c r="B62" s="201">
        <f t="shared" si="18"/>
        <v>0</v>
      </c>
      <c r="C62" s="256">
        <f t="shared" si="19"/>
        <v>0</v>
      </c>
      <c r="D62" s="166">
        <v>0</v>
      </c>
      <c r="E62" s="167">
        <v>0</v>
      </c>
      <c r="F62" s="167">
        <v>0</v>
      </c>
      <c r="G62" s="167">
        <v>0</v>
      </c>
      <c r="H62" s="110"/>
      <c r="I62" s="110"/>
      <c r="J62" s="110"/>
      <c r="K62" s="110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>
        <f>$B62*28.01</f>
        <v>0</v>
      </c>
    </row>
    <row r="63" spans="1:29" x14ac:dyDescent="0.25">
      <c r="A63" s="11" t="s">
        <v>55</v>
      </c>
      <c r="B63" s="201">
        <f t="shared" si="18"/>
        <v>7.9923852499999999</v>
      </c>
      <c r="C63" s="256">
        <f t="shared" si="19"/>
        <v>10.425573252060547</v>
      </c>
      <c r="D63" s="166">
        <v>7.8619779999999997</v>
      </c>
      <c r="E63" s="167">
        <v>8.0100499999999997</v>
      </c>
      <c r="F63" s="167">
        <v>8.0326559999999994</v>
      </c>
      <c r="G63" s="167">
        <v>8.0648569999999999</v>
      </c>
      <c r="H63" s="110"/>
      <c r="I63" s="110"/>
      <c r="J63" s="110"/>
      <c r="K63" s="110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>
        <f>$B63*26.038</f>
        <v>208.1057271395</v>
      </c>
    </row>
    <row r="64" spans="1:29" x14ac:dyDescent="0.25">
      <c r="A64" s="11" t="s">
        <v>56</v>
      </c>
      <c r="B64" s="201">
        <f t="shared" si="18"/>
        <v>0</v>
      </c>
      <c r="C64" s="256">
        <f t="shared" si="19"/>
        <v>0</v>
      </c>
      <c r="D64" s="166">
        <v>0</v>
      </c>
      <c r="E64" s="167">
        <v>0</v>
      </c>
      <c r="F64" s="167">
        <v>0</v>
      </c>
      <c r="G64" s="167">
        <v>0</v>
      </c>
      <c r="H64" s="110"/>
      <c r="I64" s="110"/>
      <c r="J64" s="110"/>
      <c r="K64" s="110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>
        <f>$B64*42.081</f>
        <v>0</v>
      </c>
    </row>
    <row r="65" spans="1:29" x14ac:dyDescent="0.25">
      <c r="A65" s="11" t="s">
        <v>57</v>
      </c>
      <c r="B65" s="201">
        <f t="shared" si="18"/>
        <v>0</v>
      </c>
      <c r="C65" s="256">
        <f t="shared" si="19"/>
        <v>0</v>
      </c>
      <c r="D65" s="166">
        <v>0</v>
      </c>
      <c r="E65" s="167">
        <v>0</v>
      </c>
      <c r="F65" s="166">
        <v>0</v>
      </c>
      <c r="G65" s="167">
        <v>0</v>
      </c>
      <c r="H65" s="110"/>
      <c r="I65" s="110"/>
      <c r="J65" s="110"/>
      <c r="K65" s="110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>
        <f>$B65*44.097</f>
        <v>0</v>
      </c>
    </row>
    <row r="66" spans="1:29" x14ac:dyDescent="0.25">
      <c r="AC66">
        <f>SUM(AC56:AC65)</f>
        <v>1996.1082437205002</v>
      </c>
    </row>
    <row r="68" spans="1:29" x14ac:dyDescent="0.25">
      <c r="A68" s="9" t="s">
        <v>347</v>
      </c>
      <c r="B68" s="143"/>
      <c r="C68" s="151"/>
      <c r="D68" s="130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</row>
    <row r="69" spans="1:29" x14ac:dyDescent="0.25">
      <c r="A69" s="139" t="s">
        <v>222</v>
      </c>
      <c r="B69" s="144"/>
      <c r="C69" s="152"/>
      <c r="D69" s="163"/>
      <c r="E69" s="163"/>
      <c r="F69" s="164"/>
      <c r="G69" s="164"/>
      <c r="H69" s="164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</row>
    <row r="70" spans="1:29" x14ac:dyDescent="0.25">
      <c r="A70" s="9" t="s">
        <v>223</v>
      </c>
      <c r="B70" s="145"/>
      <c r="C70" s="153"/>
      <c r="D70" s="148" t="str">
        <f t="shared" ref="D70:AB70" si="20">IF(D68="", "", (D69-$D$16)*1440)</f>
        <v/>
      </c>
      <c r="E70" s="140" t="str">
        <f t="shared" si="20"/>
        <v/>
      </c>
      <c r="F70" s="140" t="str">
        <f t="shared" si="20"/>
        <v/>
      </c>
      <c r="G70" s="140" t="str">
        <f t="shared" si="20"/>
        <v/>
      </c>
      <c r="H70" s="140" t="str">
        <f t="shared" si="20"/>
        <v/>
      </c>
      <c r="I70" s="140" t="str">
        <f t="shared" si="20"/>
        <v/>
      </c>
      <c r="J70" s="140" t="str">
        <f t="shared" si="20"/>
        <v/>
      </c>
      <c r="K70" s="140" t="str">
        <f t="shared" si="20"/>
        <v/>
      </c>
      <c r="L70" s="140" t="str">
        <f t="shared" si="20"/>
        <v/>
      </c>
      <c r="M70" s="140" t="str">
        <f t="shared" si="20"/>
        <v/>
      </c>
      <c r="N70" s="140" t="str">
        <f t="shared" si="20"/>
        <v/>
      </c>
      <c r="O70" s="140" t="str">
        <f t="shared" si="20"/>
        <v/>
      </c>
      <c r="P70" s="140" t="str">
        <f t="shared" si="20"/>
        <v/>
      </c>
      <c r="Q70" s="140" t="str">
        <f t="shared" si="20"/>
        <v/>
      </c>
      <c r="R70" s="140" t="str">
        <f t="shared" si="20"/>
        <v/>
      </c>
      <c r="S70" s="140" t="str">
        <f t="shared" si="20"/>
        <v/>
      </c>
      <c r="T70" s="140" t="str">
        <f t="shared" si="20"/>
        <v/>
      </c>
      <c r="U70" s="140" t="str">
        <f t="shared" si="20"/>
        <v/>
      </c>
      <c r="V70" s="140" t="str">
        <f t="shared" si="20"/>
        <v/>
      </c>
      <c r="W70" s="140" t="str">
        <f t="shared" si="20"/>
        <v/>
      </c>
      <c r="X70" s="140" t="str">
        <f t="shared" si="20"/>
        <v/>
      </c>
      <c r="Y70" s="140" t="str">
        <f t="shared" si="20"/>
        <v/>
      </c>
      <c r="Z70" s="140" t="str">
        <f t="shared" si="20"/>
        <v/>
      </c>
      <c r="AA70" s="140" t="str">
        <f t="shared" si="20"/>
        <v/>
      </c>
      <c r="AB70" s="140" t="str">
        <f t="shared" si="20"/>
        <v/>
      </c>
    </row>
    <row r="71" spans="1:29" x14ac:dyDescent="0.25">
      <c r="A71" s="9" t="s">
        <v>224</v>
      </c>
      <c r="B71" s="146"/>
      <c r="C71" s="154"/>
      <c r="D71" s="149"/>
      <c r="E71" s="140" t="str">
        <f>IF(E70="", "", E70-D70)</f>
        <v/>
      </c>
      <c r="F71" s="140" t="str">
        <f>IF(F70="", "", F70-E70)</f>
        <v/>
      </c>
      <c r="G71" s="140" t="str">
        <f>IF(G70="", "", G70-F70)</f>
        <v/>
      </c>
      <c r="H71" s="140"/>
      <c r="I71" s="140" t="str">
        <f t="shared" ref="I71:AB71" si="21">IF(I70="", "", I70-H70)</f>
        <v/>
      </c>
      <c r="J71" s="140" t="str">
        <f t="shared" si="21"/>
        <v/>
      </c>
      <c r="K71" s="140" t="str">
        <f t="shared" si="21"/>
        <v/>
      </c>
      <c r="L71" s="140" t="str">
        <f t="shared" si="21"/>
        <v/>
      </c>
      <c r="M71" s="140" t="str">
        <f t="shared" si="21"/>
        <v/>
      </c>
      <c r="N71" s="140" t="str">
        <f t="shared" si="21"/>
        <v/>
      </c>
      <c r="O71" s="140" t="str">
        <f t="shared" si="21"/>
        <v/>
      </c>
      <c r="P71" s="140" t="str">
        <f t="shared" si="21"/>
        <v/>
      </c>
      <c r="Q71" s="140" t="str">
        <f t="shared" si="21"/>
        <v/>
      </c>
      <c r="R71" s="140" t="str">
        <f t="shared" si="21"/>
        <v/>
      </c>
      <c r="S71" s="140" t="str">
        <f t="shared" si="21"/>
        <v/>
      </c>
      <c r="T71" s="140" t="str">
        <f t="shared" si="21"/>
        <v/>
      </c>
      <c r="U71" s="140" t="str">
        <f t="shared" si="21"/>
        <v/>
      </c>
      <c r="V71" s="140" t="str">
        <f t="shared" si="21"/>
        <v/>
      </c>
      <c r="W71" s="140" t="str">
        <f t="shared" si="21"/>
        <v/>
      </c>
      <c r="X71" s="140" t="str">
        <f t="shared" si="21"/>
        <v/>
      </c>
      <c r="Y71" s="140" t="str">
        <f t="shared" si="21"/>
        <v/>
      </c>
      <c r="Z71" s="140" t="str">
        <f t="shared" si="21"/>
        <v/>
      </c>
      <c r="AA71" s="140" t="str">
        <f t="shared" si="21"/>
        <v/>
      </c>
      <c r="AB71" s="140" t="str">
        <f t="shared" si="21"/>
        <v/>
      </c>
    </row>
    <row r="72" spans="1:29" x14ac:dyDescent="0.25">
      <c r="A72" s="9" t="s">
        <v>225</v>
      </c>
      <c r="B72" s="213" t="s">
        <v>343</v>
      </c>
      <c r="C72" s="213" t="s">
        <v>344</v>
      </c>
      <c r="D72" s="16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</row>
    <row r="73" spans="1:29" x14ac:dyDescent="0.25">
      <c r="A73" s="11" t="s">
        <v>32</v>
      </c>
      <c r="B73" s="201">
        <f t="shared" ref="B73:B82" si="22">IFERROR(AVERAGE(D73:AB73),"")</f>
        <v>21.25476475</v>
      </c>
      <c r="C73" s="256">
        <f t="shared" ref="C73:C82" si="23">100*$AC73/$AC$83</f>
        <v>2.1444760768292168</v>
      </c>
      <c r="D73" s="166">
        <v>21.252949000000001</v>
      </c>
      <c r="E73" s="167">
        <v>21.276399000000001</v>
      </c>
      <c r="F73" s="167">
        <v>21.328873000000002</v>
      </c>
      <c r="G73" s="167">
        <v>21.160837999999998</v>
      </c>
      <c r="H73" s="110"/>
      <c r="I73" s="110"/>
      <c r="J73" s="110"/>
      <c r="K73" s="110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>
        <f>$B73*2.016</f>
        <v>42.849605736000001</v>
      </c>
    </row>
    <row r="74" spans="1:29" x14ac:dyDescent="0.25">
      <c r="A74" s="11" t="s">
        <v>33</v>
      </c>
      <c r="B74" s="201">
        <f t="shared" si="22"/>
        <v>1.6545810000000001</v>
      </c>
      <c r="C74" s="256">
        <f t="shared" si="23"/>
        <v>2.3227115201178794</v>
      </c>
      <c r="D74" s="166">
        <v>1.6348750000000001</v>
      </c>
      <c r="E74" s="167">
        <v>1.6571050000000001</v>
      </c>
      <c r="F74" s="167">
        <v>1.661751</v>
      </c>
      <c r="G74" s="167">
        <v>1.664593</v>
      </c>
      <c r="H74" s="110"/>
      <c r="I74" s="110"/>
      <c r="J74" s="110"/>
      <c r="K74" s="110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>
        <f>$B74*28.05</f>
        <v>46.410997050000006</v>
      </c>
    </row>
    <row r="75" spans="1:29" x14ac:dyDescent="0.25">
      <c r="A75" s="11" t="s">
        <v>34</v>
      </c>
      <c r="B75" s="201">
        <f t="shared" si="22"/>
        <v>2.5912717499999998</v>
      </c>
      <c r="C75" s="256">
        <f t="shared" si="23"/>
        <v>2.0801358542999777</v>
      </c>
      <c r="D75" s="166">
        <v>2.5716230000000002</v>
      </c>
      <c r="E75" s="167">
        <v>2.5897489999999999</v>
      </c>
      <c r="F75" s="167">
        <v>2.596298</v>
      </c>
      <c r="G75" s="167">
        <v>2.6074169999999999</v>
      </c>
      <c r="H75" s="110"/>
      <c r="I75" s="110"/>
      <c r="J75" s="110"/>
      <c r="K75" s="110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>
        <f>$B75*16.04</f>
        <v>41.563998869999992</v>
      </c>
    </row>
    <row r="76" spans="1:29" x14ac:dyDescent="0.25">
      <c r="A76" s="11" t="s">
        <v>35</v>
      </c>
      <c r="B76" s="201">
        <f t="shared" si="22"/>
        <v>2.1147499999999999E-3</v>
      </c>
      <c r="C76" s="256">
        <f t="shared" si="23"/>
        <v>3.1823826214048816E-3</v>
      </c>
      <c r="D76" s="166">
        <v>3.326E-3</v>
      </c>
      <c r="E76" s="167">
        <v>1.7390000000000001E-3</v>
      </c>
      <c r="F76" s="167">
        <v>1.66E-3</v>
      </c>
      <c r="G76" s="167">
        <v>1.7340000000000001E-3</v>
      </c>
      <c r="H76" s="110"/>
      <c r="I76" s="110"/>
      <c r="J76" s="110"/>
      <c r="K76" s="110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>
        <f>$B76*30.069</f>
        <v>6.3588417750000001E-2</v>
      </c>
    </row>
    <row r="77" spans="1:29" x14ac:dyDescent="0.25">
      <c r="A77" s="11" t="s">
        <v>36</v>
      </c>
      <c r="B77" s="201">
        <f t="shared" si="22"/>
        <v>59.161843000000005</v>
      </c>
      <c r="C77" s="256">
        <f t="shared" si="23"/>
        <v>82.942226871979827</v>
      </c>
      <c r="D77" s="166">
        <v>59.239097999999998</v>
      </c>
      <c r="E77" s="167">
        <v>59.217761000000003</v>
      </c>
      <c r="F77" s="167">
        <v>59.163066000000001</v>
      </c>
      <c r="G77" s="167">
        <v>59.027447000000002</v>
      </c>
      <c r="H77" s="110"/>
      <c r="I77" s="110"/>
      <c r="J77" s="110"/>
      <c r="K77" s="110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>
        <f>$B77*28.013</f>
        <v>1657.3007079590002</v>
      </c>
    </row>
    <row r="78" spans="1:29" x14ac:dyDescent="0.25">
      <c r="A78" s="11" t="s">
        <v>37</v>
      </c>
      <c r="B78" s="201">
        <f t="shared" si="22"/>
        <v>0</v>
      </c>
      <c r="C78" s="256">
        <f t="shared" si="23"/>
        <v>0</v>
      </c>
      <c r="D78" s="166">
        <v>0</v>
      </c>
      <c r="E78" s="167">
        <v>0</v>
      </c>
      <c r="F78" s="167">
        <v>0</v>
      </c>
      <c r="G78" s="167">
        <v>0</v>
      </c>
      <c r="H78" s="110"/>
      <c r="I78" s="110"/>
      <c r="J78" s="110"/>
      <c r="K78" s="110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>
        <f>$B78*44.01</f>
        <v>0</v>
      </c>
    </row>
    <row r="79" spans="1:29" x14ac:dyDescent="0.25">
      <c r="A79" s="11" t="s">
        <v>38</v>
      </c>
      <c r="B79" s="201">
        <f t="shared" si="22"/>
        <v>0</v>
      </c>
      <c r="C79" s="256">
        <f t="shared" si="23"/>
        <v>0</v>
      </c>
      <c r="D79" s="166">
        <v>0</v>
      </c>
      <c r="E79" s="167">
        <v>0</v>
      </c>
      <c r="F79" s="167">
        <v>0</v>
      </c>
      <c r="G79" s="167">
        <v>0</v>
      </c>
      <c r="H79" s="110"/>
      <c r="I79" s="110"/>
      <c r="J79" s="110"/>
      <c r="K79" s="110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>
        <f>$B79*28.01</f>
        <v>0</v>
      </c>
    </row>
    <row r="80" spans="1:29" x14ac:dyDescent="0.25">
      <c r="A80" s="11" t="s">
        <v>55</v>
      </c>
      <c r="B80" s="201">
        <f t="shared" si="22"/>
        <v>8.0632064999999997</v>
      </c>
      <c r="C80" s="256">
        <f t="shared" si="23"/>
        <v>10.507267294151694</v>
      </c>
      <c r="D80" s="166">
        <v>7.9262290000000002</v>
      </c>
      <c r="E80" s="167">
        <v>8.0791120000000003</v>
      </c>
      <c r="F80" s="167">
        <v>8.1148100000000003</v>
      </c>
      <c r="G80" s="167">
        <v>8.1326750000000008</v>
      </c>
      <c r="H80" s="110"/>
      <c r="I80" s="110"/>
      <c r="J80" s="110"/>
      <c r="K80" s="110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>
        <f>$B80*26.038</f>
        <v>209.949770847</v>
      </c>
    </row>
    <row r="81" spans="1:29" x14ac:dyDescent="0.25">
      <c r="A81" s="11" t="s">
        <v>56</v>
      </c>
      <c r="B81" s="201">
        <f t="shared" si="22"/>
        <v>0</v>
      </c>
      <c r="C81" s="256">
        <f t="shared" si="23"/>
        <v>0</v>
      </c>
      <c r="D81" s="166">
        <v>0</v>
      </c>
      <c r="E81" s="167">
        <v>0</v>
      </c>
      <c r="F81" s="167">
        <v>0</v>
      </c>
      <c r="G81" s="167">
        <v>0</v>
      </c>
      <c r="H81" s="110"/>
      <c r="I81" s="110"/>
      <c r="J81" s="110"/>
      <c r="K81" s="110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>
        <f>$B81*42.081</f>
        <v>0</v>
      </c>
    </row>
    <row r="82" spans="1:29" x14ac:dyDescent="0.25">
      <c r="A82" s="11" t="s">
        <v>57</v>
      </c>
      <c r="B82" s="201">
        <f t="shared" si="22"/>
        <v>0</v>
      </c>
      <c r="C82" s="256">
        <f t="shared" si="23"/>
        <v>0</v>
      </c>
      <c r="D82" s="166">
        <v>0</v>
      </c>
      <c r="E82" s="167">
        <v>0</v>
      </c>
      <c r="F82" s="166">
        <v>0</v>
      </c>
      <c r="G82" s="167">
        <v>0</v>
      </c>
      <c r="H82" s="110"/>
      <c r="I82" s="110"/>
      <c r="J82" s="110"/>
      <c r="K82" s="110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>
        <f>$B82*44.097</f>
        <v>0</v>
      </c>
    </row>
    <row r="83" spans="1:29" x14ac:dyDescent="0.25">
      <c r="AC83">
        <f>SUM(AC73:AC82)</f>
        <v>1998.1386688797502</v>
      </c>
    </row>
    <row r="85" spans="1:29" x14ac:dyDescent="0.25">
      <c r="A85" s="9" t="s">
        <v>348</v>
      </c>
      <c r="B85" s="143"/>
      <c r="C85" s="151"/>
      <c r="D85" s="130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</row>
    <row r="86" spans="1:29" x14ac:dyDescent="0.25">
      <c r="A86" s="139" t="s">
        <v>222</v>
      </c>
      <c r="B86" s="144"/>
      <c r="C86" s="152"/>
      <c r="D86" s="163"/>
      <c r="E86" s="163"/>
      <c r="F86" s="164"/>
      <c r="G86" s="164"/>
      <c r="H86" s="164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</row>
    <row r="87" spans="1:29" x14ac:dyDescent="0.25">
      <c r="A87" s="9" t="s">
        <v>223</v>
      </c>
      <c r="B87" s="145"/>
      <c r="C87" s="153"/>
      <c r="D87" s="148" t="str">
        <f t="shared" ref="D87:AB87" si="24">IF(D85="", "", (D86-$D$16)*1440)</f>
        <v/>
      </c>
      <c r="E87" s="140" t="str">
        <f t="shared" si="24"/>
        <v/>
      </c>
      <c r="F87" s="140" t="str">
        <f t="shared" si="24"/>
        <v/>
      </c>
      <c r="G87" s="140" t="str">
        <f t="shared" si="24"/>
        <v/>
      </c>
      <c r="H87" s="140" t="str">
        <f t="shared" si="24"/>
        <v/>
      </c>
      <c r="I87" s="140" t="str">
        <f t="shared" si="24"/>
        <v/>
      </c>
      <c r="J87" s="140" t="str">
        <f t="shared" si="24"/>
        <v/>
      </c>
      <c r="K87" s="140" t="str">
        <f t="shared" si="24"/>
        <v/>
      </c>
      <c r="L87" s="140" t="str">
        <f t="shared" si="24"/>
        <v/>
      </c>
      <c r="M87" s="140" t="str">
        <f t="shared" si="24"/>
        <v/>
      </c>
      <c r="N87" s="140" t="str">
        <f t="shared" si="24"/>
        <v/>
      </c>
      <c r="O87" s="140" t="str">
        <f t="shared" si="24"/>
        <v/>
      </c>
      <c r="P87" s="140" t="str">
        <f t="shared" si="24"/>
        <v/>
      </c>
      <c r="Q87" s="140" t="str">
        <f t="shared" si="24"/>
        <v/>
      </c>
      <c r="R87" s="140" t="str">
        <f t="shared" si="24"/>
        <v/>
      </c>
      <c r="S87" s="140" t="str">
        <f t="shared" si="24"/>
        <v/>
      </c>
      <c r="T87" s="140" t="str">
        <f t="shared" si="24"/>
        <v/>
      </c>
      <c r="U87" s="140" t="str">
        <f t="shared" si="24"/>
        <v/>
      </c>
      <c r="V87" s="140" t="str">
        <f t="shared" si="24"/>
        <v/>
      </c>
      <c r="W87" s="140" t="str">
        <f t="shared" si="24"/>
        <v/>
      </c>
      <c r="X87" s="140" t="str">
        <f t="shared" si="24"/>
        <v/>
      </c>
      <c r="Y87" s="140" t="str">
        <f t="shared" si="24"/>
        <v/>
      </c>
      <c r="Z87" s="140" t="str">
        <f t="shared" si="24"/>
        <v/>
      </c>
      <c r="AA87" s="140" t="str">
        <f t="shared" si="24"/>
        <v/>
      </c>
      <c r="AB87" s="140" t="str">
        <f t="shared" si="24"/>
        <v/>
      </c>
    </row>
    <row r="88" spans="1:29" x14ac:dyDescent="0.25">
      <c r="A88" s="9" t="s">
        <v>224</v>
      </c>
      <c r="B88" s="146"/>
      <c r="C88" s="154"/>
      <c r="D88" s="149"/>
      <c r="E88" s="140" t="str">
        <f>IF(E87="", "", E87-D87)</f>
        <v/>
      </c>
      <c r="F88" s="140" t="str">
        <f>IF(F87="", "", F87-E87)</f>
        <v/>
      </c>
      <c r="G88" s="140" t="str">
        <f>IF(G87="", "", G87-F87)</f>
        <v/>
      </c>
      <c r="H88" s="140"/>
      <c r="I88" s="140" t="str">
        <f t="shared" ref="I88:AB88" si="25">IF(I87="", "", I87-H87)</f>
        <v/>
      </c>
      <c r="J88" s="140" t="str">
        <f t="shared" si="25"/>
        <v/>
      </c>
      <c r="K88" s="140" t="str">
        <f t="shared" si="25"/>
        <v/>
      </c>
      <c r="L88" s="140" t="str">
        <f t="shared" si="25"/>
        <v/>
      </c>
      <c r="M88" s="140" t="str">
        <f t="shared" si="25"/>
        <v/>
      </c>
      <c r="N88" s="140" t="str">
        <f t="shared" si="25"/>
        <v/>
      </c>
      <c r="O88" s="140" t="str">
        <f t="shared" si="25"/>
        <v/>
      </c>
      <c r="P88" s="140" t="str">
        <f t="shared" si="25"/>
        <v/>
      </c>
      <c r="Q88" s="140" t="str">
        <f t="shared" si="25"/>
        <v/>
      </c>
      <c r="R88" s="140" t="str">
        <f t="shared" si="25"/>
        <v/>
      </c>
      <c r="S88" s="140" t="str">
        <f t="shared" si="25"/>
        <v/>
      </c>
      <c r="T88" s="140" t="str">
        <f t="shared" si="25"/>
        <v/>
      </c>
      <c r="U88" s="140" t="str">
        <f t="shared" si="25"/>
        <v/>
      </c>
      <c r="V88" s="140" t="str">
        <f t="shared" si="25"/>
        <v/>
      </c>
      <c r="W88" s="140" t="str">
        <f t="shared" si="25"/>
        <v/>
      </c>
      <c r="X88" s="140" t="str">
        <f t="shared" si="25"/>
        <v/>
      </c>
      <c r="Y88" s="140" t="str">
        <f t="shared" si="25"/>
        <v/>
      </c>
      <c r="Z88" s="140" t="str">
        <f t="shared" si="25"/>
        <v/>
      </c>
      <c r="AA88" s="140" t="str">
        <f t="shared" si="25"/>
        <v/>
      </c>
      <c r="AB88" s="140" t="str">
        <f t="shared" si="25"/>
        <v/>
      </c>
    </row>
    <row r="89" spans="1:29" x14ac:dyDescent="0.25">
      <c r="A89" s="9" t="s">
        <v>225</v>
      </c>
      <c r="B89" s="213" t="s">
        <v>343</v>
      </c>
      <c r="C89" s="213" t="s">
        <v>344</v>
      </c>
      <c r="D89" s="16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</row>
    <row r="90" spans="1:29" x14ac:dyDescent="0.25">
      <c r="A90" s="11" t="s">
        <v>32</v>
      </c>
      <c r="B90" s="201">
        <f t="shared" ref="B90:B99" si="26">IFERROR(AVERAGE(D90:AB90),"")</f>
        <v>21.262687249999999</v>
      </c>
      <c r="C90" s="256">
        <f t="shared" ref="C90:C99" si="27">100*$AC90/$AC$100</f>
        <v>2.1471697734435664</v>
      </c>
      <c r="D90" s="166">
        <v>21.289815999999998</v>
      </c>
      <c r="E90" s="167">
        <v>21.369872000000001</v>
      </c>
      <c r="F90" s="167">
        <v>21.322164000000001</v>
      </c>
      <c r="G90" s="167">
        <v>21.068897</v>
      </c>
      <c r="H90" s="110"/>
      <c r="I90" s="110"/>
      <c r="J90" s="110"/>
      <c r="K90" s="110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>
        <f>$B90*2.016</f>
        <v>42.865577496</v>
      </c>
    </row>
    <row r="91" spans="1:29" x14ac:dyDescent="0.25">
      <c r="A91" s="11" t="s">
        <v>33</v>
      </c>
      <c r="B91" s="201">
        <f t="shared" si="26"/>
        <v>1.6499187499999999</v>
      </c>
      <c r="C91" s="256">
        <f t="shared" si="27"/>
        <v>2.318211891921039</v>
      </c>
      <c r="D91" s="166">
        <v>1.645878</v>
      </c>
      <c r="E91" s="167">
        <v>1.64825</v>
      </c>
      <c r="F91" s="167">
        <v>1.651322</v>
      </c>
      <c r="G91" s="167">
        <v>1.6542250000000001</v>
      </c>
      <c r="H91" s="110"/>
      <c r="I91" s="110"/>
      <c r="J91" s="110"/>
      <c r="K91" s="110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>
        <f>$B91*28.05</f>
        <v>46.280220937499998</v>
      </c>
    </row>
    <row r="92" spans="1:29" x14ac:dyDescent="0.25">
      <c r="A92" s="11" t="s">
        <v>34</v>
      </c>
      <c r="B92" s="201">
        <f t="shared" si="26"/>
        <v>2.5909722499999996</v>
      </c>
      <c r="C92" s="256">
        <f t="shared" si="27"/>
        <v>2.0817320630938712</v>
      </c>
      <c r="D92" s="166">
        <v>2.5859299999999998</v>
      </c>
      <c r="E92" s="167">
        <v>2.5882529999999999</v>
      </c>
      <c r="F92" s="167">
        <v>2.5925159999999998</v>
      </c>
      <c r="G92" s="167">
        <v>2.5971899999999999</v>
      </c>
      <c r="H92" s="110"/>
      <c r="I92" s="110"/>
      <c r="J92" s="110"/>
      <c r="K92" s="110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>
        <f>$B92*16.04</f>
        <v>41.559194889999993</v>
      </c>
    </row>
    <row r="93" spans="1:29" x14ac:dyDescent="0.25">
      <c r="A93" s="11" t="s">
        <v>35</v>
      </c>
      <c r="B93" s="201">
        <f t="shared" si="26"/>
        <v>1.8795000000000001E-3</v>
      </c>
      <c r="C93" s="256">
        <f t="shared" si="27"/>
        <v>2.8308641000484103E-3</v>
      </c>
      <c r="D93" s="166">
        <v>2.1450000000000002E-3</v>
      </c>
      <c r="E93" s="167">
        <v>1.7910000000000001E-3</v>
      </c>
      <c r="F93" s="167">
        <v>1.7210000000000001E-3</v>
      </c>
      <c r="G93" s="167">
        <v>1.861E-3</v>
      </c>
      <c r="H93" s="110"/>
      <c r="I93" s="110"/>
      <c r="J93" s="110"/>
      <c r="K93" s="110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>
        <f>$B93*30.069</f>
        <v>5.6514685500000002E-2</v>
      </c>
    </row>
    <row r="94" spans="1:29" x14ac:dyDescent="0.25">
      <c r="A94" s="11" t="s">
        <v>36</v>
      </c>
      <c r="B94" s="201">
        <f t="shared" si="26"/>
        <v>59.147995250000008</v>
      </c>
      <c r="C94" s="256">
        <f t="shared" si="27"/>
        <v>82.99603714114464</v>
      </c>
      <c r="D94" s="166">
        <v>59.103439999999999</v>
      </c>
      <c r="E94" s="167">
        <v>59.31626</v>
      </c>
      <c r="F94" s="167">
        <v>59.164338999999998</v>
      </c>
      <c r="G94" s="167">
        <v>59.007942</v>
      </c>
      <c r="H94" s="110"/>
      <c r="I94" s="110"/>
      <c r="J94" s="110"/>
      <c r="K94" s="110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>
        <f>$B94*28.013</f>
        <v>1656.9127909382503</v>
      </c>
    </row>
    <row r="95" spans="1:29" x14ac:dyDescent="0.25">
      <c r="A95" s="11" t="s">
        <v>37</v>
      </c>
      <c r="B95" s="201">
        <f t="shared" si="26"/>
        <v>0</v>
      </c>
      <c r="C95" s="256">
        <f t="shared" si="27"/>
        <v>0</v>
      </c>
      <c r="D95" s="166">
        <v>0</v>
      </c>
      <c r="E95" s="167">
        <v>0</v>
      </c>
      <c r="F95" s="167">
        <v>0</v>
      </c>
      <c r="G95" s="167">
        <v>0</v>
      </c>
      <c r="H95" s="110"/>
      <c r="I95" s="110"/>
      <c r="J95" s="110"/>
      <c r="K95" s="110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>
        <f>$B95*44.01</f>
        <v>0</v>
      </c>
    </row>
    <row r="96" spans="1:29" x14ac:dyDescent="0.25">
      <c r="A96" s="11" t="s">
        <v>38</v>
      </c>
      <c r="B96" s="201">
        <f t="shared" si="26"/>
        <v>0</v>
      </c>
      <c r="C96" s="256">
        <f t="shared" si="27"/>
        <v>0</v>
      </c>
      <c r="D96" s="166">
        <v>0</v>
      </c>
      <c r="E96" s="167">
        <v>0</v>
      </c>
      <c r="F96" s="167">
        <v>0</v>
      </c>
      <c r="G96" s="167">
        <v>0</v>
      </c>
      <c r="H96" s="110"/>
      <c r="I96" s="110"/>
      <c r="J96" s="110"/>
      <c r="K96" s="110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>
        <f>$B96*28.01</f>
        <v>0</v>
      </c>
    </row>
    <row r="97" spans="1:29" x14ac:dyDescent="0.25">
      <c r="A97" s="11" t="s">
        <v>55</v>
      </c>
      <c r="B97" s="201">
        <f t="shared" si="26"/>
        <v>8.0152657499999993</v>
      </c>
      <c r="C97" s="256">
        <f t="shared" si="27"/>
        <v>10.454018266296822</v>
      </c>
      <c r="D97" s="166">
        <v>7.9928470000000003</v>
      </c>
      <c r="E97" s="167">
        <v>8.0053929999999998</v>
      </c>
      <c r="F97" s="167">
        <v>8.0244239999999998</v>
      </c>
      <c r="G97" s="167">
        <v>8.0383990000000001</v>
      </c>
      <c r="H97" s="110"/>
      <c r="I97" s="110"/>
      <c r="J97" s="110"/>
      <c r="K97" s="110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>
        <f>$B97*26.038</f>
        <v>208.70148959849999</v>
      </c>
    </row>
    <row r="98" spans="1:29" x14ac:dyDescent="0.25">
      <c r="A98" s="11" t="s">
        <v>56</v>
      </c>
      <c r="B98" s="201">
        <f t="shared" si="26"/>
        <v>0</v>
      </c>
      <c r="C98" s="256">
        <f t="shared" si="27"/>
        <v>0</v>
      </c>
      <c r="D98" s="166">
        <v>0</v>
      </c>
      <c r="E98" s="167">
        <v>0</v>
      </c>
      <c r="F98" s="167">
        <v>0</v>
      </c>
      <c r="G98" s="167">
        <v>0</v>
      </c>
      <c r="H98" s="110"/>
      <c r="I98" s="110"/>
      <c r="J98" s="110"/>
      <c r="K98" s="110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>
        <f>$B98*42.081</f>
        <v>0</v>
      </c>
    </row>
    <row r="99" spans="1:29" x14ac:dyDescent="0.25">
      <c r="A99" s="11" t="s">
        <v>57</v>
      </c>
      <c r="B99" s="201">
        <f t="shared" si="26"/>
        <v>0</v>
      </c>
      <c r="C99" s="256">
        <f t="shared" si="27"/>
        <v>0</v>
      </c>
      <c r="D99" s="166">
        <v>0</v>
      </c>
      <c r="E99" s="167">
        <v>0</v>
      </c>
      <c r="F99" s="166">
        <v>0</v>
      </c>
      <c r="G99" s="167">
        <v>0</v>
      </c>
      <c r="H99" s="110"/>
      <c r="I99" s="110"/>
      <c r="J99" s="110"/>
      <c r="K99" s="110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>
        <f>$B99*44.097</f>
        <v>0</v>
      </c>
    </row>
    <row r="100" spans="1:29" x14ac:dyDescent="0.25">
      <c r="AC100">
        <f>SUM(AC90:AC99)</f>
        <v>1996.3757885457503</v>
      </c>
    </row>
    <row r="102" spans="1:29" x14ac:dyDescent="0.25">
      <c r="A102" s="9" t="s">
        <v>349</v>
      </c>
      <c r="B102" s="143"/>
      <c r="C102" s="151"/>
      <c r="D102" s="130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</row>
    <row r="103" spans="1:29" x14ac:dyDescent="0.25">
      <c r="A103" s="139" t="s">
        <v>222</v>
      </c>
      <c r="B103" s="144"/>
      <c r="C103" s="152"/>
      <c r="D103" s="163"/>
      <c r="E103" s="163"/>
      <c r="F103" s="164"/>
      <c r="G103" s="164"/>
      <c r="H103" s="164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</row>
    <row r="104" spans="1:29" x14ac:dyDescent="0.25">
      <c r="A104" s="9" t="s">
        <v>223</v>
      </c>
      <c r="B104" s="145"/>
      <c r="C104" s="153"/>
      <c r="D104" s="148" t="str">
        <f t="shared" ref="D104:AB104" si="28">IF(D102="", "", (D103-$D$16)*1440)</f>
        <v/>
      </c>
      <c r="E104" s="140" t="str">
        <f t="shared" si="28"/>
        <v/>
      </c>
      <c r="F104" s="140" t="str">
        <f t="shared" si="28"/>
        <v/>
      </c>
      <c r="G104" s="140" t="str">
        <f t="shared" si="28"/>
        <v/>
      </c>
      <c r="H104" s="140" t="str">
        <f t="shared" si="28"/>
        <v/>
      </c>
      <c r="I104" s="140" t="str">
        <f t="shared" si="28"/>
        <v/>
      </c>
      <c r="J104" s="140" t="str">
        <f t="shared" si="28"/>
        <v/>
      </c>
      <c r="K104" s="140" t="str">
        <f t="shared" si="28"/>
        <v/>
      </c>
      <c r="L104" s="140" t="str">
        <f t="shared" si="28"/>
        <v/>
      </c>
      <c r="M104" s="140" t="str">
        <f t="shared" si="28"/>
        <v/>
      </c>
      <c r="N104" s="140" t="str">
        <f t="shared" si="28"/>
        <v/>
      </c>
      <c r="O104" s="140" t="str">
        <f t="shared" si="28"/>
        <v/>
      </c>
      <c r="P104" s="140" t="str">
        <f t="shared" si="28"/>
        <v/>
      </c>
      <c r="Q104" s="140" t="str">
        <f t="shared" si="28"/>
        <v/>
      </c>
      <c r="R104" s="140" t="str">
        <f t="shared" si="28"/>
        <v/>
      </c>
      <c r="S104" s="140" t="str">
        <f t="shared" si="28"/>
        <v/>
      </c>
      <c r="T104" s="140" t="str">
        <f t="shared" si="28"/>
        <v/>
      </c>
      <c r="U104" s="140" t="str">
        <f t="shared" si="28"/>
        <v/>
      </c>
      <c r="V104" s="140" t="str">
        <f t="shared" si="28"/>
        <v/>
      </c>
      <c r="W104" s="140" t="str">
        <f t="shared" si="28"/>
        <v/>
      </c>
      <c r="X104" s="140" t="str">
        <f t="shared" si="28"/>
        <v/>
      </c>
      <c r="Y104" s="140" t="str">
        <f t="shared" si="28"/>
        <v/>
      </c>
      <c r="Z104" s="140" t="str">
        <f t="shared" si="28"/>
        <v/>
      </c>
      <c r="AA104" s="140" t="str">
        <f t="shared" si="28"/>
        <v/>
      </c>
      <c r="AB104" s="140" t="str">
        <f t="shared" si="28"/>
        <v/>
      </c>
    </row>
    <row r="105" spans="1:29" x14ac:dyDescent="0.25">
      <c r="A105" s="9" t="s">
        <v>224</v>
      </c>
      <c r="B105" s="146"/>
      <c r="C105" s="154"/>
      <c r="D105" s="149"/>
      <c r="E105" s="140" t="str">
        <f>IF(E104="", "", E104-D104)</f>
        <v/>
      </c>
      <c r="F105" s="140" t="str">
        <f>IF(F104="", "", F104-E104)</f>
        <v/>
      </c>
      <c r="G105" s="140" t="str">
        <f>IF(G104="", "", G104-F104)</f>
        <v/>
      </c>
      <c r="H105" s="140"/>
      <c r="I105" s="140" t="str">
        <f t="shared" ref="I105:AB105" si="29">IF(I104="", "", I104-H104)</f>
        <v/>
      </c>
      <c r="J105" s="140" t="str">
        <f t="shared" si="29"/>
        <v/>
      </c>
      <c r="K105" s="140" t="str">
        <f t="shared" si="29"/>
        <v/>
      </c>
      <c r="L105" s="140" t="str">
        <f t="shared" si="29"/>
        <v/>
      </c>
      <c r="M105" s="140" t="str">
        <f t="shared" si="29"/>
        <v/>
      </c>
      <c r="N105" s="140" t="str">
        <f t="shared" si="29"/>
        <v/>
      </c>
      <c r="O105" s="140" t="str">
        <f t="shared" si="29"/>
        <v/>
      </c>
      <c r="P105" s="140" t="str">
        <f t="shared" si="29"/>
        <v/>
      </c>
      <c r="Q105" s="140" t="str">
        <f t="shared" si="29"/>
        <v/>
      </c>
      <c r="R105" s="140" t="str">
        <f t="shared" si="29"/>
        <v/>
      </c>
      <c r="S105" s="140" t="str">
        <f t="shared" si="29"/>
        <v/>
      </c>
      <c r="T105" s="140" t="str">
        <f t="shared" si="29"/>
        <v/>
      </c>
      <c r="U105" s="140" t="str">
        <f t="shared" si="29"/>
        <v/>
      </c>
      <c r="V105" s="140" t="str">
        <f t="shared" si="29"/>
        <v/>
      </c>
      <c r="W105" s="140" t="str">
        <f t="shared" si="29"/>
        <v/>
      </c>
      <c r="X105" s="140" t="str">
        <f t="shared" si="29"/>
        <v/>
      </c>
      <c r="Y105" s="140" t="str">
        <f t="shared" si="29"/>
        <v/>
      </c>
      <c r="Z105" s="140" t="str">
        <f t="shared" si="29"/>
        <v/>
      </c>
      <c r="AA105" s="140" t="str">
        <f t="shared" si="29"/>
        <v/>
      </c>
      <c r="AB105" s="140" t="str">
        <f t="shared" si="29"/>
        <v/>
      </c>
    </row>
    <row r="106" spans="1:29" x14ac:dyDescent="0.25">
      <c r="A106" s="9" t="s">
        <v>225</v>
      </c>
      <c r="B106" s="213" t="s">
        <v>343</v>
      </c>
      <c r="C106" s="213" t="s">
        <v>344</v>
      </c>
      <c r="D106" s="16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</row>
    <row r="107" spans="1:29" x14ac:dyDescent="0.25">
      <c r="A107" s="11" t="s">
        <v>32</v>
      </c>
      <c r="B107" s="201">
        <f t="shared" ref="B107:B116" si="30">IFERROR(AVERAGE(D107:AB107),"")</f>
        <v>21.229101</v>
      </c>
      <c r="C107" s="256">
        <f t="shared" ref="C107:C116" si="31">100*$AC107/$AC$117</f>
        <v>2.1434001099506026</v>
      </c>
      <c r="D107" s="166">
        <v>21.227426999999999</v>
      </c>
      <c r="E107" s="167">
        <v>21.363655999999999</v>
      </c>
      <c r="F107" s="167">
        <v>21.270503999999999</v>
      </c>
      <c r="G107" s="167">
        <v>21.054817</v>
      </c>
      <c r="H107" s="110"/>
      <c r="I107" s="110"/>
      <c r="J107" s="110"/>
      <c r="K107" s="110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>
        <f>$B107*2.016</f>
        <v>42.797867615999998</v>
      </c>
    </row>
    <row r="108" spans="1:29" x14ac:dyDescent="0.25">
      <c r="A108" s="11" t="s">
        <v>33</v>
      </c>
      <c r="B108" s="201">
        <f t="shared" si="30"/>
        <v>1.6519397499999999</v>
      </c>
      <c r="C108" s="256">
        <f t="shared" si="31"/>
        <v>2.3206422070628681</v>
      </c>
      <c r="D108" s="166">
        <v>1.6390199999999999</v>
      </c>
      <c r="E108" s="167">
        <v>1.653829</v>
      </c>
      <c r="F108" s="167">
        <v>1.66151</v>
      </c>
      <c r="G108" s="167">
        <v>1.6534</v>
      </c>
      <c r="H108" s="110"/>
      <c r="I108" s="110"/>
      <c r="J108" s="110"/>
      <c r="K108" s="110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>
        <f>$B108*28.05</f>
        <v>46.3369099875</v>
      </c>
    </row>
    <row r="109" spans="1:29" x14ac:dyDescent="0.25">
      <c r="A109" s="11" t="s">
        <v>34</v>
      </c>
      <c r="B109" s="201">
        <f t="shared" si="30"/>
        <v>2.5879845000000001</v>
      </c>
      <c r="C109" s="256">
        <f t="shared" si="31"/>
        <v>2.0789648783066443</v>
      </c>
      <c r="D109" s="166">
        <v>2.5734859999999999</v>
      </c>
      <c r="E109" s="167">
        <v>2.588282</v>
      </c>
      <c r="F109" s="167">
        <v>2.596905</v>
      </c>
      <c r="G109" s="167">
        <v>2.5932650000000002</v>
      </c>
      <c r="H109" s="110"/>
      <c r="I109" s="110"/>
      <c r="J109" s="110"/>
      <c r="K109" s="110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>
        <f>$B109*16.04</f>
        <v>41.511271379999997</v>
      </c>
    </row>
    <row r="110" spans="1:29" x14ac:dyDescent="0.25">
      <c r="A110" s="11" t="s">
        <v>35</v>
      </c>
      <c r="B110" s="201">
        <f t="shared" si="30"/>
        <v>1.9250000000000001E-3</v>
      </c>
      <c r="C110" s="256">
        <f t="shared" si="31"/>
        <v>2.8988839953995598E-3</v>
      </c>
      <c r="D110" s="166">
        <v>2.2430000000000002E-3</v>
      </c>
      <c r="E110" s="167">
        <v>1.897E-3</v>
      </c>
      <c r="F110" s="167">
        <v>1.8109999999999999E-3</v>
      </c>
      <c r="G110" s="167">
        <v>1.7489999999999999E-3</v>
      </c>
      <c r="H110" s="110"/>
      <c r="I110" s="110"/>
      <c r="J110" s="110"/>
      <c r="K110" s="110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>
        <f>$B110*30.069</f>
        <v>5.7882824999999999E-2</v>
      </c>
    </row>
    <row r="111" spans="1:29" x14ac:dyDescent="0.25">
      <c r="A111" s="11" t="s">
        <v>36</v>
      </c>
      <c r="B111" s="201">
        <f t="shared" si="30"/>
        <v>59.120121749999996</v>
      </c>
      <c r="C111" s="256">
        <f t="shared" si="31"/>
        <v>82.942297024926958</v>
      </c>
      <c r="D111" s="166">
        <v>59.071083000000002</v>
      </c>
      <c r="E111" s="167">
        <v>59.349623999999999</v>
      </c>
      <c r="F111" s="167">
        <v>59.142941999999998</v>
      </c>
      <c r="G111" s="167">
        <v>58.916837999999998</v>
      </c>
      <c r="H111" s="110"/>
      <c r="I111" s="110"/>
      <c r="J111" s="110"/>
      <c r="K111" s="110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>
        <f>$B111*28.013</f>
        <v>1656.13197058275</v>
      </c>
    </row>
    <row r="112" spans="1:29" x14ac:dyDescent="0.25">
      <c r="A112" s="11" t="s">
        <v>37</v>
      </c>
      <c r="B112" s="201">
        <f t="shared" si="30"/>
        <v>0</v>
      </c>
      <c r="C112" s="256">
        <f t="shared" si="31"/>
        <v>0</v>
      </c>
      <c r="D112" s="166">
        <v>0</v>
      </c>
      <c r="E112" s="167">
        <v>0</v>
      </c>
      <c r="F112" s="167">
        <v>0</v>
      </c>
      <c r="G112" s="167">
        <v>0</v>
      </c>
      <c r="H112" s="110"/>
      <c r="I112" s="110"/>
      <c r="J112" s="110"/>
      <c r="K112" s="110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>
        <f>$B112*44.01</f>
        <v>0</v>
      </c>
    </row>
    <row r="113" spans="1:29" x14ac:dyDescent="0.25">
      <c r="A113" s="11" t="s">
        <v>38</v>
      </c>
      <c r="B113" s="201">
        <f t="shared" si="30"/>
        <v>0</v>
      </c>
      <c r="C113" s="256">
        <f t="shared" si="31"/>
        <v>0</v>
      </c>
      <c r="D113" s="166">
        <v>0</v>
      </c>
      <c r="E113" s="167">
        <v>0</v>
      </c>
      <c r="F113" s="167">
        <v>0</v>
      </c>
      <c r="G113" s="167">
        <v>0</v>
      </c>
      <c r="H113" s="110"/>
      <c r="I113" s="110"/>
      <c r="J113" s="110"/>
      <c r="K113" s="110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>
        <f>$B113*28.01</f>
        <v>0</v>
      </c>
    </row>
    <row r="114" spans="1:29" x14ac:dyDescent="0.25">
      <c r="A114" s="11" t="s">
        <v>55</v>
      </c>
      <c r="B114" s="201">
        <f t="shared" si="30"/>
        <v>8.060986999999999</v>
      </c>
      <c r="C114" s="256">
        <f t="shared" si="31"/>
        <v>10.51179689575752</v>
      </c>
      <c r="D114" s="166">
        <v>8.0160750000000007</v>
      </c>
      <c r="E114" s="167">
        <v>8.0795359999999992</v>
      </c>
      <c r="F114" s="167">
        <v>8.1188199999999995</v>
      </c>
      <c r="G114" s="167">
        <v>8.0295170000000002</v>
      </c>
      <c r="H114" s="110"/>
      <c r="I114" s="110"/>
      <c r="J114" s="110"/>
      <c r="K114" s="110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>
        <f>$B114*26.038</f>
        <v>209.89197950599998</v>
      </c>
    </row>
    <row r="115" spans="1:29" x14ac:dyDescent="0.25">
      <c r="A115" s="11" t="s">
        <v>56</v>
      </c>
      <c r="B115" s="201">
        <f t="shared" si="30"/>
        <v>0</v>
      </c>
      <c r="C115" s="256">
        <f t="shared" si="31"/>
        <v>0</v>
      </c>
      <c r="D115" s="166">
        <v>0</v>
      </c>
      <c r="E115" s="167">
        <v>0</v>
      </c>
      <c r="F115" s="167">
        <v>0</v>
      </c>
      <c r="G115" s="167">
        <v>0</v>
      </c>
      <c r="H115" s="110"/>
      <c r="I115" s="110"/>
      <c r="J115" s="110"/>
      <c r="K115" s="110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>
        <f>$B115*42.081</f>
        <v>0</v>
      </c>
    </row>
    <row r="116" spans="1:29" x14ac:dyDescent="0.25">
      <c r="A116" s="11" t="s">
        <v>57</v>
      </c>
      <c r="B116" s="201">
        <f t="shared" si="30"/>
        <v>0</v>
      </c>
      <c r="C116" s="256">
        <f t="shared" si="31"/>
        <v>0</v>
      </c>
      <c r="D116" s="166">
        <v>0</v>
      </c>
      <c r="E116" s="167">
        <v>0</v>
      </c>
      <c r="F116" s="166">
        <v>0</v>
      </c>
      <c r="G116" s="167">
        <v>0</v>
      </c>
      <c r="H116" s="110"/>
      <c r="I116" s="110"/>
      <c r="J116" s="110"/>
      <c r="K116" s="110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>
        <f>$B116*44.097</f>
        <v>0</v>
      </c>
    </row>
    <row r="117" spans="1:29" x14ac:dyDescent="0.25">
      <c r="AC117">
        <f>SUM(AC107:AC116)</f>
        <v>1996.72788189725</v>
      </c>
    </row>
    <row r="119" spans="1:29" x14ac:dyDescent="0.25">
      <c r="A119" s="9" t="s">
        <v>350</v>
      </c>
      <c r="B119" s="143"/>
      <c r="C119" s="151"/>
      <c r="D119" s="130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</row>
    <row r="120" spans="1:29" x14ac:dyDescent="0.25">
      <c r="A120" s="139" t="s">
        <v>222</v>
      </c>
      <c r="B120" s="144"/>
      <c r="C120" s="152"/>
      <c r="D120" s="163"/>
      <c r="E120" s="163"/>
      <c r="F120" s="164"/>
      <c r="G120" s="164"/>
      <c r="H120" s="164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</row>
    <row r="121" spans="1:29" x14ac:dyDescent="0.25">
      <c r="A121" s="9" t="s">
        <v>223</v>
      </c>
      <c r="B121" s="145"/>
      <c r="C121" s="153"/>
      <c r="D121" s="148" t="str">
        <f t="shared" ref="D121:AB121" si="32">IF(D119="", "", (D120-$D$16)*1440)</f>
        <v/>
      </c>
      <c r="E121" s="140" t="str">
        <f t="shared" si="32"/>
        <v/>
      </c>
      <c r="F121" s="140" t="str">
        <f t="shared" si="32"/>
        <v/>
      </c>
      <c r="G121" s="140" t="str">
        <f t="shared" si="32"/>
        <v/>
      </c>
      <c r="H121" s="140" t="str">
        <f t="shared" si="32"/>
        <v/>
      </c>
      <c r="I121" s="140" t="str">
        <f t="shared" si="32"/>
        <v/>
      </c>
      <c r="J121" s="140" t="str">
        <f t="shared" si="32"/>
        <v/>
      </c>
      <c r="K121" s="140" t="str">
        <f t="shared" si="32"/>
        <v/>
      </c>
      <c r="L121" s="140" t="str">
        <f t="shared" si="32"/>
        <v/>
      </c>
      <c r="M121" s="140" t="str">
        <f t="shared" si="32"/>
        <v/>
      </c>
      <c r="N121" s="140" t="str">
        <f t="shared" si="32"/>
        <v/>
      </c>
      <c r="O121" s="140" t="str">
        <f t="shared" si="32"/>
        <v/>
      </c>
      <c r="P121" s="140" t="str">
        <f t="shared" si="32"/>
        <v/>
      </c>
      <c r="Q121" s="140" t="str">
        <f t="shared" si="32"/>
        <v/>
      </c>
      <c r="R121" s="140" t="str">
        <f t="shared" si="32"/>
        <v/>
      </c>
      <c r="S121" s="140" t="str">
        <f t="shared" si="32"/>
        <v/>
      </c>
      <c r="T121" s="140" t="str">
        <f t="shared" si="32"/>
        <v/>
      </c>
      <c r="U121" s="140" t="str">
        <f t="shared" si="32"/>
        <v/>
      </c>
      <c r="V121" s="140" t="str">
        <f t="shared" si="32"/>
        <v/>
      </c>
      <c r="W121" s="140" t="str">
        <f t="shared" si="32"/>
        <v/>
      </c>
      <c r="X121" s="140" t="str">
        <f t="shared" si="32"/>
        <v/>
      </c>
      <c r="Y121" s="140" t="str">
        <f t="shared" si="32"/>
        <v/>
      </c>
      <c r="Z121" s="140" t="str">
        <f t="shared" si="32"/>
        <v/>
      </c>
      <c r="AA121" s="140" t="str">
        <f t="shared" si="32"/>
        <v/>
      </c>
      <c r="AB121" s="140" t="str">
        <f t="shared" si="32"/>
        <v/>
      </c>
    </row>
    <row r="122" spans="1:29" x14ac:dyDescent="0.25">
      <c r="A122" s="9" t="s">
        <v>224</v>
      </c>
      <c r="B122" s="146"/>
      <c r="C122" s="154"/>
      <c r="D122" s="149"/>
      <c r="E122" s="140" t="str">
        <f>IF(E121="", "", E121-D121)</f>
        <v/>
      </c>
      <c r="F122" s="140" t="str">
        <f>IF(F121="", "", F121-E121)</f>
        <v/>
      </c>
      <c r="G122" s="140" t="str">
        <f>IF(G121="", "", G121-F121)</f>
        <v/>
      </c>
      <c r="H122" s="140"/>
      <c r="I122" s="140" t="str">
        <f t="shared" ref="I122:AB122" si="33">IF(I121="", "", I121-H121)</f>
        <v/>
      </c>
      <c r="J122" s="140" t="str">
        <f t="shared" si="33"/>
        <v/>
      </c>
      <c r="K122" s="140" t="str">
        <f t="shared" si="33"/>
        <v/>
      </c>
      <c r="L122" s="140" t="str">
        <f t="shared" si="33"/>
        <v/>
      </c>
      <c r="M122" s="140" t="str">
        <f t="shared" si="33"/>
        <v/>
      </c>
      <c r="N122" s="140" t="str">
        <f t="shared" si="33"/>
        <v/>
      </c>
      <c r="O122" s="140" t="str">
        <f t="shared" si="33"/>
        <v/>
      </c>
      <c r="P122" s="140" t="str">
        <f t="shared" si="33"/>
        <v/>
      </c>
      <c r="Q122" s="140" t="str">
        <f t="shared" si="33"/>
        <v/>
      </c>
      <c r="R122" s="140" t="str">
        <f t="shared" si="33"/>
        <v/>
      </c>
      <c r="S122" s="140" t="str">
        <f t="shared" si="33"/>
        <v/>
      </c>
      <c r="T122" s="140" t="str">
        <f t="shared" si="33"/>
        <v/>
      </c>
      <c r="U122" s="140" t="str">
        <f t="shared" si="33"/>
        <v/>
      </c>
      <c r="V122" s="140" t="str">
        <f t="shared" si="33"/>
        <v/>
      </c>
      <c r="W122" s="140" t="str">
        <f t="shared" si="33"/>
        <v/>
      </c>
      <c r="X122" s="140" t="str">
        <f t="shared" si="33"/>
        <v/>
      </c>
      <c r="Y122" s="140" t="str">
        <f t="shared" si="33"/>
        <v/>
      </c>
      <c r="Z122" s="140" t="str">
        <f t="shared" si="33"/>
        <v/>
      </c>
      <c r="AA122" s="140" t="str">
        <f t="shared" si="33"/>
        <v/>
      </c>
      <c r="AB122" s="140" t="str">
        <f t="shared" si="33"/>
        <v/>
      </c>
    </row>
    <row r="123" spans="1:29" x14ac:dyDescent="0.25">
      <c r="A123" s="9" t="s">
        <v>225</v>
      </c>
      <c r="B123" s="213" t="s">
        <v>343</v>
      </c>
      <c r="C123" s="213" t="s">
        <v>344</v>
      </c>
      <c r="D123" s="16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</row>
    <row r="124" spans="1:29" x14ac:dyDescent="0.25">
      <c r="A124" s="11" t="s">
        <v>32</v>
      </c>
      <c r="B124" s="201">
        <f t="shared" ref="B124:B133" si="34">IFERROR(AVERAGE(D124:AB124),"")</f>
        <v>21.219949750000001</v>
      </c>
      <c r="C124" s="256">
        <f t="shared" ref="C124:C133" si="35">100*$AC124/$AC$134</f>
        <v>2.1425753833368413</v>
      </c>
      <c r="D124" s="166">
        <v>21.249960000000002</v>
      </c>
      <c r="E124" s="167">
        <v>21.289027999999998</v>
      </c>
      <c r="F124" s="167">
        <v>21.232234999999999</v>
      </c>
      <c r="G124" s="167">
        <v>21.108575999999999</v>
      </c>
      <c r="H124" s="110"/>
      <c r="I124" s="110"/>
      <c r="J124" s="110"/>
      <c r="K124" s="110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>
        <f>$B124*2.016</f>
        <v>42.779418696</v>
      </c>
    </row>
    <row r="125" spans="1:29" x14ac:dyDescent="0.25">
      <c r="A125" s="11" t="s">
        <v>33</v>
      </c>
      <c r="B125" s="201">
        <f t="shared" si="34"/>
        <v>1.6564177499999999</v>
      </c>
      <c r="C125" s="256">
        <f t="shared" si="35"/>
        <v>2.3270406683416041</v>
      </c>
      <c r="D125" s="166">
        <v>1.65455</v>
      </c>
      <c r="E125" s="167">
        <v>1.6616379999999999</v>
      </c>
      <c r="F125" s="167">
        <v>1.656142</v>
      </c>
      <c r="G125" s="167">
        <v>1.6533409999999999</v>
      </c>
      <c r="H125" s="110"/>
      <c r="I125" s="110"/>
      <c r="J125" s="110"/>
      <c r="K125" s="110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>
        <f>$B125*28.05</f>
        <v>46.462517887499999</v>
      </c>
    </row>
    <row r="126" spans="1:29" x14ac:dyDescent="0.25">
      <c r="A126" s="11" t="s">
        <v>34</v>
      </c>
      <c r="B126" s="201">
        <f t="shared" si="34"/>
        <v>2.5886312500000002</v>
      </c>
      <c r="C126" s="256">
        <f t="shared" si="35"/>
        <v>2.0795807353177853</v>
      </c>
      <c r="D126" s="166">
        <v>2.5853950000000001</v>
      </c>
      <c r="E126" s="167">
        <v>2.5871650000000002</v>
      </c>
      <c r="F126" s="167">
        <v>2.5898699999999999</v>
      </c>
      <c r="G126" s="167">
        <v>2.592095</v>
      </c>
      <c r="H126" s="110"/>
      <c r="I126" s="110"/>
      <c r="J126" s="110"/>
      <c r="K126" s="110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>
        <f>$B126*16.04</f>
        <v>41.521645249999999</v>
      </c>
    </row>
    <row r="127" spans="1:29" x14ac:dyDescent="0.25">
      <c r="A127" s="11" t="s">
        <v>35</v>
      </c>
      <c r="B127" s="201">
        <f t="shared" si="34"/>
        <v>1.8962499999999999E-3</v>
      </c>
      <c r="C127" s="256">
        <f t="shared" si="35"/>
        <v>2.855721234294669E-3</v>
      </c>
      <c r="D127" s="166">
        <v>2.1559999999999999E-3</v>
      </c>
      <c r="E127" s="167">
        <v>1.841E-3</v>
      </c>
      <c r="F127" s="167">
        <v>1.776E-3</v>
      </c>
      <c r="G127" s="167">
        <v>1.812E-3</v>
      </c>
      <c r="H127" s="110"/>
      <c r="I127" s="110"/>
      <c r="J127" s="110"/>
      <c r="K127" s="110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>
        <f>$B127*30.069</f>
        <v>5.7018341249999993E-2</v>
      </c>
    </row>
    <row r="128" spans="1:29" x14ac:dyDescent="0.25">
      <c r="A128" s="11" t="s">
        <v>36</v>
      </c>
      <c r="B128" s="201">
        <f t="shared" si="34"/>
        <v>59.114254499999994</v>
      </c>
      <c r="C128" s="256">
        <f t="shared" si="35"/>
        <v>82.937906772549354</v>
      </c>
      <c r="D128" s="166">
        <v>59.131070999999999</v>
      </c>
      <c r="E128" s="167">
        <v>59.248953</v>
      </c>
      <c r="F128" s="167">
        <v>59.053013999999997</v>
      </c>
      <c r="G128" s="167">
        <v>59.023980000000002</v>
      </c>
      <c r="H128" s="110"/>
      <c r="I128" s="110"/>
      <c r="J128" s="110"/>
      <c r="K128" s="110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>
        <f>$B128*28.013</f>
        <v>1655.9676113085</v>
      </c>
    </row>
    <row r="129" spans="1:29" x14ac:dyDescent="0.25">
      <c r="A129" s="11" t="s">
        <v>37</v>
      </c>
      <c r="B129" s="201">
        <f t="shared" si="34"/>
        <v>0</v>
      </c>
      <c r="C129" s="256">
        <f t="shared" si="35"/>
        <v>0</v>
      </c>
      <c r="D129" s="166">
        <v>0</v>
      </c>
      <c r="E129" s="167">
        <v>0</v>
      </c>
      <c r="F129" s="167">
        <v>0</v>
      </c>
      <c r="G129" s="167">
        <v>0</v>
      </c>
      <c r="H129" s="110"/>
      <c r="I129" s="110"/>
      <c r="J129" s="110"/>
      <c r="K129" s="110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>
        <f>$B129*44.01</f>
        <v>0</v>
      </c>
    </row>
    <row r="130" spans="1:29" x14ac:dyDescent="0.25">
      <c r="A130" s="11" t="s">
        <v>38</v>
      </c>
      <c r="B130" s="201">
        <f t="shared" si="34"/>
        <v>0</v>
      </c>
      <c r="C130" s="256">
        <f t="shared" si="35"/>
        <v>0</v>
      </c>
      <c r="D130" s="166">
        <v>0</v>
      </c>
      <c r="E130" s="167">
        <v>0</v>
      </c>
      <c r="F130" s="167">
        <v>0</v>
      </c>
      <c r="G130" s="167">
        <v>0</v>
      </c>
      <c r="H130" s="110"/>
      <c r="I130" s="110"/>
      <c r="J130" s="110"/>
      <c r="K130" s="110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>
        <f>$B130*28.01</f>
        <v>0</v>
      </c>
    </row>
    <row r="131" spans="1:29" x14ac:dyDescent="0.25">
      <c r="A131" s="11" t="s">
        <v>55</v>
      </c>
      <c r="B131" s="201">
        <f t="shared" si="34"/>
        <v>8.0592670000000002</v>
      </c>
      <c r="C131" s="256">
        <f t="shared" si="35"/>
        <v>10.510040719220122</v>
      </c>
      <c r="D131" s="166">
        <v>8.0702409999999993</v>
      </c>
      <c r="E131" s="167">
        <v>8.0850919999999995</v>
      </c>
      <c r="F131" s="167">
        <v>8.0557029999999994</v>
      </c>
      <c r="G131" s="167">
        <v>8.0260320000000007</v>
      </c>
      <c r="H131" s="110"/>
      <c r="I131" s="110"/>
      <c r="J131" s="110"/>
      <c r="K131" s="110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>
        <f>$B131*26.038</f>
        <v>209.84719414600002</v>
      </c>
    </row>
    <row r="132" spans="1:29" x14ac:dyDescent="0.25">
      <c r="A132" s="11" t="s">
        <v>56</v>
      </c>
      <c r="B132" s="201">
        <f t="shared" si="34"/>
        <v>0</v>
      </c>
      <c r="C132" s="256">
        <f t="shared" si="35"/>
        <v>0</v>
      </c>
      <c r="D132" s="166">
        <v>0</v>
      </c>
      <c r="E132" s="167">
        <v>0</v>
      </c>
      <c r="F132" s="167">
        <v>0</v>
      </c>
      <c r="G132" s="167">
        <v>0</v>
      </c>
      <c r="H132" s="110"/>
      <c r="I132" s="110"/>
      <c r="J132" s="110"/>
      <c r="K132" s="110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>
        <f>$B132*42.081</f>
        <v>0</v>
      </c>
    </row>
    <row r="133" spans="1:29" x14ac:dyDescent="0.25">
      <c r="A133" s="11" t="s">
        <v>57</v>
      </c>
      <c r="B133" s="201">
        <f t="shared" si="34"/>
        <v>0</v>
      </c>
      <c r="C133" s="256">
        <f t="shared" si="35"/>
        <v>0</v>
      </c>
      <c r="D133" s="166">
        <v>0</v>
      </c>
      <c r="E133" s="167">
        <v>0</v>
      </c>
      <c r="F133" s="166">
        <v>0</v>
      </c>
      <c r="G133" s="167">
        <v>0</v>
      </c>
      <c r="H133" s="110"/>
      <c r="I133" s="110"/>
      <c r="J133" s="110"/>
      <c r="K133" s="110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>
        <f>$B133*44.097</f>
        <v>0</v>
      </c>
    </row>
    <row r="134" spans="1:29" x14ac:dyDescent="0.25">
      <c r="AC134">
        <f>SUM(AC124:AC133)</f>
        <v>1996.63540562925</v>
      </c>
    </row>
    <row r="136" spans="1:29" x14ac:dyDescent="0.25">
      <c r="A136" s="9" t="s">
        <v>351</v>
      </c>
      <c r="B136" s="143"/>
      <c r="C136" s="151"/>
      <c r="D136" s="130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</row>
    <row r="137" spans="1:29" x14ac:dyDescent="0.25">
      <c r="A137" s="139" t="s">
        <v>222</v>
      </c>
      <c r="B137" s="144"/>
      <c r="C137" s="152"/>
      <c r="D137" s="163"/>
      <c r="E137" s="163"/>
      <c r="F137" s="164"/>
      <c r="G137" s="164"/>
      <c r="H137" s="164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</row>
    <row r="138" spans="1:29" x14ac:dyDescent="0.25">
      <c r="A138" s="9" t="s">
        <v>223</v>
      </c>
      <c r="B138" s="145"/>
      <c r="C138" s="153"/>
      <c r="D138" s="148" t="str">
        <f t="shared" ref="D138:AB138" si="36">IF(D136="", "", (D137-$D$16)*1440)</f>
        <v/>
      </c>
      <c r="E138" s="140" t="str">
        <f t="shared" si="36"/>
        <v/>
      </c>
      <c r="F138" s="140" t="str">
        <f t="shared" si="36"/>
        <v/>
      </c>
      <c r="G138" s="140" t="str">
        <f t="shared" si="36"/>
        <v/>
      </c>
      <c r="H138" s="140" t="str">
        <f t="shared" si="36"/>
        <v/>
      </c>
      <c r="I138" s="140" t="str">
        <f t="shared" si="36"/>
        <v/>
      </c>
      <c r="J138" s="140" t="str">
        <f t="shared" si="36"/>
        <v/>
      </c>
      <c r="K138" s="140" t="str">
        <f t="shared" si="36"/>
        <v/>
      </c>
      <c r="L138" s="140" t="str">
        <f t="shared" si="36"/>
        <v/>
      </c>
      <c r="M138" s="140" t="str">
        <f t="shared" si="36"/>
        <v/>
      </c>
      <c r="N138" s="140" t="str">
        <f t="shared" si="36"/>
        <v/>
      </c>
      <c r="O138" s="140" t="str">
        <f t="shared" si="36"/>
        <v/>
      </c>
      <c r="P138" s="140" t="str">
        <f t="shared" si="36"/>
        <v/>
      </c>
      <c r="Q138" s="140" t="str">
        <f t="shared" si="36"/>
        <v/>
      </c>
      <c r="R138" s="140" t="str">
        <f t="shared" si="36"/>
        <v/>
      </c>
      <c r="S138" s="140" t="str">
        <f t="shared" si="36"/>
        <v/>
      </c>
      <c r="T138" s="140" t="str">
        <f t="shared" si="36"/>
        <v/>
      </c>
      <c r="U138" s="140" t="str">
        <f t="shared" si="36"/>
        <v/>
      </c>
      <c r="V138" s="140" t="str">
        <f t="shared" si="36"/>
        <v/>
      </c>
      <c r="W138" s="140" t="str">
        <f t="shared" si="36"/>
        <v/>
      </c>
      <c r="X138" s="140" t="str">
        <f t="shared" si="36"/>
        <v/>
      </c>
      <c r="Y138" s="140" t="str">
        <f t="shared" si="36"/>
        <v/>
      </c>
      <c r="Z138" s="140" t="str">
        <f t="shared" si="36"/>
        <v/>
      </c>
      <c r="AA138" s="140" t="str">
        <f t="shared" si="36"/>
        <v/>
      </c>
      <c r="AB138" s="140" t="str">
        <f t="shared" si="36"/>
        <v/>
      </c>
    </row>
    <row r="139" spans="1:29" x14ac:dyDescent="0.25">
      <c r="A139" s="9" t="s">
        <v>224</v>
      </c>
      <c r="B139" s="146"/>
      <c r="C139" s="154"/>
      <c r="D139" s="149"/>
      <c r="E139" s="140" t="str">
        <f>IF(E138="", "", E138-D138)</f>
        <v/>
      </c>
      <c r="F139" s="140" t="str">
        <f>IF(F138="", "", F138-E138)</f>
        <v/>
      </c>
      <c r="G139" s="140" t="str">
        <f>IF(G138="", "", G138-F138)</f>
        <v/>
      </c>
      <c r="H139" s="140"/>
      <c r="I139" s="140" t="str">
        <f t="shared" ref="I139:AB139" si="37">IF(I138="", "", I138-H138)</f>
        <v/>
      </c>
      <c r="J139" s="140" t="str">
        <f t="shared" si="37"/>
        <v/>
      </c>
      <c r="K139" s="140" t="str">
        <f t="shared" si="37"/>
        <v/>
      </c>
      <c r="L139" s="140" t="str">
        <f t="shared" si="37"/>
        <v/>
      </c>
      <c r="M139" s="140" t="str">
        <f t="shared" si="37"/>
        <v/>
      </c>
      <c r="N139" s="140" t="str">
        <f t="shared" si="37"/>
        <v/>
      </c>
      <c r="O139" s="140" t="str">
        <f t="shared" si="37"/>
        <v/>
      </c>
      <c r="P139" s="140" t="str">
        <f t="shared" si="37"/>
        <v/>
      </c>
      <c r="Q139" s="140" t="str">
        <f t="shared" si="37"/>
        <v/>
      </c>
      <c r="R139" s="140" t="str">
        <f t="shared" si="37"/>
        <v/>
      </c>
      <c r="S139" s="140" t="str">
        <f t="shared" si="37"/>
        <v/>
      </c>
      <c r="T139" s="140" t="str">
        <f t="shared" si="37"/>
        <v/>
      </c>
      <c r="U139" s="140" t="str">
        <f t="shared" si="37"/>
        <v/>
      </c>
      <c r="V139" s="140" t="str">
        <f t="shared" si="37"/>
        <v/>
      </c>
      <c r="W139" s="140" t="str">
        <f t="shared" si="37"/>
        <v/>
      </c>
      <c r="X139" s="140" t="str">
        <f t="shared" si="37"/>
        <v/>
      </c>
      <c r="Y139" s="140" t="str">
        <f t="shared" si="37"/>
        <v/>
      </c>
      <c r="Z139" s="140" t="str">
        <f t="shared" si="37"/>
        <v/>
      </c>
      <c r="AA139" s="140" t="str">
        <f t="shared" si="37"/>
        <v/>
      </c>
      <c r="AB139" s="140" t="str">
        <f t="shared" si="37"/>
        <v/>
      </c>
    </row>
    <row r="140" spans="1:29" x14ac:dyDescent="0.25">
      <c r="A140" s="9" t="s">
        <v>225</v>
      </c>
      <c r="B140" s="213" t="s">
        <v>343</v>
      </c>
      <c r="C140" s="213" t="s">
        <v>344</v>
      </c>
      <c r="D140" s="16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</row>
    <row r="141" spans="1:29" x14ac:dyDescent="0.25">
      <c r="A141" s="11" t="s">
        <v>32</v>
      </c>
      <c r="B141" s="201">
        <f t="shared" ref="B141:B150" si="38">IFERROR(AVERAGE(D141:AB141),"")</f>
        <v>21.239642749999998</v>
      </c>
      <c r="C141" s="256">
        <f t="shared" ref="C141:C150" si="39">100*$AC141/$AC$151</f>
        <v>2.1429809828780302</v>
      </c>
      <c r="D141" s="166">
        <v>21.213107999999998</v>
      </c>
      <c r="E141" s="167">
        <v>21.263847999999999</v>
      </c>
      <c r="F141" s="167">
        <v>21.328773999999999</v>
      </c>
      <c r="G141" s="167">
        <v>21.152840999999999</v>
      </c>
      <c r="H141" s="110"/>
      <c r="I141" s="110"/>
      <c r="J141" s="110"/>
      <c r="K141" s="110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>
        <f>$B141*2.016</f>
        <v>42.819119783999994</v>
      </c>
    </row>
    <row r="142" spans="1:29" x14ac:dyDescent="0.25">
      <c r="A142" s="11" t="s">
        <v>33</v>
      </c>
      <c r="B142" s="201">
        <f t="shared" si="38"/>
        <v>1.6570247500000002</v>
      </c>
      <c r="C142" s="256">
        <f t="shared" si="39"/>
        <v>2.3261753136508769</v>
      </c>
      <c r="D142" s="166">
        <v>1.6469959999999999</v>
      </c>
      <c r="E142" s="167">
        <v>1.655095</v>
      </c>
      <c r="F142" s="167">
        <v>1.658833</v>
      </c>
      <c r="G142" s="167">
        <v>1.6671750000000001</v>
      </c>
      <c r="H142" s="110"/>
      <c r="I142" s="110"/>
      <c r="J142" s="110"/>
      <c r="K142" s="110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>
        <f>$B142*28.05</f>
        <v>46.479544237500008</v>
      </c>
    </row>
    <row r="143" spans="1:29" x14ac:dyDescent="0.25">
      <c r="A143" s="11" t="s">
        <v>34</v>
      </c>
      <c r="B143" s="201">
        <f t="shared" si="38"/>
        <v>2.5979710000000003</v>
      </c>
      <c r="C143" s="256">
        <f t="shared" si="39"/>
        <v>2.0855434605255332</v>
      </c>
      <c r="D143" s="166">
        <v>2.5871909999999998</v>
      </c>
      <c r="E143" s="167">
        <v>2.597124</v>
      </c>
      <c r="F143" s="167">
        <v>2.5988310000000001</v>
      </c>
      <c r="G143" s="167">
        <v>2.6087379999999998</v>
      </c>
      <c r="H143" s="110"/>
      <c r="I143" s="110"/>
      <c r="J143" s="110"/>
      <c r="K143" s="110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>
        <f>$B143*16.04</f>
        <v>41.671454840000003</v>
      </c>
    </row>
    <row r="144" spans="1:29" x14ac:dyDescent="0.25">
      <c r="A144" s="11" t="s">
        <v>35</v>
      </c>
      <c r="B144" s="201">
        <f t="shared" si="38"/>
        <v>1.7914999999999999E-3</v>
      </c>
      <c r="C144" s="256">
        <f t="shared" si="39"/>
        <v>2.6959782192356599E-3</v>
      </c>
      <c r="D144" s="166">
        <v>1.977E-3</v>
      </c>
      <c r="E144" s="167">
        <v>1.725E-3</v>
      </c>
      <c r="F144" s="167">
        <v>1.7129999999999999E-3</v>
      </c>
      <c r="G144" s="167">
        <v>1.751E-3</v>
      </c>
      <c r="H144" s="110"/>
      <c r="I144" s="110"/>
      <c r="J144" s="110"/>
      <c r="K144" s="110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>
        <f>$B144*30.069</f>
        <v>5.3868613499999995E-2</v>
      </c>
    </row>
    <row r="145" spans="1:29" x14ac:dyDescent="0.25">
      <c r="A145" s="11" t="s">
        <v>36</v>
      </c>
      <c r="B145" s="201">
        <f t="shared" si="38"/>
        <v>59.166157750000004</v>
      </c>
      <c r="C145" s="256">
        <f t="shared" si="39"/>
        <v>82.949461318881745</v>
      </c>
      <c r="D145" s="166">
        <v>59.139868999999997</v>
      </c>
      <c r="E145" s="167">
        <v>59.299985</v>
      </c>
      <c r="F145" s="167">
        <v>59.194237000000001</v>
      </c>
      <c r="G145" s="167">
        <v>59.030540000000002</v>
      </c>
      <c r="H145" s="110"/>
      <c r="I145" s="110"/>
      <c r="J145" s="110"/>
      <c r="K145" s="110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>
        <f>$B145*28.013</f>
        <v>1657.4215770507501</v>
      </c>
    </row>
    <row r="146" spans="1:29" x14ac:dyDescent="0.25">
      <c r="A146" s="11" t="s">
        <v>37</v>
      </c>
      <c r="B146" s="201">
        <f t="shared" si="38"/>
        <v>0</v>
      </c>
      <c r="C146" s="256">
        <f t="shared" si="39"/>
        <v>0</v>
      </c>
      <c r="D146" s="166">
        <v>0</v>
      </c>
      <c r="E146" s="167">
        <v>0</v>
      </c>
      <c r="F146" s="167">
        <v>0</v>
      </c>
      <c r="G146" s="167">
        <v>0</v>
      </c>
      <c r="H146" s="110"/>
      <c r="I146" s="110"/>
      <c r="J146" s="110"/>
      <c r="K146" s="110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>
        <f>$B146*44.01</f>
        <v>0</v>
      </c>
    </row>
    <row r="147" spans="1:29" x14ac:dyDescent="0.25">
      <c r="A147" s="11" t="s">
        <v>38</v>
      </c>
      <c r="B147" s="201">
        <f t="shared" si="38"/>
        <v>0</v>
      </c>
      <c r="C147" s="256">
        <f t="shared" si="39"/>
        <v>0</v>
      </c>
      <c r="D147" s="166">
        <v>0</v>
      </c>
      <c r="E147" s="167">
        <v>0</v>
      </c>
      <c r="F147" s="167">
        <v>0</v>
      </c>
      <c r="G147" s="167">
        <v>0</v>
      </c>
      <c r="H147" s="110"/>
      <c r="I147" s="110"/>
      <c r="J147" s="110"/>
      <c r="K147" s="110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>
        <f>$B147*28.01</f>
        <v>0</v>
      </c>
    </row>
    <row r="148" spans="1:29" x14ac:dyDescent="0.25">
      <c r="A148" s="11" t="s">
        <v>55</v>
      </c>
      <c r="B148" s="201">
        <f t="shared" si="38"/>
        <v>8.0522524999999998</v>
      </c>
      <c r="C148" s="256">
        <f t="shared" si="39"/>
        <v>10.49314294584458</v>
      </c>
      <c r="D148" s="166">
        <v>8.0143740000000001</v>
      </c>
      <c r="E148" s="167">
        <v>8.0422659999999997</v>
      </c>
      <c r="F148" s="167">
        <v>8.0649719999999991</v>
      </c>
      <c r="G148" s="167">
        <v>8.0873980000000003</v>
      </c>
      <c r="H148" s="110"/>
      <c r="I148" s="110"/>
      <c r="J148" s="110"/>
      <c r="K148" s="110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>
        <f>$B148*26.038</f>
        <v>209.66455059500001</v>
      </c>
    </row>
    <row r="149" spans="1:29" x14ac:dyDescent="0.25">
      <c r="A149" s="11" t="s">
        <v>56</v>
      </c>
      <c r="B149" s="201">
        <f t="shared" si="38"/>
        <v>0</v>
      </c>
      <c r="C149" s="256">
        <f t="shared" si="39"/>
        <v>0</v>
      </c>
      <c r="D149" s="166">
        <v>0</v>
      </c>
      <c r="E149" s="167">
        <v>0</v>
      </c>
      <c r="F149" s="167">
        <v>0</v>
      </c>
      <c r="G149" s="167">
        <v>0</v>
      </c>
      <c r="H149" s="110"/>
      <c r="I149" s="110"/>
      <c r="J149" s="110"/>
      <c r="K149" s="110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>
        <f>$B149*42.081</f>
        <v>0</v>
      </c>
    </row>
    <row r="150" spans="1:29" x14ac:dyDescent="0.25">
      <c r="A150" s="11" t="s">
        <v>57</v>
      </c>
      <c r="B150" s="201">
        <f t="shared" si="38"/>
        <v>0</v>
      </c>
      <c r="C150" s="256">
        <f t="shared" si="39"/>
        <v>0</v>
      </c>
      <c r="D150" s="166">
        <v>0</v>
      </c>
      <c r="E150" s="167">
        <v>0</v>
      </c>
      <c r="F150" s="166">
        <v>0</v>
      </c>
      <c r="G150" s="167">
        <v>0</v>
      </c>
      <c r="H150" s="110"/>
      <c r="I150" s="110"/>
      <c r="J150" s="110"/>
      <c r="K150" s="110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>
        <f>$B150*44.097</f>
        <v>0</v>
      </c>
    </row>
    <row r="151" spans="1:29" x14ac:dyDescent="0.25">
      <c r="AC151">
        <f>SUM(AC141:AC150)</f>
        <v>1998.1101151207502</v>
      </c>
    </row>
    <row r="152" spans="1:29" x14ac:dyDescent="0.25">
      <c r="A152" s="9" t="s">
        <v>352</v>
      </c>
      <c r="B152" s="143"/>
      <c r="C152" s="151"/>
      <c r="D152" s="130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</row>
    <row r="153" spans="1:29" x14ac:dyDescent="0.25">
      <c r="A153" s="139" t="s">
        <v>222</v>
      </c>
      <c r="B153" s="144"/>
      <c r="C153" s="152"/>
      <c r="D153" s="163"/>
      <c r="E153" s="163"/>
      <c r="F153" s="164"/>
      <c r="G153" s="164"/>
      <c r="H153" s="164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</row>
    <row r="154" spans="1:29" x14ac:dyDescent="0.25">
      <c r="A154" s="9" t="s">
        <v>223</v>
      </c>
      <c r="B154" s="145"/>
      <c r="C154" s="153"/>
      <c r="D154" s="148" t="str">
        <f t="shared" ref="D154:AB154" si="40">IF(D152="", "", (D153-$D$16)*1440)</f>
        <v/>
      </c>
      <c r="E154" s="140" t="str">
        <f t="shared" si="40"/>
        <v/>
      </c>
      <c r="F154" s="140" t="str">
        <f t="shared" si="40"/>
        <v/>
      </c>
      <c r="G154" s="140" t="str">
        <f t="shared" si="40"/>
        <v/>
      </c>
      <c r="H154" s="140" t="str">
        <f t="shared" si="40"/>
        <v/>
      </c>
      <c r="I154" s="140" t="str">
        <f t="shared" si="40"/>
        <v/>
      </c>
      <c r="J154" s="140" t="str">
        <f t="shared" si="40"/>
        <v/>
      </c>
      <c r="K154" s="140" t="str">
        <f t="shared" si="40"/>
        <v/>
      </c>
      <c r="L154" s="140" t="str">
        <f t="shared" si="40"/>
        <v/>
      </c>
      <c r="M154" s="140" t="str">
        <f t="shared" si="40"/>
        <v/>
      </c>
      <c r="N154" s="140" t="str">
        <f t="shared" si="40"/>
        <v/>
      </c>
      <c r="O154" s="140" t="str">
        <f t="shared" si="40"/>
        <v/>
      </c>
      <c r="P154" s="140" t="str">
        <f t="shared" si="40"/>
        <v/>
      </c>
      <c r="Q154" s="140" t="str">
        <f t="shared" si="40"/>
        <v/>
      </c>
      <c r="R154" s="140" t="str">
        <f t="shared" si="40"/>
        <v/>
      </c>
      <c r="S154" s="140" t="str">
        <f t="shared" si="40"/>
        <v/>
      </c>
      <c r="T154" s="140" t="str">
        <f t="shared" si="40"/>
        <v/>
      </c>
      <c r="U154" s="140" t="str">
        <f t="shared" si="40"/>
        <v/>
      </c>
      <c r="V154" s="140" t="str">
        <f t="shared" si="40"/>
        <v/>
      </c>
      <c r="W154" s="140" t="str">
        <f t="shared" si="40"/>
        <v/>
      </c>
      <c r="X154" s="140" t="str">
        <f t="shared" si="40"/>
        <v/>
      </c>
      <c r="Y154" s="140" t="str">
        <f t="shared" si="40"/>
        <v/>
      </c>
      <c r="Z154" s="140" t="str">
        <f t="shared" si="40"/>
        <v/>
      </c>
      <c r="AA154" s="140" t="str">
        <f t="shared" si="40"/>
        <v/>
      </c>
      <c r="AB154" s="140" t="str">
        <f t="shared" si="40"/>
        <v/>
      </c>
    </row>
    <row r="155" spans="1:29" x14ac:dyDescent="0.25">
      <c r="A155" s="9" t="s">
        <v>224</v>
      </c>
      <c r="B155" s="146"/>
      <c r="C155" s="154"/>
      <c r="D155" s="149"/>
      <c r="E155" s="140" t="str">
        <f>IF(E154="", "", E154-D154)</f>
        <v/>
      </c>
      <c r="F155" s="140" t="str">
        <f>IF(F154="", "", F154-E154)</f>
        <v/>
      </c>
      <c r="G155" s="140" t="str">
        <f>IF(G154="", "", G154-F154)</f>
        <v/>
      </c>
      <c r="H155" s="140"/>
      <c r="I155" s="140" t="str">
        <f t="shared" ref="I155:AB155" si="41">IF(I154="", "", I154-H154)</f>
        <v/>
      </c>
      <c r="J155" s="140" t="str">
        <f t="shared" si="41"/>
        <v/>
      </c>
      <c r="K155" s="140" t="str">
        <f t="shared" si="41"/>
        <v/>
      </c>
      <c r="L155" s="140" t="str">
        <f t="shared" si="41"/>
        <v/>
      </c>
      <c r="M155" s="140" t="str">
        <f t="shared" si="41"/>
        <v/>
      </c>
      <c r="N155" s="140" t="str">
        <f t="shared" si="41"/>
        <v/>
      </c>
      <c r="O155" s="140" t="str">
        <f t="shared" si="41"/>
        <v/>
      </c>
      <c r="P155" s="140" t="str">
        <f t="shared" si="41"/>
        <v/>
      </c>
      <c r="Q155" s="140" t="str">
        <f t="shared" si="41"/>
        <v/>
      </c>
      <c r="R155" s="140" t="str">
        <f t="shared" si="41"/>
        <v/>
      </c>
      <c r="S155" s="140" t="str">
        <f t="shared" si="41"/>
        <v/>
      </c>
      <c r="T155" s="140" t="str">
        <f t="shared" si="41"/>
        <v/>
      </c>
      <c r="U155" s="140" t="str">
        <f t="shared" si="41"/>
        <v/>
      </c>
      <c r="V155" s="140" t="str">
        <f t="shared" si="41"/>
        <v/>
      </c>
      <c r="W155" s="140" t="str">
        <f t="shared" si="41"/>
        <v/>
      </c>
      <c r="X155" s="140" t="str">
        <f t="shared" si="41"/>
        <v/>
      </c>
      <c r="Y155" s="140" t="str">
        <f t="shared" si="41"/>
        <v/>
      </c>
      <c r="Z155" s="140" t="str">
        <f t="shared" si="41"/>
        <v/>
      </c>
      <c r="AA155" s="140" t="str">
        <f t="shared" si="41"/>
        <v/>
      </c>
      <c r="AB155" s="140" t="str">
        <f t="shared" si="41"/>
        <v/>
      </c>
    </row>
    <row r="156" spans="1:29" x14ac:dyDescent="0.25">
      <c r="A156" s="9" t="s">
        <v>225</v>
      </c>
      <c r="B156" s="213" t="s">
        <v>343</v>
      </c>
      <c r="C156" s="213" t="s">
        <v>344</v>
      </c>
      <c r="D156" s="16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</row>
    <row r="157" spans="1:29" x14ac:dyDescent="0.25">
      <c r="A157" s="11" t="s">
        <v>32</v>
      </c>
      <c r="B157" s="201" t="str">
        <f t="shared" ref="B157:B166" si="42">IFERROR(AVERAGE(D157:AB157),"")</f>
        <v/>
      </c>
      <c r="C157" s="256" t="e">
        <f t="shared" ref="C157:C166" si="43">100*$AC157/$AC$167</f>
        <v>#VALUE!</v>
      </c>
      <c r="D157" s="166"/>
      <c r="E157" s="167"/>
      <c r="F157" s="167"/>
      <c r="G157" s="167"/>
      <c r="H157" s="110"/>
      <c r="I157" s="110"/>
      <c r="J157" s="110"/>
      <c r="K157" s="110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t="e">
        <f>$B157*2.016</f>
        <v>#VALUE!</v>
      </c>
    </row>
    <row r="158" spans="1:29" x14ac:dyDescent="0.25">
      <c r="A158" s="11" t="s">
        <v>33</v>
      </c>
      <c r="B158" s="201" t="str">
        <f t="shared" si="42"/>
        <v/>
      </c>
      <c r="C158" s="256" t="e">
        <f t="shared" si="43"/>
        <v>#VALUE!</v>
      </c>
      <c r="D158" s="166"/>
      <c r="E158" s="167"/>
      <c r="F158" s="167"/>
      <c r="G158" s="167"/>
      <c r="H158" s="110"/>
      <c r="I158" s="110"/>
      <c r="J158" s="110"/>
      <c r="K158" s="110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t="e">
        <f>$B158*28.05</f>
        <v>#VALUE!</v>
      </c>
    </row>
    <row r="159" spans="1:29" x14ac:dyDescent="0.25">
      <c r="A159" s="11" t="s">
        <v>34</v>
      </c>
      <c r="B159" s="201" t="str">
        <f t="shared" si="42"/>
        <v/>
      </c>
      <c r="C159" s="256" t="e">
        <f t="shared" si="43"/>
        <v>#VALUE!</v>
      </c>
      <c r="D159" s="166"/>
      <c r="E159" s="167"/>
      <c r="F159" s="167"/>
      <c r="G159" s="167"/>
      <c r="H159" s="110"/>
      <c r="I159" s="110"/>
      <c r="J159" s="110"/>
      <c r="K159" s="110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t="e">
        <f>$B159*16.04</f>
        <v>#VALUE!</v>
      </c>
    </row>
    <row r="160" spans="1:29" x14ac:dyDescent="0.25">
      <c r="A160" s="11" t="s">
        <v>35</v>
      </c>
      <c r="B160" s="201" t="str">
        <f t="shared" si="42"/>
        <v/>
      </c>
      <c r="C160" s="256" t="e">
        <f t="shared" si="43"/>
        <v>#VALUE!</v>
      </c>
      <c r="D160" s="166"/>
      <c r="E160" s="167"/>
      <c r="F160" s="167"/>
      <c r="G160" s="167"/>
      <c r="H160" s="110"/>
      <c r="I160" s="110"/>
      <c r="J160" s="110"/>
      <c r="K160" s="110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t="e">
        <f>$B160*30.069</f>
        <v>#VALUE!</v>
      </c>
    </row>
    <row r="161" spans="1:29" x14ac:dyDescent="0.25">
      <c r="A161" s="11" t="s">
        <v>36</v>
      </c>
      <c r="B161" s="201" t="str">
        <f t="shared" si="42"/>
        <v/>
      </c>
      <c r="C161" s="256" t="e">
        <f t="shared" si="43"/>
        <v>#VALUE!</v>
      </c>
      <c r="D161" s="166"/>
      <c r="E161" s="167"/>
      <c r="F161" s="167"/>
      <c r="G161" s="167"/>
      <c r="H161" s="110"/>
      <c r="I161" s="110"/>
      <c r="J161" s="110"/>
      <c r="K161" s="110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t="e">
        <f>$B161*28.013</f>
        <v>#VALUE!</v>
      </c>
    </row>
    <row r="162" spans="1:29" x14ac:dyDescent="0.25">
      <c r="A162" s="11" t="s">
        <v>37</v>
      </c>
      <c r="B162" s="201" t="str">
        <f t="shared" si="42"/>
        <v/>
      </c>
      <c r="C162" s="256" t="e">
        <f t="shared" si="43"/>
        <v>#VALUE!</v>
      </c>
      <c r="D162" s="166"/>
      <c r="E162" s="167"/>
      <c r="F162" s="167"/>
      <c r="G162" s="167"/>
      <c r="H162" s="110"/>
      <c r="I162" s="110"/>
      <c r="J162" s="110"/>
      <c r="K162" s="110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t="e">
        <f>$B162*44.01</f>
        <v>#VALUE!</v>
      </c>
    </row>
    <row r="163" spans="1:29" x14ac:dyDescent="0.25">
      <c r="A163" s="11" t="s">
        <v>38</v>
      </c>
      <c r="B163" s="201" t="str">
        <f t="shared" si="42"/>
        <v/>
      </c>
      <c r="C163" s="256" t="e">
        <f t="shared" si="43"/>
        <v>#VALUE!</v>
      </c>
      <c r="D163" s="166"/>
      <c r="E163" s="167"/>
      <c r="F163" s="167"/>
      <c r="G163" s="167"/>
      <c r="H163" s="110"/>
      <c r="I163" s="110"/>
      <c r="J163" s="110"/>
      <c r="K163" s="110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t="e">
        <f>$B163*28.01</f>
        <v>#VALUE!</v>
      </c>
    </row>
    <row r="164" spans="1:29" x14ac:dyDescent="0.25">
      <c r="A164" s="11" t="s">
        <v>55</v>
      </c>
      <c r="B164" s="201" t="str">
        <f t="shared" si="42"/>
        <v/>
      </c>
      <c r="C164" s="256" t="e">
        <f t="shared" si="43"/>
        <v>#VALUE!</v>
      </c>
      <c r="D164" s="166"/>
      <c r="E164" s="167"/>
      <c r="F164" s="167"/>
      <c r="G164" s="167"/>
      <c r="H164" s="110"/>
      <c r="I164" s="110"/>
      <c r="J164" s="110"/>
      <c r="K164" s="110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t="e">
        <f>$B164*26.038</f>
        <v>#VALUE!</v>
      </c>
    </row>
    <row r="165" spans="1:29" x14ac:dyDescent="0.25">
      <c r="A165" s="11" t="s">
        <v>56</v>
      </c>
      <c r="B165" s="201" t="str">
        <f t="shared" si="42"/>
        <v/>
      </c>
      <c r="C165" s="256" t="e">
        <f t="shared" si="43"/>
        <v>#VALUE!</v>
      </c>
      <c r="D165" s="166"/>
      <c r="E165" s="167"/>
      <c r="F165" s="167"/>
      <c r="G165" s="167"/>
      <c r="H165" s="110"/>
      <c r="I165" s="110"/>
      <c r="J165" s="110"/>
      <c r="K165" s="110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t="e">
        <f>$B165*42.081</f>
        <v>#VALUE!</v>
      </c>
    </row>
    <row r="166" spans="1:29" x14ac:dyDescent="0.25">
      <c r="A166" s="11" t="s">
        <v>57</v>
      </c>
      <c r="B166" s="201" t="str">
        <f t="shared" si="42"/>
        <v/>
      </c>
      <c r="C166" s="256" t="e">
        <f t="shared" si="43"/>
        <v>#VALUE!</v>
      </c>
      <c r="D166" s="166"/>
      <c r="E166" s="167"/>
      <c r="F166" s="166"/>
      <c r="G166" s="167"/>
      <c r="H166" s="110"/>
      <c r="I166" s="110"/>
      <c r="J166" s="110"/>
      <c r="K166" s="110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t="e">
        <f>$B166*44.097</f>
        <v>#VALUE!</v>
      </c>
    </row>
    <row r="167" spans="1:29" x14ac:dyDescent="0.25">
      <c r="AC167" t="e">
        <f>SUM(AC157:AC166)</f>
        <v>#VALUE!</v>
      </c>
    </row>
  </sheetData>
  <sheetProtection sheet="1" objects="1" scenarios="1"/>
  <mergeCells count="3">
    <mergeCell ref="A1:I1"/>
    <mergeCell ref="K1:S1"/>
    <mergeCell ref="U1:AC1"/>
  </mergeCells>
  <conditionalFormatting sqref="B3">
    <cfRule type="expression" dxfId="44" priority="48">
      <formula>NOT(B3="")</formula>
    </cfRule>
  </conditionalFormatting>
  <conditionalFormatting sqref="B4:I5">
    <cfRule type="expression" dxfId="43" priority="47">
      <formula>NOT(B4="")</formula>
    </cfRule>
  </conditionalFormatting>
  <conditionalFormatting sqref="B7:I7">
    <cfRule type="cellIs" dxfId="42" priority="45" operator="lessThan">
      <formula>48</formula>
    </cfRule>
  </conditionalFormatting>
  <conditionalFormatting sqref="D17:AB18">
    <cfRule type="expression" dxfId="41" priority="35">
      <formula>NOT(D17="")</formula>
    </cfRule>
  </conditionalFormatting>
  <conditionalFormatting sqref="D18:AB18">
    <cfRule type="expression" dxfId="40" priority="38">
      <formula>OR(D18&lt;$C$5, D18&gt;$C$6)</formula>
    </cfRule>
  </conditionalFormatting>
  <conditionalFormatting sqref="D19:AB20">
    <cfRule type="containsText" dxfId="39" priority="37" operator="containsText" text="ERROR">
      <formula>NOT(ISERROR(SEARCH("ERROR",D19)))</formula>
    </cfRule>
  </conditionalFormatting>
  <conditionalFormatting sqref="D22:AB31">
    <cfRule type="expression" dxfId="38" priority="33">
      <formula>NOT(D22="")</formula>
    </cfRule>
  </conditionalFormatting>
  <conditionalFormatting sqref="D34:AB35">
    <cfRule type="expression" dxfId="37" priority="30">
      <formula>NOT(D34="")</formula>
    </cfRule>
  </conditionalFormatting>
  <conditionalFormatting sqref="D35:AB35">
    <cfRule type="expression" dxfId="36" priority="32">
      <formula>OR(D35&lt;$C$5, D35&gt;$C$6)</formula>
    </cfRule>
  </conditionalFormatting>
  <conditionalFormatting sqref="D36:AB37">
    <cfRule type="containsText" dxfId="35" priority="31" operator="containsText" text="ERROR">
      <formula>NOT(ISERROR(SEARCH("ERROR",D36)))</formula>
    </cfRule>
  </conditionalFormatting>
  <conditionalFormatting sqref="D39:AB48">
    <cfRule type="expression" dxfId="34" priority="29">
      <formula>NOT(D39="")</formula>
    </cfRule>
  </conditionalFormatting>
  <conditionalFormatting sqref="D51:AB52">
    <cfRule type="expression" dxfId="33" priority="26">
      <formula>NOT(D51="")</formula>
    </cfRule>
  </conditionalFormatting>
  <conditionalFormatting sqref="D52:AB52">
    <cfRule type="expression" dxfId="32" priority="28">
      <formula>OR(D52&lt;$C$5, D52&gt;$C$6)</formula>
    </cfRule>
  </conditionalFormatting>
  <conditionalFormatting sqref="D53:AB54">
    <cfRule type="containsText" dxfId="31" priority="27" operator="containsText" text="ERROR">
      <formula>NOT(ISERROR(SEARCH("ERROR",D53)))</formula>
    </cfRule>
  </conditionalFormatting>
  <conditionalFormatting sqref="D56:AB65">
    <cfRule type="expression" dxfId="30" priority="25">
      <formula>NOT(D56="")</formula>
    </cfRule>
  </conditionalFormatting>
  <conditionalFormatting sqref="D68:AB69">
    <cfRule type="expression" dxfId="29" priority="22">
      <formula>NOT(D68="")</formula>
    </cfRule>
  </conditionalFormatting>
  <conditionalFormatting sqref="D69:AB69">
    <cfRule type="expression" dxfId="28" priority="24">
      <formula>OR(D69&lt;$C$5, D69&gt;$C$6)</formula>
    </cfRule>
  </conditionalFormatting>
  <conditionalFormatting sqref="D70:AB71">
    <cfRule type="containsText" dxfId="27" priority="23" operator="containsText" text="ERROR">
      <formula>NOT(ISERROR(SEARCH("ERROR",D70)))</formula>
    </cfRule>
  </conditionalFormatting>
  <conditionalFormatting sqref="D73:AB82">
    <cfRule type="expression" dxfId="26" priority="21">
      <formula>NOT(D73="")</formula>
    </cfRule>
  </conditionalFormatting>
  <conditionalFormatting sqref="D85:AB86">
    <cfRule type="expression" dxfId="25" priority="18">
      <formula>NOT(D85="")</formula>
    </cfRule>
  </conditionalFormatting>
  <conditionalFormatting sqref="D86:AB86">
    <cfRule type="expression" dxfId="24" priority="20">
      <formula>OR(D86&lt;$C$5, D86&gt;$C$6)</formula>
    </cfRule>
  </conditionalFormatting>
  <conditionalFormatting sqref="D87:AB88">
    <cfRule type="containsText" dxfId="23" priority="19" operator="containsText" text="ERROR">
      <formula>NOT(ISERROR(SEARCH("ERROR",D87)))</formula>
    </cfRule>
  </conditionalFormatting>
  <conditionalFormatting sqref="D90:AB99">
    <cfRule type="expression" dxfId="22" priority="17">
      <formula>NOT(D90="")</formula>
    </cfRule>
  </conditionalFormatting>
  <conditionalFormatting sqref="D102:AB103">
    <cfRule type="expression" dxfId="21" priority="14">
      <formula>NOT(D102="")</formula>
    </cfRule>
  </conditionalFormatting>
  <conditionalFormatting sqref="D103:AB103">
    <cfRule type="expression" dxfId="20" priority="16">
      <formula>OR(D103&lt;$C$5, D103&gt;$C$6)</formula>
    </cfRule>
  </conditionalFormatting>
  <conditionalFormatting sqref="D104:AB105">
    <cfRule type="containsText" dxfId="19" priority="15" operator="containsText" text="ERROR">
      <formula>NOT(ISERROR(SEARCH("ERROR",D104)))</formula>
    </cfRule>
  </conditionalFormatting>
  <conditionalFormatting sqref="D107:AB116">
    <cfRule type="expression" dxfId="18" priority="13">
      <formula>NOT(D107="")</formula>
    </cfRule>
  </conditionalFormatting>
  <conditionalFormatting sqref="D119:AB120">
    <cfRule type="expression" dxfId="17" priority="10">
      <formula>NOT(D119="")</formula>
    </cfRule>
  </conditionalFormatting>
  <conditionalFormatting sqref="D120:AB120">
    <cfRule type="expression" dxfId="16" priority="12">
      <formula>OR(D120&lt;$C$5, D120&gt;$C$6)</formula>
    </cfRule>
  </conditionalFormatting>
  <conditionalFormatting sqref="D121:AB122">
    <cfRule type="containsText" dxfId="15" priority="11" operator="containsText" text="ERROR">
      <formula>NOT(ISERROR(SEARCH("ERROR",D121)))</formula>
    </cfRule>
  </conditionalFormatting>
  <conditionalFormatting sqref="D124:AB133">
    <cfRule type="expression" dxfId="14" priority="9">
      <formula>NOT(D124="")</formula>
    </cfRule>
  </conditionalFormatting>
  <conditionalFormatting sqref="D136:AB137">
    <cfRule type="expression" dxfId="13" priority="6">
      <formula>NOT(D136="")</formula>
    </cfRule>
  </conditionalFormatting>
  <conditionalFormatting sqref="D137:AB137">
    <cfRule type="expression" dxfId="12" priority="8">
      <formula>OR(D137&lt;$C$5, D137&gt;$C$6)</formula>
    </cfRule>
  </conditionalFormatting>
  <conditionalFormatting sqref="D138:AB139">
    <cfRule type="containsText" dxfId="11" priority="7" operator="containsText" text="ERROR">
      <formula>NOT(ISERROR(SEARCH("ERROR",D138)))</formula>
    </cfRule>
  </conditionalFormatting>
  <conditionalFormatting sqref="D141:AB150">
    <cfRule type="expression" dxfId="10" priority="5">
      <formula>NOT(D141="")</formula>
    </cfRule>
  </conditionalFormatting>
  <conditionalFormatting sqref="D152:AB153">
    <cfRule type="expression" dxfId="9" priority="2">
      <formula>NOT(D152="")</formula>
    </cfRule>
  </conditionalFormatting>
  <conditionalFormatting sqref="D153:AB153">
    <cfRule type="expression" dxfId="8" priority="4">
      <formula>OR(D153&lt;$C$5, D153&gt;$C$6)</formula>
    </cfRule>
  </conditionalFormatting>
  <conditionalFormatting sqref="D154:AB155">
    <cfRule type="containsText" dxfId="7" priority="3" operator="containsText" text="ERROR">
      <formula>NOT(ISERROR(SEARCH("ERROR",D154)))</formula>
    </cfRule>
  </conditionalFormatting>
  <conditionalFormatting sqref="D157:AB166">
    <cfRule type="expression" dxfId="6" priority="1">
      <formula>NOT(D157="")</formula>
    </cfRule>
  </conditionalFormatting>
  <conditionalFormatting sqref="L3">
    <cfRule type="expression" dxfId="5" priority="44">
      <formula>NOT(L3="")</formula>
    </cfRule>
  </conditionalFormatting>
  <conditionalFormatting sqref="L4:S5">
    <cfRule type="expression" dxfId="4" priority="43">
      <formula>NOT(L4="")</formula>
    </cfRule>
  </conditionalFormatting>
  <conditionalFormatting sqref="L7:S7">
    <cfRule type="cellIs" dxfId="3" priority="42" operator="lessThan">
      <formula>48</formula>
    </cfRule>
  </conditionalFormatting>
  <conditionalFormatting sqref="V3">
    <cfRule type="expression" dxfId="2" priority="41">
      <formula>NOT(V3="")</formula>
    </cfRule>
  </conditionalFormatting>
  <conditionalFormatting sqref="V4:AC5">
    <cfRule type="expression" dxfId="1" priority="40">
      <formula>NOT(V4="")</formula>
    </cfRule>
  </conditionalFormatting>
  <conditionalFormatting sqref="V7:AC7">
    <cfRule type="cellIs" dxfId="0" priority="39" operator="lessThan">
      <formula>48</formula>
    </cfRule>
  </conditionalFormatting>
  <pageMargins left="0.7" right="0.7" top="0.75" bottom="0.75" header="0.3" footer="0.3"/>
  <pageSetup orientation="portrait" horizontalDpi="1200" verticalDpi="1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E2:W40"/>
  <sheetViews>
    <sheetView showGridLines="0" topLeftCell="C1" workbookViewId="0">
      <selection activeCell="Z42" sqref="Z42"/>
    </sheetView>
  </sheetViews>
  <sheetFormatPr defaultRowHeight="15" x14ac:dyDescent="0.25"/>
  <cols>
    <col min="5" max="12" width="15.7109375" customWidth="1"/>
    <col min="13" max="13" width="10.5703125" bestFit="1" customWidth="1"/>
  </cols>
  <sheetData>
    <row r="2" spans="5:23" ht="15.75" customHeight="1" x14ac:dyDescent="0.25">
      <c r="O2" s="294" t="s">
        <v>353</v>
      </c>
      <c r="P2" s="295"/>
      <c r="Q2" s="295"/>
    </row>
    <row r="3" spans="5:23" x14ac:dyDescent="0.25">
      <c r="E3" t="s">
        <v>354</v>
      </c>
      <c r="F3" t="s">
        <v>355</v>
      </c>
      <c r="G3" t="s">
        <v>356</v>
      </c>
      <c r="H3" t="s">
        <v>357</v>
      </c>
      <c r="I3" t="s">
        <v>358</v>
      </c>
      <c r="J3" t="s">
        <v>359</v>
      </c>
      <c r="K3" t="s">
        <v>360</v>
      </c>
      <c r="L3" t="s">
        <v>361</v>
      </c>
      <c r="O3" t="s">
        <v>362</v>
      </c>
      <c r="P3" t="s">
        <v>8</v>
      </c>
      <c r="Q3" t="s">
        <v>11</v>
      </c>
      <c r="R3" t="s">
        <v>12</v>
      </c>
      <c r="S3" t="s">
        <v>13</v>
      </c>
      <c r="T3" t="s">
        <v>22</v>
      </c>
      <c r="U3" t="s">
        <v>23</v>
      </c>
      <c r="V3" t="s">
        <v>24</v>
      </c>
      <c r="W3" t="s">
        <v>25</v>
      </c>
    </row>
    <row r="4" spans="5:23" x14ac:dyDescent="0.25">
      <c r="E4" s="250">
        <v>1</v>
      </c>
      <c r="F4" s="251">
        <f>'C-Balance'!C$9</f>
        <v>107.36426096079839</v>
      </c>
      <c r="G4" s="251">
        <f>'R1_MB'!C13</f>
        <v>84.736595514685902</v>
      </c>
      <c r="H4" s="251">
        <f>Liq!B$8</f>
        <v>17.916666666569654</v>
      </c>
      <c r="I4" s="251">
        <f>'C-Balance'!$C$19</f>
        <v>-7.4980592343227723</v>
      </c>
      <c r="J4" s="251">
        <f>'C-Balance'!$C$21</f>
        <v>96.752237018286451</v>
      </c>
      <c r="K4" s="251">
        <f>'R1_MB'!$C$150</f>
        <v>0.35150818691539942</v>
      </c>
      <c r="L4" s="251" t="str">
        <f>'C-Balance'!$C$15</f>
        <v/>
      </c>
      <c r="O4">
        <v>1</v>
      </c>
      <c r="P4" s="255">
        <f>IFERROR('R1_MB'!$D$150/'C-Balance'!$C$4*100,"")</f>
        <v>82.410317784409955</v>
      </c>
      <c r="Q4" s="255">
        <f>IFERROR('R2_MB'!$D$150/'C-Balance'!$D$4*100,"")</f>
        <v>96.226256698891405</v>
      </c>
      <c r="R4" s="255" t="str">
        <f>IFERROR('R3_MB'!$D$150/'C-Balance'!$E$4*100,"")</f>
        <v/>
      </c>
      <c r="S4" s="255">
        <f>IFERROR('R4_MB'!$D$150/'C-Balance'!$F$4*100,"")</f>
        <v>94.157150724262507</v>
      </c>
      <c r="T4" s="255">
        <f>IFERROR('R5_MB'!$D$150/'C-Balance'!$G$4*100,"")</f>
        <v>109.13098500772391</v>
      </c>
      <c r="U4" s="255">
        <f>IFERROR('R6_MB'!$D$150/'C-Balance'!$H$4*100,"")</f>
        <v>107.11897946510358</v>
      </c>
      <c r="V4" s="255">
        <f>IFERROR('R7_MB'!$D$150/'C-Balance'!$I$4*100,"")</f>
        <v>110.30729648270663</v>
      </c>
      <c r="W4" s="255">
        <f>IFERROR('R8_MB'!$D$150/'C-Balance'!$J$4*100,"")</f>
        <v>86.18412351847708</v>
      </c>
    </row>
    <row r="5" spans="5:23" x14ac:dyDescent="0.25">
      <c r="E5" s="250">
        <v>2</v>
      </c>
      <c r="F5" s="251">
        <f>'C-Balance'!D$9</f>
        <v>108.77406969078365</v>
      </c>
      <c r="G5" s="251">
        <f>'R2_MB'!C13</f>
        <v>86.152234728231832</v>
      </c>
      <c r="H5" s="251">
        <f>Liq!C$8</f>
        <v>17.916666666569654</v>
      </c>
      <c r="I5" s="251">
        <f>'C-Balance'!$D$19</f>
        <v>-8.7951870609388596</v>
      </c>
      <c r="J5" s="251">
        <f>'C-Balance'!$D$21</f>
        <v>96.853246193825953</v>
      </c>
      <c r="K5" s="251">
        <f>'R2_MB'!$C$150</f>
        <v>0.35612386913721028</v>
      </c>
      <c r="L5" s="251" t="str">
        <f>'C-Balance'!$D$15</f>
        <v/>
      </c>
      <c r="O5">
        <v>2</v>
      </c>
      <c r="P5" s="255">
        <f>IFERROR('R1_MB'!$E$150/'C-Balance'!$C$4*100,"")</f>
        <v>111.62766183720456</v>
      </c>
      <c r="Q5" s="255">
        <f>IFERROR('R2_MB'!$E$150/'C-Balance'!$D$4*100,"")</f>
        <v>110.45066499598519</v>
      </c>
      <c r="R5" s="255" t="str">
        <f>IFERROR('R3_MB'!$E$150/'C-Balance'!$E$4*100,"")</f>
        <v/>
      </c>
      <c r="S5" s="255">
        <f>IFERROR('R4_MB'!$E$150/'C-Balance'!$F$4*100,"")</f>
        <v>97.502267363712036</v>
      </c>
      <c r="T5" s="255">
        <f>IFERROR('R5_MB'!$E$150/'C-Balance'!$G$4*100,"")</f>
        <v>111.82192474786331</v>
      </c>
      <c r="U5" s="255">
        <f>IFERROR('R6_MB'!$E$150/'C-Balance'!$H$4*100,"")</f>
        <v>109.24555161416738</v>
      </c>
      <c r="V5" s="255">
        <f>IFERROR('R7_MB'!$E$150/'C-Balance'!$I$4*100,"")</f>
        <v>110.53425370860364</v>
      </c>
      <c r="W5" s="255">
        <f>IFERROR('R8_MB'!$E$150/'C-Balance'!$J$4*100,"")</f>
        <v>85.583576244069249</v>
      </c>
    </row>
    <row r="6" spans="5:23" x14ac:dyDescent="0.25">
      <c r="E6" s="250">
        <v>3</v>
      </c>
      <c r="F6" s="251" t="str">
        <f>'C-Balance'!E$9</f>
        <v/>
      </c>
      <c r="G6" s="251" t="str">
        <f>'R3_MB'!C13</f>
        <v/>
      </c>
      <c r="H6" s="251">
        <f>Liq!D$8</f>
        <v>-1090214</v>
      </c>
      <c r="I6" s="251" t="str">
        <f>'C-Balance'!$E$19</f>
        <v/>
      </c>
      <c r="J6" s="251" t="str">
        <f>'C-Balance'!$E$21</f>
        <v/>
      </c>
      <c r="K6" s="251">
        <f>'R3_MB'!$C$150</f>
        <v>0</v>
      </c>
      <c r="L6" s="251" t="str">
        <f>'C-Balance'!$E$15</f>
        <v/>
      </c>
      <c r="O6">
        <v>3</v>
      </c>
      <c r="P6" s="255">
        <f>IFERROR('R1_MB'!$F$150/'C-Balance'!$C$4*100,"")</f>
        <v>111.7499717172024</v>
      </c>
      <c r="Q6" s="255">
        <f>IFERROR('R2_MB'!$F$150/'C-Balance'!$D$4*100,"")</f>
        <v>110.86782613029213</v>
      </c>
      <c r="R6" s="255" t="str">
        <f>IFERROR('R3_MB'!$F$150/'C-Balance'!$E$4*100,"")</f>
        <v/>
      </c>
      <c r="S6" s="255">
        <f>IFERROR('R4_MB'!$F$150/'C-Balance'!$F$4*100,"")</f>
        <v>101.80905579280792</v>
      </c>
      <c r="T6" s="255">
        <f>IFERROR('R5_MB'!$F$150/'C-Balance'!$G$4*100,"")</f>
        <v>112.16000485427995</v>
      </c>
      <c r="U6" s="255">
        <f>IFERROR('R6_MB'!$F$150/'C-Balance'!$H$4*100,"")</f>
        <v>109.75737317568945</v>
      </c>
      <c r="V6" s="255">
        <f>IFERROR('R7_MB'!$F$150/'C-Balance'!$I$4*100,"")</f>
        <v>110.86461039859626</v>
      </c>
      <c r="W6" s="255">
        <f>IFERROR('R8_MB'!$F$150/'C-Balance'!$J$4*100,"")</f>
        <v>86.165416338394735</v>
      </c>
    </row>
    <row r="7" spans="5:23" x14ac:dyDescent="0.25">
      <c r="E7" s="250">
        <v>4</v>
      </c>
      <c r="F7" s="251">
        <f>'C-Balance'!F$9</f>
        <v>100.21178372562174</v>
      </c>
      <c r="G7" s="251">
        <f>'R4_MB'!C13</f>
        <v>85.787242421144967</v>
      </c>
      <c r="H7" s="251">
        <f>Liq!E$8</f>
        <v>17.916666666569654</v>
      </c>
      <c r="I7" s="251">
        <f>'C-Balance'!$F$19</f>
        <v>48.701429857955716</v>
      </c>
      <c r="J7" s="251">
        <f>'C-Balance'!$F$21</f>
        <v>78.272078960145706</v>
      </c>
      <c r="K7" s="251">
        <f>'R4_MB'!$C$150</f>
        <v>0.32809113656371303</v>
      </c>
      <c r="L7" s="251" t="str">
        <f>'C-Balance'!$F$15</f>
        <v/>
      </c>
      <c r="O7">
        <v>4</v>
      </c>
      <c r="P7" s="255">
        <f>IFERROR('R1_MB'!$G$150/'C-Balance'!$C$4*100,"")</f>
        <v>111.34964728272907</v>
      </c>
      <c r="Q7" s="255">
        <f>IFERROR('R2_MB'!$G$150/'C-Balance'!$D$4*100,"")</f>
        <v>112.84424610037225</v>
      </c>
      <c r="R7" s="255" t="str">
        <f>IFERROR('R3_MB'!$G$150/'C-Balance'!$E$4*100,"")</f>
        <v/>
      </c>
      <c r="S7" s="255">
        <f>IFERROR('R4_MB'!$G$150/'C-Balance'!$F$4*100,"")</f>
        <v>105.01782126753245</v>
      </c>
      <c r="T7" s="255">
        <f>IFERROR('R5_MB'!$G$150/'C-Balance'!$G$4*100,"")</f>
        <v>114.19142809091869</v>
      </c>
      <c r="U7" s="255">
        <f>IFERROR('R6_MB'!$G$150/'C-Balance'!$H$4*100,"")</f>
        <v>112.17830426666752</v>
      </c>
      <c r="V7" s="255">
        <f>IFERROR('R7_MB'!$G$150/'C-Balance'!$I$4*100,"")</f>
        <v>112.34348247839034</v>
      </c>
      <c r="W7" s="255">
        <f>IFERROR('R8_MB'!$G$150/'C-Balance'!$J$4*100,"")</f>
        <v>88.989309563871601</v>
      </c>
    </row>
    <row r="8" spans="5:23" x14ac:dyDescent="0.25">
      <c r="E8" s="250">
        <v>5</v>
      </c>
      <c r="F8" s="251">
        <f>'C-Balance'!G$9</f>
        <v>111.5319382339281</v>
      </c>
      <c r="G8" s="251">
        <f>'R5_MB'!C13</f>
        <v>87.967813144627144</v>
      </c>
      <c r="H8" s="251">
        <f>Liq!F$8</f>
        <v>17.916666666569654</v>
      </c>
      <c r="I8" s="251">
        <f>'C-Balance'!$G$19</f>
        <v>-6.4662280115392186</v>
      </c>
      <c r="J8" s="251">
        <f>'C-Balance'!$G$21</f>
        <v>89.988150167800711</v>
      </c>
      <c r="K8" s="251">
        <f>'R5_MB'!$C$150</f>
        <v>0.36515306900946276</v>
      </c>
      <c r="L8" s="251" t="str">
        <f>'C-Balance'!$G$15</f>
        <v/>
      </c>
      <c r="O8">
        <v>5</v>
      </c>
      <c r="P8" s="255">
        <f>IFERROR('R1_MB'!$H$150/'C-Balance'!$C$4*100,"")</f>
        <v>112.44872815899345</v>
      </c>
      <c r="Q8" s="255">
        <f>IFERROR('R2_MB'!$H$150/'C-Balance'!$D$4*100,"")</f>
        <v>114.10606571531292</v>
      </c>
      <c r="R8" s="255" t="str">
        <f>IFERROR('R3_MB'!$H$150/'C-Balance'!$E$4*100,"")</f>
        <v/>
      </c>
      <c r="S8" s="255">
        <f>IFERROR('R4_MB'!$H$150/'C-Balance'!$F$4*100,"")</f>
        <v>102.66066333430717</v>
      </c>
      <c r="T8" s="255">
        <f>IFERROR('R5_MB'!$H$150/'C-Balance'!$G$4*100,"")</f>
        <v>123.32134616390749</v>
      </c>
      <c r="U8" s="255">
        <f>IFERROR('R6_MB'!$H$150/'C-Balance'!$H$4*100,"")</f>
        <v>138.2177046195398</v>
      </c>
      <c r="V8" s="255">
        <f>IFERROR('R7_MB'!$H$150/'C-Balance'!$I$4*100,"")</f>
        <v>181.69308933107499</v>
      </c>
      <c r="W8" s="255" t="str">
        <f>IFERROR('R8_MB'!$H$150/'C-Balance'!$J$4*100,"")</f>
        <v/>
      </c>
    </row>
    <row r="9" spans="5:23" x14ac:dyDescent="0.25">
      <c r="E9" s="250">
        <v>6</v>
      </c>
      <c r="F9" s="251">
        <f>'C-Balance'!H$9</f>
        <v>111.04352252301899</v>
      </c>
      <c r="G9" s="251">
        <f>'R6_MB'!C13</f>
        <v>92.291227505568145</v>
      </c>
      <c r="H9" s="251">
        <f>Liq!G$8</f>
        <v>17.916666666569654</v>
      </c>
      <c r="I9" s="251">
        <f>'C-Balance'!$H$19</f>
        <v>-5.4102367388943113</v>
      </c>
      <c r="J9" s="251">
        <f>'C-Balance'!$H$21</f>
        <v>91.879356920772068</v>
      </c>
      <c r="K9" s="251">
        <f>'R6_MB'!$C$150</f>
        <v>0.36355400690568368</v>
      </c>
      <c r="L9" s="251" t="str">
        <f>'C-Balance'!$H$15</f>
        <v/>
      </c>
      <c r="O9">
        <v>6</v>
      </c>
      <c r="P9" s="255">
        <f>IFERROR('R1_MB'!$I$150/'C-Balance'!$C$4*100,"")</f>
        <v>112.72387952834097</v>
      </c>
      <c r="Q9" s="255">
        <f>IFERROR('R2_MB'!$I$150/'C-Balance'!$D$4*100,"")</f>
        <v>112.67201613232739</v>
      </c>
      <c r="R9" s="255" t="str">
        <f>IFERROR('R3_MB'!$I$150/'C-Balance'!$E$4*100,"")</f>
        <v/>
      </c>
      <c r="S9" s="255">
        <f>IFERROR('R4_MB'!$I$150/'C-Balance'!$F$4*100,"")</f>
        <v>112.87091384315768</v>
      </c>
      <c r="T9" s="255">
        <f>IFERROR('R5_MB'!$I$150/'C-Balance'!$G$4*100,"")</f>
        <v>116.49184404020679</v>
      </c>
      <c r="U9" s="255">
        <f>IFERROR('R6_MB'!$I$150/'C-Balance'!$H$4*100,"")</f>
        <v>112.99321133610627</v>
      </c>
      <c r="V9" s="255">
        <f>IFERROR('R7_MB'!$I$150/'C-Balance'!$I$4*100,"")</f>
        <v>114.13423784260162</v>
      </c>
      <c r="W9" s="255" t="str">
        <f>IFERROR('R8_MB'!$I$150/'C-Balance'!$J$4*100,"")</f>
        <v/>
      </c>
    </row>
    <row r="10" spans="5:23" x14ac:dyDescent="0.25">
      <c r="E10" s="250">
        <v>7</v>
      </c>
      <c r="F10" s="251">
        <f>'C-Balance'!I$9</f>
        <v>116.08293755415642</v>
      </c>
      <c r="G10" s="251">
        <f>'R7_MB'!C13</f>
        <v>103.56396627878621</v>
      </c>
      <c r="H10" s="251">
        <f>Liq!H$8</f>
        <v>17.916666666569654</v>
      </c>
      <c r="I10" s="251">
        <f>'C-Balance'!$I$19</f>
        <v>-8.2176241257601994</v>
      </c>
      <c r="J10" s="251">
        <f>'C-Balance'!$I$21</f>
        <v>91.964844268595996</v>
      </c>
      <c r="K10" s="251">
        <f>'R7_MB'!$C$150</f>
        <v>0.38005293890462982</v>
      </c>
      <c r="L10" s="251" t="str">
        <f>'C-Balance'!$I$15</f>
        <v/>
      </c>
      <c r="O10">
        <v>7</v>
      </c>
      <c r="P10" s="255">
        <f>IFERROR('R1_MB'!$J$150/'C-Balance'!$C$4*100,"")</f>
        <v>113.97875120812364</v>
      </c>
      <c r="Q10" s="255">
        <f>IFERROR('R2_MB'!$J$150/'C-Balance'!$D$4*100,"")</f>
        <v>113.21027861792032</v>
      </c>
      <c r="R10" s="255" t="str">
        <f>IFERROR('R3_MB'!$J$150/'C-Balance'!$E$4*100,"")</f>
        <v/>
      </c>
      <c r="S10" s="255">
        <f>IFERROR('R4_MB'!$J$150/'C-Balance'!$F$4*100,"")</f>
        <v>107.01417070687525</v>
      </c>
      <c r="T10" s="255">
        <f>IFERROR('R5_MB'!$J$150/'C-Balance'!$G$4*100,"")</f>
        <v>114.16873169380844</v>
      </c>
      <c r="U10" s="255">
        <f>IFERROR('R6_MB'!$J$150/'C-Balance'!$H$4*100,"")</f>
        <v>112.84150163914536</v>
      </c>
      <c r="V10" s="255">
        <f>IFERROR('R7_MB'!$J$150/'C-Balance'!$I$4*100,"")</f>
        <v>112.89201366011517</v>
      </c>
      <c r="W10" s="255" t="str">
        <f>IFERROR('R8_MB'!$J$150/'C-Balance'!$J$4*100,"")</f>
        <v/>
      </c>
    </row>
    <row r="11" spans="5:23" x14ac:dyDescent="0.25">
      <c r="E11" s="250">
        <v>8</v>
      </c>
      <c r="F11" s="251">
        <f>'C-Balance'!J$9</f>
        <v>86.730606416203187</v>
      </c>
      <c r="G11" s="251">
        <f>'R8_MB'!C13</f>
        <v>83.96569002803794</v>
      </c>
      <c r="H11" s="251">
        <f>Liq!I$8</f>
        <v>17.916666666569654</v>
      </c>
      <c r="I11" s="251">
        <f>'C-Balance'!$J$19</f>
        <v>98.941543735069857</v>
      </c>
      <c r="J11" s="251">
        <f>'C-Balance'!$J$21</f>
        <v>59.773759465034779</v>
      </c>
      <c r="K11" s="251">
        <f>'R8_MB'!$C$150</f>
        <v>0.28395406384405836</v>
      </c>
      <c r="L11" s="251" t="str">
        <f>'C-Balance'!$J$15</f>
        <v/>
      </c>
      <c r="O11">
        <v>8</v>
      </c>
      <c r="P11" s="255">
        <f>IFERROR('R1_MB'!$K$150/'C-Balance'!$C$4*100,"")</f>
        <v>113.01763501629193</v>
      </c>
      <c r="Q11" s="255">
        <f>IFERROR('R2_MB'!$K$150/'C-Balance'!$D$4*100,"")</f>
        <v>112.70685404047502</v>
      </c>
      <c r="R11" s="255" t="str">
        <f>IFERROR('R3_MB'!$K$150/'C-Balance'!$E$4*100,"")</f>
        <v/>
      </c>
      <c r="S11" s="255">
        <f>IFERROR('R4_MB'!$K$150/'C-Balance'!$F$4*100,"")</f>
        <v>102.95563630283029</v>
      </c>
      <c r="T11" s="255">
        <f>IFERROR('R5_MB'!$K$150/'C-Balance'!$G$4*100,"")</f>
        <v>110.2967813764337</v>
      </c>
      <c r="U11" s="255">
        <f>IFERROR('R6_MB'!$K$150/'C-Balance'!$H$4*100,"")</f>
        <v>107.08460124199178</v>
      </c>
      <c r="V11" s="255">
        <f>IFERROR('R7_MB'!$K$150/'C-Balance'!$I$4*100,"")</f>
        <v>106.08538911099978</v>
      </c>
      <c r="W11" s="255" t="str">
        <f>IFERROR('R8_MB'!$K$150/'C-Balance'!$J$4*100,"")</f>
        <v/>
      </c>
    </row>
    <row r="12" spans="5:23" x14ac:dyDescent="0.25">
      <c r="O12">
        <v>9</v>
      </c>
      <c r="P12" s="255">
        <f>IFERROR('R1_MB'!$L$150/'C-Balance'!$C$4*100,"")</f>
        <v>104.57125306135889</v>
      </c>
      <c r="Q12" s="255">
        <f>IFERROR('R2_MB'!$L$150/'C-Balance'!$D$4*100,"")</f>
        <v>105.30637078462142</v>
      </c>
      <c r="R12" s="255" t="str">
        <f>IFERROR('R3_MB'!$L$150/'C-Balance'!$E$4*100,"")</f>
        <v/>
      </c>
      <c r="S12" s="255">
        <f>IFERROR('R4_MB'!$L$150/'C-Balance'!$F$4*100,"")</f>
        <v>95.613027821295134</v>
      </c>
      <c r="T12" s="255">
        <f>IFERROR('R5_MB'!$L$150/'C-Balance'!$G$4*100,"")</f>
        <v>107.06876450762704</v>
      </c>
      <c r="U12" s="255">
        <f>IFERROR('R6_MB'!$L$150/'C-Balance'!$H$4*100,"")</f>
        <v>106.4435357859583</v>
      </c>
      <c r="V12" s="255">
        <f>IFERROR('R7_MB'!$L$150/'C-Balance'!$I$4*100,"")</f>
        <v>106.25334781840401</v>
      </c>
      <c r="W12" s="255" t="str">
        <f>IFERROR('R8_MB'!$L$150/'C-Balance'!$J$4*100,"")</f>
        <v/>
      </c>
    </row>
    <row r="13" spans="5:23" x14ac:dyDescent="0.25">
      <c r="O13">
        <v>10</v>
      </c>
      <c r="P13" s="255">
        <f>IFERROR('R1_MB'!$M$150/'C-Balance'!$C$4*100,"")</f>
        <v>105.1592204163897</v>
      </c>
      <c r="Q13" s="255">
        <f>IFERROR('R2_MB'!$M$150/'C-Balance'!$D$4*100,"")</f>
        <v>105.66376537895053</v>
      </c>
      <c r="R13" s="255" t="str">
        <f>IFERROR('R3_MB'!$M$150/'C-Balance'!$E$4*100,"")</f>
        <v/>
      </c>
      <c r="S13" s="255">
        <f>IFERROR('R4_MB'!$M$150/'C-Balance'!$F$4*100,"")</f>
        <v>94.542456066451123</v>
      </c>
      <c r="T13" s="255">
        <f>IFERROR('R5_MB'!$M$150/'C-Balance'!$G$4*100,"")</f>
        <v>106.56676281401907</v>
      </c>
      <c r="U13" s="255">
        <f>IFERROR('R6_MB'!$M$150/'C-Balance'!$H$4*100,"")</f>
        <v>105.83537712774427</v>
      </c>
      <c r="V13" s="255">
        <f>IFERROR('R7_MB'!$M$150/'C-Balance'!$I$4*100,"")</f>
        <v>105.87122025509908</v>
      </c>
      <c r="W13" s="255" t="str">
        <f>IFERROR('R8_MB'!$M$150/'C-Balance'!$J$4*100,"")</f>
        <v/>
      </c>
    </row>
    <row r="14" spans="5:23" ht="15.75" customHeight="1" x14ac:dyDescent="0.25">
      <c r="E14" s="294" t="s">
        <v>363</v>
      </c>
      <c r="F14" s="295"/>
      <c r="G14" s="295"/>
      <c r="O14">
        <v>11</v>
      </c>
      <c r="P14" s="255">
        <f>IFERROR('R1_MB'!$N$150/'C-Balance'!$C$4*100,"")</f>
        <v>104.32120352012745</v>
      </c>
      <c r="Q14" s="255">
        <f>IFERROR('R2_MB'!$N$150/'C-Balance'!$D$4*100,"")</f>
        <v>105.56119880784092</v>
      </c>
      <c r="R14" s="255" t="str">
        <f>IFERROR('R3_MB'!$N$150/'C-Balance'!$E$4*100,"")</f>
        <v/>
      </c>
      <c r="S14" s="255">
        <f>IFERROR('R4_MB'!$N$150/'C-Balance'!$F$4*100,"")</f>
        <v>94.598773245059277</v>
      </c>
      <c r="T14" s="255">
        <f>IFERROR('R5_MB'!$N$150/'C-Balance'!$G$4*100,"")</f>
        <v>106.34943734379338</v>
      </c>
      <c r="U14" s="255">
        <f>IFERROR('R6_MB'!$N$150/'C-Balance'!$H$4*100,"")</f>
        <v>105.93277992413141</v>
      </c>
      <c r="V14" s="255">
        <f>IFERROR('R7_MB'!$N$150/'C-Balance'!$I$4*100,"")</f>
        <v>105.93337200912896</v>
      </c>
      <c r="W14" s="255" t="str">
        <f>IFERROR('R8_MB'!$N$150/'C-Balance'!$J$4*100,"")</f>
        <v/>
      </c>
    </row>
    <row r="15" spans="5:23" x14ac:dyDescent="0.25">
      <c r="E15" s="254" t="s">
        <v>362</v>
      </c>
      <c r="F15" s="254" t="s">
        <v>8</v>
      </c>
      <c r="G15" s="254" t="s">
        <v>11</v>
      </c>
      <c r="H15" s="254" t="s">
        <v>12</v>
      </c>
      <c r="I15" s="254" t="s">
        <v>13</v>
      </c>
      <c r="J15" s="254" t="s">
        <v>22</v>
      </c>
      <c r="K15" s="254" t="s">
        <v>23</v>
      </c>
      <c r="L15" s="254" t="s">
        <v>24</v>
      </c>
      <c r="M15" s="254" t="s">
        <v>25</v>
      </c>
      <c r="O15">
        <v>12</v>
      </c>
      <c r="P15" s="255">
        <f>IFERROR('R1_MB'!$O$150/'C-Balance'!$C$4*100,"")</f>
        <v>105.01286199840865</v>
      </c>
      <c r="Q15" s="255">
        <f>IFERROR('R2_MB'!$O$150/'C-Balance'!$D$4*100,"")</f>
        <v>105.67329288641447</v>
      </c>
      <c r="R15" s="255" t="str">
        <f>IFERROR('R3_MB'!$O$150/'C-Balance'!$E$4*100,"")</f>
        <v/>
      </c>
      <c r="S15" s="255">
        <f>IFERROR('R4_MB'!$O$150/'C-Balance'!$F$4*100,"")</f>
        <v>93.799468239170167</v>
      </c>
      <c r="T15" s="255">
        <f>IFERROR('R5_MB'!$O$150/'C-Balance'!$G$4*100,"")</f>
        <v>106.81524816655556</v>
      </c>
      <c r="U15" s="255">
        <f>IFERROR('R6_MB'!$O$150/'C-Balance'!$H$4*100,"")</f>
        <v>104.8733500799828</v>
      </c>
      <c r="V15" s="255" t="str">
        <f>IFERROR('R7_MB'!$O$150/'C-Balance'!$I$4*100,"")</f>
        <v/>
      </c>
      <c r="W15" s="255" t="str">
        <f>IFERROR('R8_MB'!$O$150/'C-Balance'!$J$4*100,"")</f>
        <v/>
      </c>
    </row>
    <row r="16" spans="5:23" x14ac:dyDescent="0.25">
      <c r="E16">
        <v>1</v>
      </c>
      <c r="F16" s="255">
        <f>IFERROR(100-('R1_MB'!$D$78/'C-Balance'!$C$17*100),"")</f>
        <v>17.362257989038781</v>
      </c>
      <c r="G16" s="255">
        <f>IFERROR(100-('R2_MB'!$D$78/'C-Balance'!$D$17*100),"")</f>
        <v>3.7175384450870297</v>
      </c>
      <c r="H16" s="255" t="str">
        <f>IFERROR(100-('R3_MB'!$D$78/'C-Balance'!$E$17*100),"")</f>
        <v/>
      </c>
      <c r="I16" s="255">
        <f>IFERROR(100-('R4_MB'!$D$78/'C-Balance'!$F$17*100),"")</f>
        <v>12.751912563396985</v>
      </c>
      <c r="J16" s="255">
        <f>IFERROR(100-('R5_MB'!$D$78/'C-Balance'!$G$17*100),"")</f>
        <v>-9.7071616058552479</v>
      </c>
      <c r="K16" s="255">
        <f>IFERROR(100-('R6_MB'!$D$78/'C-Balance'!$H$17*100),"")</f>
        <v>-5.7887563951294112</v>
      </c>
      <c r="L16" s="255">
        <f>IFERROR(100-('R7_MB'!$D$78/'C-Balance'!$I$17*100),"")</f>
        <v>-10.561606478304981</v>
      </c>
      <c r="M16" s="255">
        <f>IFERROR(100-('R8_MB'!$D$78/'C-Balance'!$J$17*100),"")</f>
        <v>98.915209484334582</v>
      </c>
      <c r="O16">
        <v>13</v>
      </c>
      <c r="P16" s="255" t="str">
        <f>IFERROR('R1_MB'!$P$150/'C-Balance'!$C$4*100,"")</f>
        <v/>
      </c>
      <c r="Q16" s="255" t="str">
        <f>IFERROR('R2_MB'!$P$150/'C-Balance'!$D$4*100,"")</f>
        <v/>
      </c>
      <c r="R16" s="255" t="str">
        <f>IFERROR('R3_MB'!$P$150/'C-Balance'!$E$4*100,"")</f>
        <v/>
      </c>
      <c r="S16" s="255" t="str">
        <f>IFERROR('R4_MB'!$P$150/'C-Balance'!$F$4*100,"")</f>
        <v/>
      </c>
      <c r="T16" s="255" t="str">
        <f>IFERROR('R5_MB'!$P$150/'C-Balance'!$G$4*100,"")</f>
        <v/>
      </c>
      <c r="U16" s="255" t="str">
        <f>IFERROR('R6_MB'!$P$150/'C-Balance'!$H$4*100,"")</f>
        <v/>
      </c>
      <c r="V16" s="255" t="str">
        <f>IFERROR('R7_MB'!$P$150/'C-Balance'!$I$4*100,"")</f>
        <v/>
      </c>
      <c r="W16" s="255" t="str">
        <f>IFERROR('R8_MB'!$P$150/'C-Balance'!$J$4*100,"")</f>
        <v/>
      </c>
    </row>
    <row r="17" spans="5:23" x14ac:dyDescent="0.25">
      <c r="E17">
        <v>2</v>
      </c>
      <c r="F17" s="255">
        <f>IFERROR(100-('R1_MB'!$E$78/'C-Balance'!$C$17*100),"")</f>
        <v>-10.363445793681493</v>
      </c>
      <c r="G17" s="255">
        <f>IFERROR(100-('R2_MB'!$E$78/'C-Balance'!$D$17*100),"")</f>
        <v>-10.107729103102386</v>
      </c>
      <c r="H17" s="255" t="str">
        <f>IFERROR(100-('R3_MB'!$E$78/'C-Balance'!$E$17*100),"")</f>
        <v/>
      </c>
      <c r="I17" s="255">
        <f>IFERROR(100-('R4_MB'!$E$78/'C-Balance'!$F$17*100),"")</f>
        <v>52.257693972223294</v>
      </c>
      <c r="J17" s="255">
        <f>IFERROR(100-('R5_MB'!$E$78/'C-Balance'!$G$17*100),"")</f>
        <v>-11.585653398269201</v>
      </c>
      <c r="K17" s="255">
        <f>IFERROR(100-('R6_MB'!$E$78/'C-Balance'!$H$17*100),"")</f>
        <v>-8.3792504012721025</v>
      </c>
      <c r="L17" s="255">
        <f>IFERROR(100-('R7_MB'!$E$78/'C-Balance'!$I$17*100),"")</f>
        <v>-11.018284301060177</v>
      </c>
      <c r="M17" s="255">
        <f>IFERROR(100-('R8_MB'!$E$78/'C-Balance'!$J$17*100),"")</f>
        <v>99.00833205475692</v>
      </c>
      <c r="O17">
        <v>14</v>
      </c>
      <c r="P17" s="255" t="str">
        <f>IFERROR('R1_MB'!$Q$150/'C-Balance'!$C$4*100,"")</f>
        <v/>
      </c>
      <c r="Q17" s="255" t="str">
        <f>IFERROR('R2_MB'!$Q$150/'C-Balance'!$D$4*100,"")</f>
        <v/>
      </c>
      <c r="R17" s="255" t="str">
        <f>IFERROR('R3_MB'!$Q$150/'C-Balance'!$E$4*100,"")</f>
        <v/>
      </c>
      <c r="S17" s="255" t="str">
        <f>IFERROR('R4_MB'!$Q$150/'C-Balance'!$F$4*100,"")</f>
        <v/>
      </c>
      <c r="T17" s="255" t="str">
        <f>IFERROR('R5_MB'!$Q$150/'C-Balance'!$G$4*100,"")</f>
        <v/>
      </c>
      <c r="U17" s="255" t="str">
        <f>IFERROR('R6_MB'!$Q$150/'C-Balance'!$H$4*100,"")</f>
        <v/>
      </c>
      <c r="V17" s="255" t="str">
        <f>IFERROR('R7_MB'!$Q$150/'C-Balance'!$I$4*100,"")</f>
        <v/>
      </c>
      <c r="W17" s="255" t="str">
        <f>IFERROR('R8_MB'!$Q$150/'C-Balance'!$J$4*100,"")</f>
        <v/>
      </c>
    </row>
    <row r="18" spans="5:23" x14ac:dyDescent="0.25">
      <c r="E18">
        <v>3</v>
      </c>
      <c r="F18" s="255">
        <f>IFERROR(100-('R1_MB'!$F$78/'C-Balance'!$C$17*100),"")</f>
        <v>-10.933071132645139</v>
      </c>
      <c r="G18" s="255">
        <f>IFERROR(100-('R2_MB'!$F$78/'C-Balance'!$D$17*100),"")</f>
        <v>-10.89500406172516</v>
      </c>
      <c r="H18" s="255" t="str">
        <f>IFERROR(100-('R3_MB'!$F$78/'C-Balance'!$E$17*100),"")</f>
        <v/>
      </c>
      <c r="I18" s="255">
        <f>IFERROR(100-('R4_MB'!$F$78/'C-Balance'!$F$17*100),"")</f>
        <v>76.658808174425843</v>
      </c>
      <c r="J18" s="255">
        <f>IFERROR(100-('R5_MB'!$F$78/'C-Balance'!$G$17*100),"")</f>
        <v>-11.426997840373758</v>
      </c>
      <c r="K18" s="255">
        <f>IFERROR(100-('R6_MB'!$F$78/'C-Balance'!$H$17*100),"")</f>
        <v>-9.3911414783228935</v>
      </c>
      <c r="L18" s="255">
        <f>IFERROR(100-('R7_MB'!$F$78/'C-Balance'!$I$17*100),"")</f>
        <v>-11.556430745341515</v>
      </c>
      <c r="M18" s="255">
        <f>IFERROR(100-('R8_MB'!$F$78/'C-Balance'!$J$17*100),"")</f>
        <v>98.992554085127381</v>
      </c>
      <c r="O18">
        <v>15</v>
      </c>
      <c r="P18" s="255" t="str">
        <f>IFERROR('R1_MB'!$R$150/'C-Balance'!$C$4*100,"")</f>
        <v/>
      </c>
      <c r="Q18" s="255" t="str">
        <f>IFERROR('R2_MB'!$R$150/'C-Balance'!$D$4*100,"")</f>
        <v/>
      </c>
      <c r="R18" s="255" t="str">
        <f>IFERROR('R3_MB'!$R$150/'C-Balance'!$E$4*100,"")</f>
        <v/>
      </c>
      <c r="S18" s="255" t="str">
        <f>IFERROR('R4_MB'!$R$150/'C-Balance'!$F$4*100,"")</f>
        <v/>
      </c>
      <c r="T18" s="255" t="str">
        <f>IFERROR('R5_MB'!$R$150/'C-Balance'!$G$4*100,"")</f>
        <v/>
      </c>
      <c r="U18" s="255" t="str">
        <f>IFERROR('R6_MB'!$R$150/'C-Balance'!$H$4*100,"")</f>
        <v/>
      </c>
      <c r="V18" s="255" t="str">
        <f>IFERROR('R7_MB'!$R$150/'C-Balance'!$I$4*100,"")</f>
        <v/>
      </c>
      <c r="W18" s="255" t="str">
        <f>IFERROR('R8_MB'!$R$150/'C-Balance'!$J$4*100,"")</f>
        <v/>
      </c>
    </row>
    <row r="19" spans="5:23" x14ac:dyDescent="0.25">
      <c r="E19">
        <v>4</v>
      </c>
      <c r="F19" s="255">
        <f>IFERROR(100-('R1_MB'!$G$78/'C-Balance'!$C$17*100),"")</f>
        <v>-10.574128863484034</v>
      </c>
      <c r="G19" s="255">
        <f>IFERROR(100-('R2_MB'!$G$78/'C-Balance'!$D$17*100),"")</f>
        <v>-12.938808421701125</v>
      </c>
      <c r="H19" s="255" t="str">
        <f>IFERROR(100-('R3_MB'!$G$78/'C-Balance'!$E$17*100),"")</f>
        <v/>
      </c>
      <c r="I19" s="255">
        <f>IFERROR(100-('R4_MB'!$G$78/'C-Balance'!$F$17*100),"")</f>
        <v>71.801366329289209</v>
      </c>
      <c r="J19" s="255">
        <f>IFERROR(100-('R5_MB'!$G$78/'C-Balance'!$G$17*100),"")</f>
        <v>-13.643277730213072</v>
      </c>
      <c r="K19" s="255">
        <f>IFERROR(100-('R6_MB'!$G$78/'C-Balance'!$H$17*100),"")</f>
        <v>-12.28514538446548</v>
      </c>
      <c r="L19" s="255">
        <f>IFERROR(100-('R7_MB'!$G$78/'C-Balance'!$I$17*100),"")</f>
        <v>-13.157819984873015</v>
      </c>
      <c r="M19" s="255">
        <f>IFERROR(100-('R8_MB'!$G$78/'C-Balance'!$J$17*100),"")</f>
        <v>98.850079316060558</v>
      </c>
      <c r="O19">
        <v>16</v>
      </c>
      <c r="P19" s="255" t="str">
        <f>IFERROR('R1_MB'!$S$150/'C-Balance'!$C$4*100,"")</f>
        <v/>
      </c>
      <c r="Q19" s="255" t="str">
        <f>IFERROR('R2_MB'!$S$150/'C-Balance'!$D$4*100,"")</f>
        <v/>
      </c>
      <c r="R19" s="255" t="str">
        <f>IFERROR('R3_MB'!$S$150/'C-Balance'!$E$4*100,"")</f>
        <v/>
      </c>
      <c r="S19" s="255" t="str">
        <f>IFERROR('R4_MB'!$S$150/'C-Balance'!$F$4*100,"")</f>
        <v/>
      </c>
      <c r="T19" s="255" t="str">
        <f>IFERROR('R5_MB'!$S$150/'C-Balance'!$G$4*100,"")</f>
        <v/>
      </c>
      <c r="U19" s="255" t="str">
        <f>IFERROR('R6_MB'!$S$150/'C-Balance'!$H$4*100,"")</f>
        <v/>
      </c>
      <c r="V19" s="255" t="str">
        <f>IFERROR('R7_MB'!$S$150/'C-Balance'!$I$4*100,"")</f>
        <v/>
      </c>
      <c r="W19" s="255" t="str">
        <f>IFERROR('R8_MB'!$S$150/'C-Balance'!$J$4*100,"")</f>
        <v/>
      </c>
    </row>
    <row r="20" spans="5:23" x14ac:dyDescent="0.25">
      <c r="E20">
        <v>5</v>
      </c>
      <c r="F20" s="255">
        <f>IFERROR(100-('R1_MB'!$H$78/'C-Balance'!$C$17*100),"")</f>
        <v>-14.09068034804217</v>
      </c>
      <c r="G20" s="255">
        <f>IFERROR(100-('R2_MB'!$H$78/'C-Balance'!$D$17*100),"")</f>
        <v>-13.442674050903321</v>
      </c>
      <c r="H20" s="255" t="str">
        <f>IFERROR(100-('R3_MB'!$H$78/'C-Balance'!$E$17*100),"")</f>
        <v/>
      </c>
      <c r="I20" s="255">
        <f>IFERROR(100-('R4_MB'!$H$78/'C-Balance'!$F$17*100),"")</f>
        <v>60.73508444553044</v>
      </c>
      <c r="J20" s="255">
        <f>IFERROR(100-('R5_MB'!$H$78/'C-Balance'!$G$17*100),"")</f>
        <v>28.972141059363437</v>
      </c>
      <c r="K20" s="255">
        <f>IFERROR(100-('R6_MB'!$H$78/'C-Balance'!$H$17*100),"")</f>
        <v>24.176497650775602</v>
      </c>
      <c r="L20" s="255">
        <f>IFERROR(100-('R7_MB'!$H$78/'C-Balance'!$I$17*100),"")</f>
        <v>6.8725333632038854</v>
      </c>
      <c r="M20" s="255" t="str">
        <f>IFERROR(100-('R8_MB'!$H$78/'C-Balance'!$J$17*100),"")</f>
        <v/>
      </c>
      <c r="O20">
        <v>17</v>
      </c>
      <c r="P20" s="255" t="str">
        <f>IFERROR('R1_MB'!$T$150/'C-Balance'!$C$4*100,"")</f>
        <v/>
      </c>
      <c r="Q20" s="255" t="str">
        <f>IFERROR('R2_MB'!$T$150/'C-Balance'!$D$4*100,"")</f>
        <v/>
      </c>
      <c r="R20" s="255" t="str">
        <f>IFERROR('R3_MB'!$T$150/'C-Balance'!$E$4*100,"")</f>
        <v/>
      </c>
      <c r="S20" s="255" t="str">
        <f>IFERROR('R4_MB'!$T$150/'C-Balance'!$F$4*100,"")</f>
        <v/>
      </c>
      <c r="T20" s="255" t="str">
        <f>IFERROR('R5_MB'!$T$150/'C-Balance'!$G$4*100,"")</f>
        <v/>
      </c>
      <c r="U20" s="255" t="str">
        <f>IFERROR('R6_MB'!$T$150/'C-Balance'!$H$4*100,"")</f>
        <v/>
      </c>
      <c r="V20" s="255" t="str">
        <f>IFERROR('R7_MB'!$T$150/'C-Balance'!$I$4*100,"")</f>
        <v/>
      </c>
      <c r="W20" s="255" t="str">
        <f>IFERROR('R8_MB'!$T$150/'C-Balance'!$J$4*100,"")</f>
        <v/>
      </c>
    </row>
    <row r="21" spans="5:23" x14ac:dyDescent="0.25">
      <c r="E21">
        <v>6</v>
      </c>
      <c r="F21" s="255">
        <f>IFERROR(100-('R1_MB'!$I$78/'C-Balance'!$C$17*100),"")</f>
        <v>-13.305870550572621</v>
      </c>
      <c r="G21" s="255">
        <f>IFERROR(100-('R2_MB'!$I$78/'C-Balance'!$D$17*100),"")</f>
        <v>-13.071095262286406</v>
      </c>
      <c r="H21" s="255" t="str">
        <f>IFERROR(100-('R3_MB'!$I$78/'C-Balance'!$E$17*100),"")</f>
        <v/>
      </c>
      <c r="I21" s="255">
        <f>IFERROR(100-('R4_MB'!$I$78/'C-Balance'!$F$17*100),"")</f>
        <v>55.890881121139834</v>
      </c>
      <c r="J21" s="255">
        <f>IFERROR(100-('R5_MB'!$I$78/'C-Balance'!$G$17*100),"")</f>
        <v>-13.137203281654507</v>
      </c>
      <c r="K21" s="255">
        <f>IFERROR(100-('R6_MB'!$I$78/'C-Balance'!$H$17*100),"")</f>
        <v>-12.510619386546921</v>
      </c>
      <c r="L21" s="255">
        <f>IFERROR(100-('R7_MB'!$I$78/'C-Balance'!$I$17*100),"")</f>
        <v>-14.529993261064121</v>
      </c>
      <c r="M21" s="255" t="str">
        <f>IFERROR(100-('R8_MB'!$I$78/'C-Balance'!$J$17*100),"")</f>
        <v/>
      </c>
      <c r="O21">
        <v>18</v>
      </c>
      <c r="P21" s="255" t="str">
        <f>IFERROR('R1_MB'!$U$150/'C-Balance'!$C$4*100,"")</f>
        <v/>
      </c>
      <c r="Q21" s="255" t="str">
        <f>IFERROR('R2_MB'!$U$150/'C-Balance'!$D$4*100,"")</f>
        <v/>
      </c>
      <c r="R21" s="255" t="str">
        <f>IFERROR('R3_MB'!$U$150/'C-Balance'!$E$4*100,"")</f>
        <v/>
      </c>
      <c r="S21" s="255" t="str">
        <f>IFERROR('R4_MB'!$U$150/'C-Balance'!$F$4*100,"")</f>
        <v/>
      </c>
      <c r="T21" s="255" t="str">
        <f>IFERROR('R5_MB'!$U$150/'C-Balance'!$G$4*100,"")</f>
        <v/>
      </c>
      <c r="U21" s="255" t="str">
        <f>IFERROR('R6_MB'!$U$150/'C-Balance'!$H$4*100,"")</f>
        <v/>
      </c>
      <c r="V21" s="255" t="str">
        <f>IFERROR('R7_MB'!$U$150/'C-Balance'!$I$4*100,"")</f>
        <v/>
      </c>
      <c r="W21" s="255" t="str">
        <f>IFERROR('R8_MB'!$U$150/'C-Balance'!$J$4*100,"")</f>
        <v/>
      </c>
    </row>
    <row r="22" spans="5:23" x14ac:dyDescent="0.25">
      <c r="E22">
        <v>7</v>
      </c>
      <c r="F22" s="255">
        <f>IFERROR(100-('R1_MB'!$J$78/'C-Balance'!$C$17*100),"")</f>
        <v>-15.552291522768272</v>
      </c>
      <c r="G22" s="255">
        <f>IFERROR(100-('R2_MB'!$J$78/'C-Balance'!$D$17*100),"")</f>
        <v>-14.196981791716468</v>
      </c>
      <c r="H22" s="255" t="str">
        <f>IFERROR(100-('R3_MB'!$J$78/'C-Balance'!$E$17*100),"")</f>
        <v/>
      </c>
      <c r="I22" s="255">
        <f>IFERROR(100-('R4_MB'!$J$78/'C-Balance'!$F$17*100),"")</f>
        <v>55.782455961328168</v>
      </c>
      <c r="J22" s="255">
        <f>IFERROR(100-('R5_MB'!$J$78/'C-Balance'!$G$17*100),"")</f>
        <v>-13.983265078278251</v>
      </c>
      <c r="K22" s="255">
        <f>IFERROR(100-('R6_MB'!$J$78/'C-Balance'!$H$17*100),"")</f>
        <v>-13.761908947964869</v>
      </c>
      <c r="L22" s="255">
        <f>IFERROR(100-('R7_MB'!$J$78/'C-Balance'!$I$17*100),"")</f>
        <v>-14.361221953162229</v>
      </c>
      <c r="M22" s="255" t="str">
        <f>IFERROR(100-('R8_MB'!$J$78/'C-Balance'!$J$17*100),"")</f>
        <v/>
      </c>
      <c r="O22">
        <v>19</v>
      </c>
      <c r="P22" s="255" t="str">
        <f>IFERROR('R1_MB'!$V$150/'C-Balance'!$C$4*100,"")</f>
        <v/>
      </c>
      <c r="Q22" s="255" t="str">
        <f>IFERROR('R2_MB'!$V$150/'C-Balance'!$D$4*100,"")</f>
        <v/>
      </c>
      <c r="R22" s="255" t="str">
        <f>IFERROR('R3_MB'!$V$150/'C-Balance'!$E$4*100,"")</f>
        <v/>
      </c>
      <c r="S22" s="255" t="str">
        <f>IFERROR('R4_MB'!$V$150/'C-Balance'!$F$4*100,"")</f>
        <v/>
      </c>
      <c r="T22" s="255" t="str">
        <f>IFERROR('R5_MB'!$V$150/'C-Balance'!$G$4*100,"")</f>
        <v/>
      </c>
      <c r="U22" s="255" t="str">
        <f>IFERROR('R6_MB'!$V$150/'C-Balance'!$H$4*100,"")</f>
        <v/>
      </c>
      <c r="V22" s="255" t="str">
        <f>IFERROR('R7_MB'!$V$150/'C-Balance'!$I$4*100,"")</f>
        <v/>
      </c>
      <c r="W22" s="255" t="str">
        <f>IFERROR('R8_MB'!$V$150/'C-Balance'!$J$4*100,"")</f>
        <v/>
      </c>
    </row>
    <row r="23" spans="5:23" x14ac:dyDescent="0.25">
      <c r="E23">
        <v>8</v>
      </c>
      <c r="F23" s="255">
        <f>IFERROR(100-('R1_MB'!$K$78/'C-Balance'!$C$17*100),"")</f>
        <v>-14.720382271250102</v>
      </c>
      <c r="G23" s="255">
        <f>IFERROR(100-('R2_MB'!$K$78/'C-Balance'!$D$17*100),"")</f>
        <v>-14.170626205075123</v>
      </c>
      <c r="H23" s="255" t="str">
        <f>IFERROR(100-('R3_MB'!$K$78/'C-Balance'!$E$17*100),"")</f>
        <v/>
      </c>
      <c r="I23" s="255">
        <f>IFERROR(100-('R4_MB'!$K$78/'C-Balance'!$F$17*100),"")</f>
        <v>50.588227878919824</v>
      </c>
      <c r="J23" s="255">
        <f>IFERROR(100-('R5_MB'!$K$78/'C-Balance'!$G$17*100),"")</f>
        <v>-9.9845369031946802</v>
      </c>
      <c r="K23" s="255">
        <f>IFERROR(100-('R6_MB'!$K$78/'C-Balance'!$H$17*100),"")</f>
        <v>-6.4819529192010208</v>
      </c>
      <c r="L23" s="255">
        <f>IFERROR(100-('R7_MB'!$K$78/'C-Balance'!$I$17*100),"")</f>
        <v>-5.6242114722706731</v>
      </c>
      <c r="M23" s="255" t="str">
        <f>IFERROR(100-('R8_MB'!$K$78/'C-Balance'!$J$17*100),"")</f>
        <v/>
      </c>
      <c r="O23">
        <v>20</v>
      </c>
      <c r="P23" s="255" t="str">
        <f>IFERROR('R1_MB'!$W$150/'C-Balance'!$C$4*100,"")</f>
        <v/>
      </c>
      <c r="Q23" s="255" t="str">
        <f>IFERROR('R2_MB'!$W$150/'C-Balance'!$D$4*100,"")</f>
        <v/>
      </c>
      <c r="R23" s="255" t="str">
        <f>IFERROR('R3_MB'!$W$150/'C-Balance'!$E$4*100,"")</f>
        <v/>
      </c>
      <c r="S23" s="255" t="str">
        <f>IFERROR('R4_MB'!$W$150/'C-Balance'!$F$4*100,"")</f>
        <v/>
      </c>
      <c r="T23" s="255" t="str">
        <f>IFERROR('R5_MB'!$W$150/'C-Balance'!$G$4*100,"")</f>
        <v/>
      </c>
      <c r="U23" s="255" t="str">
        <f>IFERROR('R6_MB'!$W$150/'C-Balance'!$H$4*100,"")</f>
        <v/>
      </c>
      <c r="V23" s="255" t="str">
        <f>IFERROR('R7_MB'!$W$150/'C-Balance'!$I$4*100,"")</f>
        <v/>
      </c>
      <c r="W23" s="255" t="str">
        <f>IFERROR('R8_MB'!$W$150/'C-Balance'!$J$4*100,"")</f>
        <v/>
      </c>
    </row>
    <row r="24" spans="5:23" x14ac:dyDescent="0.25">
      <c r="E24">
        <v>9</v>
      </c>
      <c r="F24" s="255">
        <f>IFERROR(100-('R1_MB'!$L$78/'C-Balance'!$C$17*100),"")</f>
        <v>-4.2775677037953983</v>
      </c>
      <c r="G24" s="255">
        <f>IFERROR(100-('R2_MB'!$L$78/'C-Balance'!$D$17*100),"")</f>
        <v>-4.8401310551186043</v>
      </c>
      <c r="H24" s="255" t="str">
        <f>IFERROR(100-('R3_MB'!$L$78/'C-Balance'!$E$17*100),"")</f>
        <v/>
      </c>
      <c r="I24" s="255">
        <f>IFERROR(100-('R4_MB'!$L$78/'C-Balance'!$F$17*100),"")</f>
        <v>40.04814616696887</v>
      </c>
      <c r="J24" s="255">
        <f>IFERROR(100-('R5_MB'!$L$78/'C-Balance'!$G$17*100),"")</f>
        <v>-6.1441527685574187</v>
      </c>
      <c r="K24" s="255">
        <f>IFERROR(100-('R6_MB'!$L$78/'C-Balance'!$H$17*100),"")</f>
        <v>-5.6744598586762294</v>
      </c>
      <c r="L24" s="255">
        <f>IFERROR(100-('R7_MB'!$L$78/'C-Balance'!$I$17*100),"")</f>
        <v>-5.7214967172374287</v>
      </c>
      <c r="M24" s="255" t="str">
        <f>IFERROR(100-('R8_MB'!$L$78/'C-Balance'!$J$17*100),"")</f>
        <v/>
      </c>
      <c r="O24">
        <v>21</v>
      </c>
      <c r="P24" s="255" t="str">
        <f>IFERROR('R1_MB'!$X$150/'C-Balance'!$C$4*100,"")</f>
        <v/>
      </c>
      <c r="Q24" s="255" t="str">
        <f>IFERROR('R2_MB'!$X$150/'C-Balance'!$D$4*100,"")</f>
        <v/>
      </c>
      <c r="R24" s="255" t="str">
        <f>IFERROR('R3_MB'!$X$150/'C-Balance'!$E$4*100,"")</f>
        <v/>
      </c>
      <c r="S24" s="255" t="str">
        <f>IFERROR('R4_MB'!$X$150/'C-Balance'!$F$4*100,"")</f>
        <v/>
      </c>
      <c r="T24" s="255" t="str">
        <f>IFERROR('R5_MB'!$X$150/'C-Balance'!$G$4*100,"")</f>
        <v/>
      </c>
      <c r="U24" s="255" t="str">
        <f>IFERROR('R6_MB'!$X$150/'C-Balance'!$H$4*100,"")</f>
        <v/>
      </c>
      <c r="V24" s="255" t="str">
        <f>IFERROR('R7_MB'!$X$150/'C-Balance'!$I$4*100,"")</f>
        <v/>
      </c>
      <c r="W24" s="255" t="str">
        <f>IFERROR('R8_MB'!$X$150/'C-Balance'!$J$4*100,"")</f>
        <v/>
      </c>
    </row>
    <row r="25" spans="5:23" x14ac:dyDescent="0.25">
      <c r="E25">
        <v>10</v>
      </c>
      <c r="F25" s="255">
        <f>IFERROR(100-('R1_MB'!$M$78/'C-Balance'!$C$17*100),"")</f>
        <v>-4.832746735760395</v>
      </c>
      <c r="G25" s="255">
        <f>IFERROR(100-('R2_MB'!$M$78/'C-Balance'!$D$17*100),"")</f>
        <v>-5.2414364602119861</v>
      </c>
      <c r="H25" s="255" t="str">
        <f>IFERROR(100-('R3_MB'!$M$78/'C-Balance'!$E$17*100),"")</f>
        <v/>
      </c>
      <c r="I25" s="255">
        <f>IFERROR(100-('R4_MB'!$M$78/'C-Balance'!$F$17*100),"")</f>
        <v>37.326360932377014</v>
      </c>
      <c r="J25" s="255">
        <f>IFERROR(100-('R5_MB'!$M$78/'C-Balance'!$G$17*100),"")</f>
        <v>-5.6686942928180031</v>
      </c>
      <c r="K25" s="255">
        <f>IFERROR(100-('R6_MB'!$M$78/'C-Balance'!$H$17*100),"")</f>
        <v>-5.1208336125420288</v>
      </c>
      <c r="L25" s="255">
        <f>IFERROR(100-('R7_MB'!$M$78/'C-Balance'!$I$17*100),"")</f>
        <v>-5.3601441554097136</v>
      </c>
      <c r="M25" s="255" t="str">
        <f>IFERROR(100-('R8_MB'!$M$78/'C-Balance'!$J$17*100),"")</f>
        <v/>
      </c>
      <c r="O25">
        <v>22</v>
      </c>
      <c r="P25" s="255" t="str">
        <f>IFERROR('R1_MB'!$Y$150/'C-Balance'!$C$4*100,"")</f>
        <v/>
      </c>
      <c r="Q25" s="255" t="str">
        <f>IFERROR('R2_MB'!$Y$150/'C-Balance'!$D$4*100,"")</f>
        <v/>
      </c>
      <c r="R25" s="255" t="str">
        <f>IFERROR('R3_MB'!$Y$150/'C-Balance'!$E$4*100,"")</f>
        <v/>
      </c>
      <c r="S25" s="255" t="str">
        <f>IFERROR('R4_MB'!$Y$150/'C-Balance'!$F$4*100,"")</f>
        <v/>
      </c>
      <c r="T25" s="255" t="str">
        <f>IFERROR('R5_MB'!$Y$150/'C-Balance'!$G$4*100,"")</f>
        <v/>
      </c>
      <c r="U25" s="255" t="str">
        <f>IFERROR('R6_MB'!$Y$150/'C-Balance'!$H$4*100,"")</f>
        <v/>
      </c>
      <c r="V25" s="255" t="str">
        <f>IFERROR('R7_MB'!$Y$150/'C-Balance'!$I$4*100,"")</f>
        <v/>
      </c>
      <c r="W25" s="255" t="str">
        <f>IFERROR('R8_MB'!$Y$150/'C-Balance'!$J$4*100,"")</f>
        <v/>
      </c>
    </row>
    <row r="26" spans="5:23" x14ac:dyDescent="0.25">
      <c r="E26">
        <v>11</v>
      </c>
      <c r="F26" s="255">
        <f>IFERROR(100-('R1_MB'!$N$78/'C-Balance'!$C$17*100),"")</f>
        <v>-4.018576834215736</v>
      </c>
      <c r="G26" s="255">
        <f>IFERROR(100-('R2_MB'!$N$78/'C-Balance'!$D$17*100),"")</f>
        <v>-5.151937276416831</v>
      </c>
      <c r="H26" s="255" t="str">
        <f>IFERROR(100-('R3_MB'!$N$78/'C-Balance'!$E$17*100),"")</f>
        <v/>
      </c>
      <c r="I26" s="255">
        <f>IFERROR(100-('R4_MB'!$N$78/'C-Balance'!$F$17*100),"")</f>
        <v>35.03145063306718</v>
      </c>
      <c r="J26" s="255">
        <f>IFERROR(100-('R5_MB'!$N$78/'C-Balance'!$G$17*100),"")</f>
        <v>-5.4114396330780892</v>
      </c>
      <c r="K26" s="255">
        <f>IFERROR(100-('R6_MB'!$N$78/'C-Balance'!$H$17*100),"")</f>
        <v>-5.1953888095471541</v>
      </c>
      <c r="L26" s="255">
        <f>IFERROR(100-('R7_MB'!$N$78/'C-Balance'!$I$17*100),"")</f>
        <v>-5.3751896778420729</v>
      </c>
      <c r="M26" s="255" t="str">
        <f>IFERROR(100-('R8_MB'!$N$78/'C-Balance'!$J$17*100),"")</f>
        <v/>
      </c>
      <c r="O26">
        <v>23</v>
      </c>
      <c r="P26" s="255" t="str">
        <f>IFERROR('R1_MB'!$Z$150/'C-Balance'!$C$4*100,"")</f>
        <v/>
      </c>
      <c r="Q26" s="255" t="str">
        <f>IFERROR('R2_MB'!$Z$150/'C-Balance'!$D$4*100,"")</f>
        <v/>
      </c>
      <c r="R26" s="255" t="str">
        <f>IFERROR('R3_MB'!$Z$150/'C-Balance'!$E$4*100,"")</f>
        <v/>
      </c>
      <c r="S26" s="255" t="str">
        <f>IFERROR('R4_MB'!$Z$150/'C-Balance'!$F$4*100,"")</f>
        <v/>
      </c>
      <c r="T26" s="255" t="str">
        <f>IFERROR('R5_MB'!$Z$150/'C-Balance'!$G$4*100,"")</f>
        <v/>
      </c>
      <c r="U26" s="255" t="str">
        <f>IFERROR('R6_MB'!$Z$150/'C-Balance'!$H$4*100,"")</f>
        <v/>
      </c>
      <c r="V26" s="255" t="str">
        <f>IFERROR('R7_MB'!$Z$150/'C-Balance'!$I$4*100,"")</f>
        <v/>
      </c>
      <c r="W26" s="255" t="str">
        <f>IFERROR('R8_MB'!$Z$150/'C-Balance'!$J$4*100,"")</f>
        <v/>
      </c>
    </row>
    <row r="27" spans="5:23" x14ac:dyDescent="0.25">
      <c r="E27">
        <v>12</v>
      </c>
      <c r="F27" s="255">
        <f>IFERROR(100-('R1_MB'!$O$78/'C-Balance'!$C$17*100),"")</f>
        <v>-4.6702070446968236</v>
      </c>
      <c r="G27" s="255">
        <f>IFERROR(100-('R2_MB'!$O$78/'C-Balance'!$D$17*100),"")</f>
        <v>-5.2033594880961829</v>
      </c>
      <c r="H27" s="255" t="str">
        <f>IFERROR(100-('R3_MB'!$O$78/'C-Balance'!$E$17*100),"")</f>
        <v/>
      </c>
      <c r="I27" s="255">
        <f>IFERROR(100-('R4_MB'!$O$78/'C-Balance'!$F$17*100),"")</f>
        <v>35.544770116802027</v>
      </c>
      <c r="J27" s="255">
        <f>IFERROR(100-('R5_MB'!$O$78/'C-Balance'!$G$17*100),"")</f>
        <v>-5.8744946655417465</v>
      </c>
      <c r="K27" s="255">
        <f>IFERROR(100-('R6_MB'!$O$78/'C-Balance'!$H$17*100),"")</f>
        <v>-4.5098813238393802</v>
      </c>
      <c r="L27" s="255" t="str">
        <f>IFERROR(100-('R7_MB'!$O$78/'C-Balance'!$I$17*100),"")</f>
        <v/>
      </c>
      <c r="M27" s="255" t="str">
        <f>IFERROR(100-('R8_MB'!$O$78/'C-Balance'!$J$17*100),"")</f>
        <v/>
      </c>
      <c r="O27">
        <v>24</v>
      </c>
      <c r="P27" s="255" t="str">
        <f>IFERROR('R1_MB'!$AA$150/'C-Balance'!$C$4*100,"")</f>
        <v/>
      </c>
      <c r="Q27" s="255" t="str">
        <f>IFERROR('R2_MB'!$AA$150/'C-Balance'!$D$4*100,"")</f>
        <v/>
      </c>
      <c r="R27" s="255" t="str">
        <f>IFERROR('R3_MB'!$AA$150/'C-Balance'!$E$4*100,"")</f>
        <v/>
      </c>
      <c r="S27" s="255" t="str">
        <f>IFERROR('R4_MB'!$AA$150/'C-Balance'!$F$4*100,"")</f>
        <v/>
      </c>
      <c r="T27" s="255" t="str">
        <f>IFERROR('R5_MB'!$AA$150/'C-Balance'!$G$4*100,"")</f>
        <v/>
      </c>
      <c r="U27" s="255" t="str">
        <f>IFERROR('R6_MB'!$AA$150/'C-Balance'!$H$4*100,"")</f>
        <v/>
      </c>
      <c r="V27" s="255" t="str">
        <f>IFERROR('R7_MB'!$AA$150/'C-Balance'!$I$4*100,"")</f>
        <v/>
      </c>
      <c r="W27" s="255" t="str">
        <f>IFERROR('R8_MB'!$AA$150/'C-Balance'!$J$4*100,"")</f>
        <v/>
      </c>
    </row>
    <row r="28" spans="5:23" x14ac:dyDescent="0.25">
      <c r="E28">
        <v>13</v>
      </c>
      <c r="F28" s="255" t="str">
        <f>IFERROR(100-('R1_MB'!$P$78/'C-Balance'!$C$17*100),"")</f>
        <v/>
      </c>
      <c r="G28" s="255" t="str">
        <f>IFERROR(100-('R2_MB'!$P$78/'C-Balance'!$D$17*100),"")</f>
        <v/>
      </c>
      <c r="H28" s="255" t="str">
        <f>IFERROR(100-('R3_MB'!$P$78/'C-Balance'!$E$17*100),"")</f>
        <v/>
      </c>
      <c r="I28" s="255" t="str">
        <f>IFERROR(100-('R4_MB'!$P$78/'C-Balance'!$F$17*100),"")</f>
        <v/>
      </c>
      <c r="J28" s="255" t="str">
        <f>IFERROR(100-('R5_MB'!$P$78/'C-Balance'!$G$17*100),"")</f>
        <v/>
      </c>
      <c r="K28" s="255" t="str">
        <f>IFERROR(100-('R6_MB'!$P$78/'C-Balance'!$H$17*100),"")</f>
        <v/>
      </c>
      <c r="L28" s="255" t="str">
        <f>IFERROR(100-('R7_MB'!$P$78/'C-Balance'!$I$17*100),"")</f>
        <v/>
      </c>
      <c r="M28" s="255" t="str">
        <f>IFERROR(100-('R8_MB'!$P$78/'C-Balance'!$J$17*100),"")</f>
        <v/>
      </c>
      <c r="O28">
        <v>25</v>
      </c>
      <c r="P28" s="255" t="str">
        <f>IFERROR('R1_MB'!$AB$150/'C-Balance'!$C$4*100,"")</f>
        <v/>
      </c>
      <c r="Q28" s="255" t="str">
        <f>IFERROR('R2_MB'!$AB$150/'C-Balance'!$D$4*100,"")</f>
        <v/>
      </c>
      <c r="R28" s="255" t="str">
        <f>IFERROR('R3_MB'!$AB$150/'C-Balance'!$E$4*100,"")</f>
        <v/>
      </c>
      <c r="S28" s="255" t="str">
        <f>IFERROR('R4_MB'!$AB$150/'C-Balance'!$F$4*100,"")</f>
        <v/>
      </c>
      <c r="T28" s="255" t="str">
        <f>IFERROR('R5_MB'!$AB$150/'C-Balance'!$G$4*100,"")</f>
        <v/>
      </c>
      <c r="U28" s="255" t="str">
        <f>IFERROR('R6_MB'!$AB$150/'C-Balance'!$H$4*100,"")</f>
        <v/>
      </c>
      <c r="V28" s="255" t="str">
        <f>IFERROR('R7_MB'!$AB$150/'C-Balance'!$I$4*100,"")</f>
        <v/>
      </c>
      <c r="W28" s="255" t="str">
        <f>IFERROR('R8_MB'!$AB$150/'C-Balance'!$J$4*100,"")</f>
        <v/>
      </c>
    </row>
    <row r="29" spans="5:23" x14ac:dyDescent="0.25">
      <c r="E29">
        <v>14</v>
      </c>
      <c r="F29" s="255" t="str">
        <f>IFERROR(100-('R1_MB'!$Q$78/'C-Balance'!$C$17*100),"")</f>
        <v/>
      </c>
      <c r="G29" s="255" t="str">
        <f>IFERROR(100-('R2_MB'!$Q$78/'C-Balance'!$D$17*100),"")</f>
        <v/>
      </c>
      <c r="H29" s="255" t="str">
        <f>IFERROR(100-('R3_MB'!$Q$78/'C-Balance'!$E$17*100),"")</f>
        <v/>
      </c>
      <c r="I29" s="255" t="str">
        <f>IFERROR(100-('R4_MB'!$Q$78/'C-Balance'!$F$17*100),"")</f>
        <v/>
      </c>
      <c r="J29" s="255" t="str">
        <f>IFERROR(100-('R5_MB'!$Q$78/'C-Balance'!$G$17*100),"")</f>
        <v/>
      </c>
      <c r="K29" s="255" t="str">
        <f>IFERROR(100-('R6_MB'!$Q$78/'C-Balance'!$H$17*100),"")</f>
        <v/>
      </c>
      <c r="L29" s="255" t="str">
        <f>IFERROR(100-('R7_MB'!$Q$78/'C-Balance'!$I$17*100),"")</f>
        <v/>
      </c>
      <c r="M29" s="255" t="str">
        <f>IFERROR(100-('R8_MB'!$Q$78/'C-Balance'!$J$17*100),"")</f>
        <v/>
      </c>
      <c r="Q29" t="str">
        <f>'R2_MB'!$AB$150</f>
        <v/>
      </c>
    </row>
    <row r="30" spans="5:23" x14ac:dyDescent="0.25">
      <c r="E30">
        <v>15</v>
      </c>
      <c r="F30" s="255" t="str">
        <f>IFERROR(100-('R1_MB'!$R$78/'C-Balance'!$C$17*100),"")</f>
        <v/>
      </c>
      <c r="G30" s="255" t="str">
        <f>IFERROR(100-('R2_MB'!$R$78/'C-Balance'!$D$17*100),"")</f>
        <v/>
      </c>
      <c r="H30" s="255" t="str">
        <f>IFERROR(100-('R3_MB'!$R$78/'C-Balance'!$E$17*100),"")</f>
        <v/>
      </c>
      <c r="I30" s="255" t="str">
        <f>IFERROR(100-('R4_MB'!$R$78/'C-Balance'!$F$17*100),"")</f>
        <v/>
      </c>
      <c r="J30" s="255" t="str">
        <f>IFERROR(100-('R5_MB'!$R$78/'C-Balance'!$G$17*100),"")</f>
        <v/>
      </c>
      <c r="K30" s="255" t="str">
        <f>IFERROR(100-('R6_MB'!$R$78/'C-Balance'!$H$17*100),"")</f>
        <v/>
      </c>
      <c r="L30" s="255" t="str">
        <f>IFERROR(100-('R7_MB'!$R$78/'C-Balance'!$I$17*100),"")</f>
        <v/>
      </c>
      <c r="M30" s="255" t="str">
        <f>IFERROR(100-('R8_MB'!$R$78/'C-Balance'!$J$17*100),"")</f>
        <v/>
      </c>
    </row>
    <row r="31" spans="5:23" x14ac:dyDescent="0.25">
      <c r="E31">
        <v>16</v>
      </c>
      <c r="F31" s="255" t="str">
        <f>IFERROR(100-('R1_MB'!$S$78/'C-Balance'!$C$17*100),"")</f>
        <v/>
      </c>
      <c r="G31" s="255" t="str">
        <f>IFERROR(100-('R2_MB'!$S$78/'C-Balance'!$D$17*100),"")</f>
        <v/>
      </c>
      <c r="H31" s="255" t="str">
        <f>IFERROR(100-('R3_MB'!$S$78/'C-Balance'!$E$17*100),"")</f>
        <v/>
      </c>
      <c r="I31" s="255" t="str">
        <f>IFERROR(100-('R4_MB'!$S$78/'C-Balance'!$F$17*100),"")</f>
        <v/>
      </c>
      <c r="J31" s="255" t="str">
        <f>IFERROR(100-('R5_MB'!$S$78/'C-Balance'!$G$17*100),"")</f>
        <v/>
      </c>
      <c r="K31" s="255" t="str">
        <f>IFERROR(100-('R6_MB'!$S$78/'C-Balance'!$H$17*100),"")</f>
        <v/>
      </c>
      <c r="L31" s="255" t="str">
        <f>IFERROR(100-('R7_MB'!$S$78/'C-Balance'!$I$17*100),"")</f>
        <v/>
      </c>
      <c r="M31" s="255" t="str">
        <f>IFERROR(100-('R8_MB'!$S$78/'C-Balance'!$J$17*100),"")</f>
        <v/>
      </c>
    </row>
    <row r="32" spans="5:23" x14ac:dyDescent="0.25">
      <c r="E32">
        <v>17</v>
      </c>
      <c r="F32" s="255" t="str">
        <f>IFERROR(100-('R1_MB'!$T$78/'C-Balance'!$C$17*100),"")</f>
        <v/>
      </c>
      <c r="G32" s="255" t="str">
        <f>IFERROR(100-('R2_MB'!$T$78/'C-Balance'!$D$17*100),"")</f>
        <v/>
      </c>
      <c r="H32" s="255" t="str">
        <f>IFERROR(100-('R3_MB'!$T$78/'C-Balance'!$E$17*100),"")</f>
        <v/>
      </c>
      <c r="I32" s="255" t="str">
        <f>IFERROR(100-('R4_MB'!$T$78/'C-Balance'!$F$17*100),"")</f>
        <v/>
      </c>
      <c r="J32" s="255" t="str">
        <f>IFERROR(100-('R5_MB'!$T$78/'C-Balance'!$G$17*100),"")</f>
        <v/>
      </c>
      <c r="K32" s="255" t="str">
        <f>IFERROR(100-('R6_MB'!$T$78/'C-Balance'!$H$17*100),"")</f>
        <v/>
      </c>
      <c r="L32" s="255" t="str">
        <f>IFERROR(100-('R7_MB'!$T$78/'C-Balance'!$I$17*100),"")</f>
        <v/>
      </c>
      <c r="M32" s="255" t="str">
        <f>IFERROR(100-('R8_MB'!$T$78/'C-Balance'!$J$17*100),"")</f>
        <v/>
      </c>
    </row>
    <row r="33" spans="5:13" x14ac:dyDescent="0.25">
      <c r="E33">
        <v>18</v>
      </c>
      <c r="F33" s="255" t="str">
        <f>IFERROR(100-('R1_MB'!$U$78/'C-Balance'!$C$17*100),"")</f>
        <v/>
      </c>
      <c r="G33" s="255" t="str">
        <f>IFERROR(100-('R2_MB'!$U$78/'C-Balance'!$D$17*100),"")</f>
        <v/>
      </c>
      <c r="H33" s="255" t="str">
        <f>IFERROR(100-('R3_MB'!$U$78/'C-Balance'!$E$17*100),"")</f>
        <v/>
      </c>
      <c r="I33" s="255" t="str">
        <f>IFERROR(100-('R4_MB'!$U$78/'C-Balance'!$F$17*100),"")</f>
        <v/>
      </c>
      <c r="J33" s="255" t="str">
        <f>IFERROR(100-('R5_MB'!$U$78/'C-Balance'!$G$17*100),"")</f>
        <v/>
      </c>
      <c r="K33" s="255" t="str">
        <f>IFERROR(100-('R6_MB'!$U$78/'C-Balance'!$H$17*100),"")</f>
        <v/>
      </c>
      <c r="L33" s="255" t="str">
        <f>IFERROR(100-('R7_MB'!$U$78/'C-Balance'!$I$17*100),"")</f>
        <v/>
      </c>
      <c r="M33" s="255" t="str">
        <f>IFERROR(100-('R8_MB'!$U$78/'C-Balance'!$J$17*100),"")</f>
        <v/>
      </c>
    </row>
    <row r="34" spans="5:13" x14ac:dyDescent="0.25">
      <c r="E34">
        <v>19</v>
      </c>
      <c r="F34" s="255" t="str">
        <f>IFERROR(100-('R1_MB'!$V$78/'C-Balance'!$C$17*100),"")</f>
        <v/>
      </c>
      <c r="G34" s="255" t="str">
        <f>IFERROR(100-('R2_MB'!$V$78/'C-Balance'!$D$17*100),"")</f>
        <v/>
      </c>
      <c r="H34" s="255" t="str">
        <f>IFERROR(100-('R3_MB'!$V$78/'C-Balance'!$E$17*100),"")</f>
        <v/>
      </c>
      <c r="I34" s="255" t="str">
        <f>IFERROR(100-('R4_MB'!$V$78/'C-Balance'!$F$17*100),"")</f>
        <v/>
      </c>
      <c r="J34" s="255" t="str">
        <f>IFERROR(100-('R5_MB'!$V$78/'C-Balance'!$G$17*100),"")</f>
        <v/>
      </c>
      <c r="K34" s="255" t="str">
        <f>IFERROR(100-('R6_MB'!$V$78/'C-Balance'!$H$17*100),"")</f>
        <v/>
      </c>
      <c r="L34" s="255" t="str">
        <f>IFERROR(100-('R7_MB'!$V$78/'C-Balance'!$I$17*100),"")</f>
        <v/>
      </c>
      <c r="M34" s="255" t="str">
        <f>IFERROR(100-('R8_MB'!$V$78/'C-Balance'!$J$17*100),"")</f>
        <v/>
      </c>
    </row>
    <row r="35" spans="5:13" x14ac:dyDescent="0.25">
      <c r="E35">
        <v>20</v>
      </c>
      <c r="F35" s="255" t="str">
        <f>IFERROR(100-('R1_MB'!$W$78/'C-Balance'!$C$17*100),"")</f>
        <v/>
      </c>
      <c r="G35" s="255" t="str">
        <f>IFERROR(100-('R2_MB'!$W$78/'C-Balance'!$D$17*100),"")</f>
        <v/>
      </c>
      <c r="H35" s="255" t="str">
        <f>IFERROR(100-('R3_MB'!$W$78/'C-Balance'!$E$17*100),"")</f>
        <v/>
      </c>
      <c r="I35" s="255" t="str">
        <f>IFERROR(100-('R4_MB'!$W$78/'C-Balance'!$F$17*100),"")</f>
        <v/>
      </c>
      <c r="J35" s="255" t="str">
        <f>IFERROR(100-('R5_MB'!$W$78/'C-Balance'!$G$17*100),"")</f>
        <v/>
      </c>
      <c r="K35" s="255" t="str">
        <f>IFERROR(100-('R6_MB'!$W$78/'C-Balance'!$H$17*100),"")</f>
        <v/>
      </c>
      <c r="L35" s="255" t="str">
        <f>IFERROR(100-('R7_MB'!$W$78/'C-Balance'!$I$17*100),"")</f>
        <v/>
      </c>
      <c r="M35" s="255" t="str">
        <f>IFERROR(100-('R8_MB'!$W$78/'C-Balance'!$J$17*100),"")</f>
        <v/>
      </c>
    </row>
    <row r="36" spans="5:13" x14ac:dyDescent="0.25">
      <c r="E36">
        <v>21</v>
      </c>
      <c r="F36" s="255" t="str">
        <f>IFERROR(100-('R1_MB'!$X$78/'C-Balance'!$C$17*100),"")</f>
        <v/>
      </c>
      <c r="G36" s="255" t="str">
        <f>IFERROR(100-('R2_MB'!$X$78/'C-Balance'!$D$17*100),"")</f>
        <v/>
      </c>
      <c r="H36" s="255" t="str">
        <f>IFERROR(100-('R3_MB'!$X$78/'C-Balance'!$E$17*100),"")</f>
        <v/>
      </c>
      <c r="I36" s="255" t="str">
        <f>IFERROR(100-('R4_MB'!$X$78/'C-Balance'!$F$17*100),"")</f>
        <v/>
      </c>
      <c r="J36" s="255" t="str">
        <f>IFERROR(100-('R5_MB'!$X$78/'C-Balance'!$G$17*100),"")</f>
        <v/>
      </c>
      <c r="K36" s="255" t="str">
        <f>IFERROR(100-('R6_MB'!$X$78/'C-Balance'!$H$17*100),"")</f>
        <v/>
      </c>
      <c r="L36" s="255" t="str">
        <f>IFERROR(100-('R7_MB'!$X$78/'C-Balance'!$I$17*100),"")</f>
        <v/>
      </c>
      <c r="M36" s="255" t="str">
        <f>IFERROR(100-('R8_MB'!$X$78/'C-Balance'!$J$17*100),"")</f>
        <v/>
      </c>
    </row>
    <row r="37" spans="5:13" x14ac:dyDescent="0.25">
      <c r="E37">
        <v>22</v>
      </c>
      <c r="F37" s="255" t="str">
        <f>IFERROR(100-('R1_MB'!$Y$78/'C-Balance'!$C$17*100),"")</f>
        <v/>
      </c>
      <c r="G37" s="255" t="str">
        <f>IFERROR(100-('R2_MB'!$Y$78/'C-Balance'!$D$17*100),"")</f>
        <v/>
      </c>
      <c r="H37" s="255" t="str">
        <f>IFERROR(100-('R3_MB'!$Y$78/'C-Balance'!$E$17*100),"")</f>
        <v/>
      </c>
      <c r="I37" s="255" t="str">
        <f>IFERROR(100-('R4_MB'!$Y$78/'C-Balance'!$F$17*100),"")</f>
        <v/>
      </c>
      <c r="J37" s="255" t="str">
        <f>IFERROR(100-('R5_MB'!$Y$78/'C-Balance'!$G$17*100),"")</f>
        <v/>
      </c>
      <c r="K37" s="255" t="str">
        <f>IFERROR(100-('R6_MB'!$Y$78/'C-Balance'!$H$17*100),"")</f>
        <v/>
      </c>
      <c r="L37" s="255" t="str">
        <f>IFERROR(100-('R7_MB'!$Y$78/'C-Balance'!$I$17*100),"")</f>
        <v/>
      </c>
      <c r="M37" s="255" t="str">
        <f>IFERROR(100-('R8_MB'!$Y$78/'C-Balance'!$J$17*100),"")</f>
        <v/>
      </c>
    </row>
    <row r="38" spans="5:13" x14ac:dyDescent="0.25">
      <c r="E38">
        <v>23</v>
      </c>
      <c r="F38" s="255" t="str">
        <f>IFERROR(100-('R1_MB'!$Z$78/'C-Balance'!$C$17*100),"")</f>
        <v/>
      </c>
      <c r="G38" s="255" t="str">
        <f>IFERROR(100-('R2_MB'!$Z$78/'C-Balance'!$D$17*100),"")</f>
        <v/>
      </c>
      <c r="H38" s="255" t="str">
        <f>IFERROR(100-('R3_MB'!$Z$78/'C-Balance'!$E$17*100),"")</f>
        <v/>
      </c>
      <c r="I38" s="255" t="str">
        <f>IFERROR(100-('R4_MB'!$Z$78/'C-Balance'!$F$17*100),"")</f>
        <v/>
      </c>
      <c r="J38" s="255" t="str">
        <f>IFERROR(100-('R5_MB'!$Z$78/'C-Balance'!$G$17*100),"")</f>
        <v/>
      </c>
      <c r="K38" s="255" t="str">
        <f>IFERROR(100-('R6_MB'!$Z$78/'C-Balance'!$H$17*100),"")</f>
        <v/>
      </c>
      <c r="L38" s="255" t="str">
        <f>IFERROR(100-('R7_MB'!$Z$78/'C-Balance'!$I$17*100),"")</f>
        <v/>
      </c>
      <c r="M38" s="255" t="str">
        <f>IFERROR(100-('R8_MB'!$Z$78/'C-Balance'!$J$17*100),"")</f>
        <v/>
      </c>
    </row>
    <row r="39" spans="5:13" x14ac:dyDescent="0.25">
      <c r="E39">
        <v>24</v>
      </c>
      <c r="F39" s="255" t="str">
        <f>IFERROR(100-('R1_MB'!$AA$78/'C-Balance'!$C$17*100),"")</f>
        <v/>
      </c>
      <c r="G39" s="255" t="str">
        <f>IFERROR(100-('R2_MB'!$AA$78/'C-Balance'!$D$17*100),"")</f>
        <v/>
      </c>
      <c r="H39" s="255" t="str">
        <f>IFERROR(100-('R3_MB'!$AA$78/'C-Balance'!$E$17*100),"")</f>
        <v/>
      </c>
      <c r="I39" s="255" t="str">
        <f>IFERROR(100-('R4_MB'!$AA$78/'C-Balance'!$F$17*100),"")</f>
        <v/>
      </c>
      <c r="J39" s="255" t="str">
        <f>IFERROR(100-('R5_MB'!$AA$78/'C-Balance'!$G$17*100),"")</f>
        <v/>
      </c>
      <c r="K39" s="255" t="str">
        <f>IFERROR(100-('R6_MB'!$AA$78/'C-Balance'!$H$17*100),"")</f>
        <v/>
      </c>
      <c r="L39" s="255" t="str">
        <f>IFERROR(100-('R7_MB'!$AA$78/'C-Balance'!$I$17*100),"")</f>
        <v/>
      </c>
      <c r="M39" s="255" t="str">
        <f>IFERROR(100-('R8_MB'!$AA$78/'C-Balance'!$J$17*100),"")</f>
        <v/>
      </c>
    </row>
    <row r="40" spans="5:13" x14ac:dyDescent="0.25">
      <c r="E40">
        <v>25</v>
      </c>
      <c r="F40" s="255" t="str">
        <f>IFERROR(100-('R1_MB'!$AB$78/'C-Balance'!$C$17*100),"")</f>
        <v/>
      </c>
      <c r="G40" s="255" t="str">
        <f>IFERROR(100-('R2_MB'!$AB$78/'C-Balance'!$D$17*100),"")</f>
        <v/>
      </c>
      <c r="H40" s="255" t="str">
        <f>IFERROR(100-('R3_MB'!$AB$78/'C-Balance'!$E$17*100),"")</f>
        <v/>
      </c>
      <c r="I40" s="255" t="str">
        <f>IFERROR(100-('R4_MB'!$AB$78/'C-Balance'!$F$17*100),"")</f>
        <v/>
      </c>
      <c r="J40" s="255" t="str">
        <f>IFERROR(100-('R5_MB'!$AB$78/'C-Balance'!$G$17*100),"")</f>
        <v/>
      </c>
      <c r="K40" s="255" t="str">
        <f>IFERROR(100-('R6_MB'!$AB$78/'C-Balance'!$H$17*100),"")</f>
        <v/>
      </c>
      <c r="L40" s="255" t="str">
        <f>IFERROR(100-('R7_MB'!$AB$78/'C-Balance'!$I$17*100),"")</f>
        <v/>
      </c>
      <c r="M40" s="255" t="str">
        <f>IFERROR(100-('R8_MB'!$AB$78/'C-Balance'!$J$17*100),"")</f>
        <v/>
      </c>
    </row>
  </sheetData>
  <sheetProtection sheet="1" objects="1" scenarios="1"/>
  <mergeCells count="2">
    <mergeCell ref="O2:Q2"/>
    <mergeCell ref="E14:G14"/>
  </mergeCells>
  <pageMargins left="0.7" right="0.7" top="0.75" bottom="0.75" header="0.3" footer="0.3"/>
  <tableParts count="3">
    <tablePart r:id="rId1"/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Run_Plan</vt:lpstr>
      <vt:lpstr>Liq</vt:lpstr>
      <vt:lpstr>HC_SIMDIS</vt:lpstr>
      <vt:lpstr>HC_DHA</vt:lpstr>
      <vt:lpstr>Gas</vt:lpstr>
      <vt:lpstr>R1_MB</vt:lpstr>
      <vt:lpstr>R2_MB</vt:lpstr>
      <vt:lpstr>R3_MB</vt:lpstr>
      <vt:lpstr>R4_MB</vt:lpstr>
      <vt:lpstr>R5_MB</vt:lpstr>
      <vt:lpstr>R6_MB</vt:lpstr>
      <vt:lpstr>R7_MB</vt:lpstr>
      <vt:lpstr>R8_MB</vt:lpstr>
      <vt:lpstr>C-Balance</vt:lpstr>
      <vt:lpstr>ZMB</vt:lpstr>
      <vt:lpstr>Summary</vt:lpstr>
      <vt:lpstr>HC_DHA!Print_Area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ILS Unit Mass Balance Calculations (Ver1.0)</dc:title>
  <dc:creator>Urade, Vikrant N PTIN-PTX/C/T</dc:creator>
  <cp:lastModifiedBy>Sasmal, Sankar PTIN-DRX/D/L/D</cp:lastModifiedBy>
  <dcterms:created xsi:type="dcterms:W3CDTF">2022-12-13T04:41:13Z</dcterms:created>
  <dcterms:modified xsi:type="dcterms:W3CDTF">2026-10-30T05:35:09Z</dcterms:modified>
</cp:coreProperties>
</file>